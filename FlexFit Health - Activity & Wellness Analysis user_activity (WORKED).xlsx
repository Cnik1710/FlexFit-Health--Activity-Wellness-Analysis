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 Professional\Self Executed\7. FlexFit Health\"/>
    </mc:Choice>
  </mc:AlternateContent>
  <xr:revisionPtr revIDLastSave="0" documentId="8_{FA388474-D6F8-4ECE-A81A-E09A6E695895}" xr6:coauthVersionLast="47" xr6:coauthVersionMax="47" xr10:uidLastSave="{00000000-0000-0000-0000-000000000000}"/>
  <bookViews>
    <workbookView xWindow="-110" yWindow="-110" windowWidth="19420" windowHeight="11500" firstSheet="2" activeTab="2" xr2:uid="{8E7BF536-43ED-4D40-BCA7-AA0C6B60DBDB}"/>
  </bookViews>
  <sheets>
    <sheet name="users_details" sheetId="2" state="hidden" r:id="rId1"/>
    <sheet name="activity" sheetId="1" state="hidden" r:id="rId2"/>
    <sheet name="user_activity" sheetId="6" r:id="rId3"/>
    <sheet name="Sheet1" sheetId="7" state="hidden" r:id="rId4"/>
  </sheets>
  <definedNames>
    <definedName name="_xlnm._FilterDatabase" localSheetId="1" hidden="1">activity!$A$1:$O$941</definedName>
    <definedName name="_xlnm._FilterDatabase" localSheetId="2" hidden="1">user_activity!$A$1:$Y$941</definedName>
    <definedName name="_xlnm._FilterDatabase" localSheetId="0" hidden="1">users_details!$A$1:$G$34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6" l="1" a="1"/>
  <c r="D4" i="6" s="1"/>
  <c r="AA3" i="6"/>
  <c r="AA4" i="6"/>
  <c r="AA5" i="6"/>
  <c r="AA6" i="6"/>
  <c r="AA7" i="6"/>
  <c r="AA8" i="6"/>
  <c r="AA9" i="6"/>
  <c r="AA10" i="6"/>
  <c r="AA11" i="6"/>
  <c r="AA12" i="6"/>
  <c r="AA13" i="6"/>
  <c r="AA14" i="6"/>
  <c r="AA15" i="6"/>
  <c r="AA16" i="6"/>
  <c r="AA17" i="6"/>
  <c r="AA18" i="6"/>
  <c r="AA20" i="6"/>
  <c r="AA21" i="6"/>
  <c r="AA22" i="6"/>
  <c r="AA23" i="6"/>
  <c r="AA24" i="6"/>
  <c r="AA25" i="6"/>
  <c r="AA26" i="6"/>
  <c r="AA27" i="6"/>
  <c r="AA28" i="6"/>
  <c r="AA29" i="6"/>
  <c r="AA30" i="6"/>
  <c r="AA31" i="6"/>
  <c r="AA32" i="6"/>
  <c r="AA33" i="6"/>
  <c r="AA34" i="6"/>
  <c r="AA35" i="6"/>
  <c r="AA36" i="6"/>
  <c r="AA37" i="6"/>
  <c r="AA38" i="6"/>
  <c r="AA39" i="6"/>
  <c r="AA40" i="6"/>
  <c r="AA41" i="6"/>
  <c r="AA42" i="6"/>
  <c r="AA43" i="6"/>
  <c r="AA44" i="6"/>
  <c r="AA45" i="6"/>
  <c r="AA46" i="6"/>
  <c r="AA47" i="6"/>
  <c r="AA48" i="6"/>
  <c r="AA49" i="6"/>
  <c r="AA50" i="6"/>
  <c r="AA51" i="6"/>
  <c r="AA52" i="6"/>
  <c r="AA53" i="6"/>
  <c r="AA54" i="6"/>
  <c r="AA55" i="6"/>
  <c r="AA56" i="6"/>
  <c r="AA57" i="6"/>
  <c r="AA58" i="6"/>
  <c r="AA59" i="6"/>
  <c r="AA60" i="6"/>
  <c r="AA61" i="6"/>
  <c r="AA62" i="6"/>
  <c r="AA63" i="6"/>
  <c r="AA64" i="6"/>
  <c r="AA65" i="6"/>
  <c r="AA66" i="6"/>
  <c r="AA67" i="6"/>
  <c r="AA68" i="6"/>
  <c r="AA69" i="6"/>
  <c r="AA70" i="6"/>
  <c r="AA71" i="6"/>
  <c r="AA72" i="6"/>
  <c r="AA73" i="6"/>
  <c r="AA74" i="6"/>
  <c r="AA75" i="6"/>
  <c r="AA76" i="6"/>
  <c r="AA77" i="6"/>
  <c r="AA78" i="6"/>
  <c r="AA79" i="6"/>
  <c r="AA80" i="6"/>
  <c r="AA81" i="6"/>
  <c r="AA82" i="6"/>
  <c r="AA83" i="6"/>
  <c r="AA84" i="6"/>
  <c r="AA85" i="6"/>
  <c r="AA86" i="6"/>
  <c r="AA87" i="6"/>
  <c r="AA88" i="6"/>
  <c r="AA89" i="6"/>
  <c r="AA90" i="6"/>
  <c r="AA91" i="6"/>
  <c r="AA92" i="6"/>
  <c r="AA93" i="6"/>
  <c r="AA94" i="6"/>
  <c r="AA95" i="6"/>
  <c r="AA96" i="6"/>
  <c r="AA97" i="6"/>
  <c r="AA98" i="6"/>
  <c r="AA99" i="6"/>
  <c r="AA100" i="6"/>
  <c r="AA101" i="6"/>
  <c r="AA102" i="6"/>
  <c r="AA103" i="6"/>
  <c r="AA104" i="6"/>
  <c r="AA105" i="6"/>
  <c r="AA106" i="6"/>
  <c r="AA107" i="6"/>
  <c r="AA108" i="6"/>
  <c r="AA109" i="6"/>
  <c r="AA110" i="6"/>
  <c r="AA111" i="6"/>
  <c r="AA112" i="6"/>
  <c r="AA113" i="6"/>
  <c r="AA114" i="6"/>
  <c r="AA115" i="6"/>
  <c r="AA116" i="6"/>
  <c r="AA117" i="6"/>
  <c r="AA118" i="6"/>
  <c r="AA119" i="6"/>
  <c r="AA120" i="6"/>
  <c r="AA121" i="6"/>
  <c r="AA122" i="6"/>
  <c r="AA123" i="6"/>
  <c r="AA124" i="6"/>
  <c r="AA125" i="6"/>
  <c r="AA126" i="6"/>
  <c r="AA127" i="6"/>
  <c r="AA128" i="6"/>
  <c r="AA129" i="6"/>
  <c r="AA130" i="6"/>
  <c r="AA131" i="6"/>
  <c r="AA132" i="6"/>
  <c r="AA133" i="6"/>
  <c r="AA134" i="6"/>
  <c r="AA135" i="6"/>
  <c r="AA136" i="6"/>
  <c r="AA137" i="6"/>
  <c r="AA138" i="6"/>
  <c r="AA139" i="6"/>
  <c r="AA140" i="6"/>
  <c r="AA141" i="6"/>
  <c r="AA142" i="6"/>
  <c r="AA143" i="6"/>
  <c r="AA144" i="6"/>
  <c r="AA145" i="6"/>
  <c r="AA146" i="6"/>
  <c r="AA147" i="6"/>
  <c r="AA148" i="6"/>
  <c r="AA149" i="6"/>
  <c r="AA150" i="6"/>
  <c r="AA151" i="6"/>
  <c r="AA152" i="6"/>
  <c r="AA153" i="6"/>
  <c r="AA154" i="6"/>
  <c r="AA155" i="6"/>
  <c r="AA156" i="6"/>
  <c r="AA157" i="6"/>
  <c r="AA158" i="6"/>
  <c r="AA159" i="6"/>
  <c r="AA160" i="6"/>
  <c r="AA161" i="6"/>
  <c r="AA162" i="6"/>
  <c r="AA163" i="6"/>
  <c r="AA164" i="6"/>
  <c r="AA165" i="6"/>
  <c r="AA166" i="6"/>
  <c r="AA167" i="6"/>
  <c r="AA168" i="6"/>
  <c r="AA169" i="6"/>
  <c r="AA170" i="6"/>
  <c r="AA171" i="6"/>
  <c r="AA172" i="6"/>
  <c r="AA173" i="6"/>
  <c r="AA174" i="6"/>
  <c r="AA175" i="6"/>
  <c r="AA176" i="6"/>
  <c r="AA177" i="6"/>
  <c r="AA178" i="6"/>
  <c r="AA179" i="6"/>
  <c r="AA180" i="6"/>
  <c r="AA181" i="6"/>
  <c r="AA182" i="6"/>
  <c r="AA183" i="6"/>
  <c r="AA184" i="6"/>
  <c r="AA185" i="6"/>
  <c r="AA186" i="6"/>
  <c r="AA187" i="6"/>
  <c r="AA188" i="6"/>
  <c r="AA189" i="6"/>
  <c r="AA190" i="6"/>
  <c r="AA191" i="6"/>
  <c r="AA192" i="6"/>
  <c r="AA193" i="6"/>
  <c r="AA194" i="6"/>
  <c r="AA195" i="6"/>
  <c r="AA196" i="6"/>
  <c r="AA197" i="6"/>
  <c r="AA198" i="6"/>
  <c r="AA199" i="6"/>
  <c r="AA200" i="6"/>
  <c r="AA201" i="6"/>
  <c r="AA202" i="6"/>
  <c r="AA203" i="6"/>
  <c r="AA204" i="6"/>
  <c r="AA205" i="6"/>
  <c r="AA206" i="6"/>
  <c r="AA207" i="6"/>
  <c r="AA208" i="6"/>
  <c r="AA209" i="6"/>
  <c r="AA210" i="6"/>
  <c r="AA211" i="6"/>
  <c r="AA212" i="6"/>
  <c r="AA213" i="6"/>
  <c r="AA214" i="6"/>
  <c r="AA215" i="6"/>
  <c r="AA216" i="6"/>
  <c r="AA217" i="6"/>
  <c r="AA218" i="6"/>
  <c r="AA219" i="6"/>
  <c r="AA220" i="6"/>
  <c r="AA221" i="6"/>
  <c r="AA222" i="6"/>
  <c r="AA223" i="6"/>
  <c r="AA224" i="6"/>
  <c r="AA225" i="6"/>
  <c r="AA226" i="6"/>
  <c r="AA227" i="6"/>
  <c r="AA228" i="6"/>
  <c r="AA229" i="6"/>
  <c r="AA230" i="6"/>
  <c r="AA231" i="6"/>
  <c r="AA232" i="6"/>
  <c r="AA233" i="6"/>
  <c r="AA234" i="6"/>
  <c r="AA235" i="6"/>
  <c r="AA236" i="6"/>
  <c r="AA237" i="6"/>
  <c r="AA238" i="6"/>
  <c r="AA239" i="6"/>
  <c r="AA240" i="6"/>
  <c r="AA241" i="6"/>
  <c r="AA242" i="6"/>
  <c r="AA243" i="6"/>
  <c r="AA244" i="6"/>
  <c r="AA245" i="6"/>
  <c r="AA246" i="6"/>
  <c r="AA247" i="6"/>
  <c r="AA248" i="6"/>
  <c r="AA249" i="6"/>
  <c r="AA250" i="6"/>
  <c r="AA251" i="6"/>
  <c r="AA252" i="6"/>
  <c r="AA253" i="6"/>
  <c r="AA254" i="6"/>
  <c r="AA255" i="6"/>
  <c r="AA256" i="6"/>
  <c r="AA257" i="6"/>
  <c r="AA258" i="6"/>
  <c r="AA259" i="6"/>
  <c r="AA260" i="6"/>
  <c r="AA261" i="6"/>
  <c r="AA262" i="6"/>
  <c r="AA263" i="6"/>
  <c r="AA264" i="6"/>
  <c r="AA265" i="6"/>
  <c r="AA266" i="6"/>
  <c r="AA267" i="6"/>
  <c r="AA268" i="6"/>
  <c r="AA269" i="6"/>
  <c r="AA270" i="6"/>
  <c r="AA271" i="6"/>
  <c r="AA272" i="6"/>
  <c r="AA273" i="6"/>
  <c r="AA274" i="6"/>
  <c r="AA275" i="6"/>
  <c r="AA276" i="6"/>
  <c r="AA277" i="6"/>
  <c r="AA278" i="6"/>
  <c r="AA279" i="6"/>
  <c r="AA280" i="6"/>
  <c r="AA281" i="6"/>
  <c r="AA282" i="6"/>
  <c r="AA283" i="6"/>
  <c r="AA284" i="6"/>
  <c r="AA285" i="6"/>
  <c r="AA286" i="6"/>
  <c r="AA287" i="6"/>
  <c r="AA288" i="6"/>
  <c r="AA289" i="6"/>
  <c r="AA290" i="6"/>
  <c r="AA291" i="6"/>
  <c r="AA292" i="6"/>
  <c r="AA293" i="6"/>
  <c r="AA294" i="6"/>
  <c r="AA295" i="6"/>
  <c r="AA296" i="6"/>
  <c r="AA297" i="6"/>
  <c r="AA298" i="6"/>
  <c r="AA299" i="6"/>
  <c r="AA300" i="6"/>
  <c r="AA301" i="6"/>
  <c r="AA302" i="6"/>
  <c r="AA303" i="6"/>
  <c r="AA304" i="6"/>
  <c r="AA305" i="6"/>
  <c r="AA306" i="6"/>
  <c r="AA307" i="6"/>
  <c r="AA308" i="6"/>
  <c r="AA309" i="6"/>
  <c r="AA310" i="6"/>
  <c r="AA311" i="6"/>
  <c r="AA312" i="6"/>
  <c r="AA313" i="6"/>
  <c r="AA314" i="6"/>
  <c r="AA315" i="6"/>
  <c r="AA316" i="6"/>
  <c r="AA317" i="6"/>
  <c r="AA318" i="6"/>
  <c r="AA319" i="6"/>
  <c r="AA320" i="6"/>
  <c r="AA321" i="6"/>
  <c r="AA322" i="6"/>
  <c r="AA323" i="6"/>
  <c r="AA324" i="6"/>
  <c r="AA325" i="6"/>
  <c r="AA326" i="6"/>
  <c r="AA327" i="6"/>
  <c r="AA328" i="6"/>
  <c r="AA329" i="6"/>
  <c r="AA330" i="6"/>
  <c r="AA331" i="6"/>
  <c r="AA332" i="6"/>
  <c r="AA333" i="6"/>
  <c r="AA334" i="6"/>
  <c r="AA335" i="6"/>
  <c r="AA336" i="6"/>
  <c r="AA337" i="6"/>
  <c r="AA338" i="6"/>
  <c r="AA339" i="6"/>
  <c r="AA340" i="6"/>
  <c r="AA341" i="6"/>
  <c r="AA342" i="6"/>
  <c r="AA343" i="6"/>
  <c r="AA344" i="6"/>
  <c r="AA345" i="6"/>
  <c r="AA346" i="6"/>
  <c r="AA347" i="6"/>
  <c r="AA348" i="6"/>
  <c r="AA349" i="6"/>
  <c r="AA350" i="6"/>
  <c r="AA351" i="6"/>
  <c r="AA352" i="6"/>
  <c r="AA353" i="6"/>
  <c r="AA354" i="6"/>
  <c r="AA355" i="6"/>
  <c r="AA356" i="6"/>
  <c r="AA357" i="6"/>
  <c r="AA358" i="6"/>
  <c r="AA359" i="6"/>
  <c r="AA360" i="6"/>
  <c r="AA361" i="6"/>
  <c r="AA362" i="6"/>
  <c r="AA363" i="6"/>
  <c r="AA364" i="6"/>
  <c r="AA365" i="6"/>
  <c r="AA366" i="6"/>
  <c r="AA367" i="6"/>
  <c r="AA368" i="6"/>
  <c r="AA369" i="6"/>
  <c r="AA370" i="6"/>
  <c r="AA371" i="6"/>
  <c r="AA372" i="6"/>
  <c r="AA373" i="6"/>
  <c r="AA374" i="6"/>
  <c r="AA375" i="6"/>
  <c r="AA376" i="6"/>
  <c r="AA377" i="6"/>
  <c r="AA378" i="6"/>
  <c r="AA379" i="6"/>
  <c r="AA380" i="6"/>
  <c r="AA381" i="6"/>
  <c r="AA382" i="6"/>
  <c r="AA383" i="6"/>
  <c r="AA384" i="6"/>
  <c r="AA385" i="6"/>
  <c r="AA386" i="6"/>
  <c r="AA387" i="6"/>
  <c r="AA388" i="6"/>
  <c r="AA389" i="6"/>
  <c r="AA390" i="6"/>
  <c r="AA391" i="6"/>
  <c r="AA392" i="6"/>
  <c r="AA393" i="6"/>
  <c r="AA394" i="6"/>
  <c r="AA395" i="6"/>
  <c r="AA396" i="6"/>
  <c r="AA397" i="6"/>
  <c r="AA398" i="6"/>
  <c r="AA399" i="6"/>
  <c r="AA400" i="6"/>
  <c r="AA401" i="6"/>
  <c r="AA402" i="6"/>
  <c r="AA403" i="6"/>
  <c r="AA404" i="6"/>
  <c r="AA405" i="6"/>
  <c r="AA406" i="6"/>
  <c r="AA407" i="6"/>
  <c r="AA408" i="6"/>
  <c r="AA409" i="6"/>
  <c r="AA410" i="6"/>
  <c r="AA411" i="6"/>
  <c r="AA412" i="6"/>
  <c r="AA413" i="6"/>
  <c r="AA414" i="6"/>
  <c r="AA415" i="6"/>
  <c r="AA416" i="6"/>
  <c r="AA417" i="6"/>
  <c r="AA418" i="6"/>
  <c r="AA419" i="6"/>
  <c r="AA420" i="6"/>
  <c r="AA421" i="6"/>
  <c r="AA422" i="6"/>
  <c r="AA423" i="6"/>
  <c r="AA424" i="6"/>
  <c r="AA425" i="6"/>
  <c r="AA426" i="6"/>
  <c r="AA427" i="6"/>
  <c r="AA428" i="6"/>
  <c r="AA429" i="6"/>
  <c r="AA430" i="6"/>
  <c r="AA431" i="6"/>
  <c r="AA432" i="6"/>
  <c r="AA433" i="6"/>
  <c r="AA434" i="6"/>
  <c r="AA435" i="6"/>
  <c r="AA436" i="6"/>
  <c r="AA437" i="6"/>
  <c r="AA438" i="6"/>
  <c r="AA439" i="6"/>
  <c r="AA440" i="6"/>
  <c r="AA441" i="6"/>
  <c r="AA442" i="6"/>
  <c r="AA443" i="6"/>
  <c r="AA444" i="6"/>
  <c r="AA445" i="6"/>
  <c r="AA446" i="6"/>
  <c r="AA447" i="6"/>
  <c r="AA448" i="6"/>
  <c r="AA449" i="6"/>
  <c r="AA450" i="6"/>
  <c r="AA451" i="6"/>
  <c r="AA452" i="6"/>
  <c r="AA453" i="6"/>
  <c r="AA454" i="6"/>
  <c r="AA455" i="6"/>
  <c r="AA456" i="6"/>
  <c r="AA457" i="6"/>
  <c r="AA458" i="6"/>
  <c r="AA459" i="6"/>
  <c r="AA460" i="6"/>
  <c r="AA461" i="6"/>
  <c r="AA462" i="6"/>
  <c r="AA463" i="6"/>
  <c r="AA464" i="6"/>
  <c r="AA465" i="6"/>
  <c r="AA466" i="6"/>
  <c r="AA467" i="6"/>
  <c r="AA468" i="6"/>
  <c r="AA469" i="6"/>
  <c r="AA470" i="6"/>
  <c r="AA471" i="6"/>
  <c r="AA472" i="6"/>
  <c r="AA473" i="6"/>
  <c r="AA474" i="6"/>
  <c r="AA475" i="6"/>
  <c r="AA476" i="6"/>
  <c r="AA477" i="6"/>
  <c r="AA478" i="6"/>
  <c r="AA479" i="6"/>
  <c r="AA480" i="6"/>
  <c r="AA481" i="6"/>
  <c r="AA482" i="6"/>
  <c r="AA483" i="6"/>
  <c r="AA484" i="6"/>
  <c r="AA485" i="6"/>
  <c r="AA486" i="6"/>
  <c r="AA487" i="6"/>
  <c r="AA488" i="6"/>
  <c r="AA489" i="6"/>
  <c r="AA490" i="6"/>
  <c r="AA491" i="6"/>
  <c r="AA492" i="6"/>
  <c r="AA493" i="6"/>
  <c r="AA494" i="6"/>
  <c r="AA495" i="6"/>
  <c r="AA496" i="6"/>
  <c r="AA497" i="6"/>
  <c r="AA498" i="6"/>
  <c r="AA499" i="6"/>
  <c r="AA500" i="6"/>
  <c r="AA501" i="6"/>
  <c r="AA502" i="6"/>
  <c r="AA503" i="6"/>
  <c r="AA504" i="6"/>
  <c r="AA505" i="6"/>
  <c r="AA506" i="6"/>
  <c r="AA507" i="6"/>
  <c r="AA508" i="6"/>
  <c r="AA509" i="6"/>
  <c r="AA510" i="6"/>
  <c r="AA511" i="6"/>
  <c r="AA512" i="6"/>
  <c r="AA513" i="6"/>
  <c r="AA514" i="6"/>
  <c r="AA515" i="6"/>
  <c r="AA516" i="6"/>
  <c r="AA517" i="6"/>
  <c r="AA518" i="6"/>
  <c r="AA519" i="6"/>
  <c r="AA520" i="6"/>
  <c r="AA521" i="6"/>
  <c r="AA522" i="6"/>
  <c r="AA523" i="6"/>
  <c r="AA524" i="6"/>
  <c r="AA525" i="6"/>
  <c r="AA526" i="6"/>
  <c r="AA527" i="6"/>
  <c r="AA528" i="6"/>
  <c r="AA529" i="6"/>
  <c r="AA530" i="6"/>
  <c r="AA531" i="6"/>
  <c r="AA532" i="6"/>
  <c r="AA533" i="6"/>
  <c r="AA534" i="6"/>
  <c r="AA535" i="6"/>
  <c r="AA536" i="6"/>
  <c r="AA537" i="6"/>
  <c r="AA538" i="6"/>
  <c r="AA539" i="6"/>
  <c r="AA540" i="6"/>
  <c r="AA541" i="6"/>
  <c r="AA542" i="6"/>
  <c r="AA543" i="6"/>
  <c r="AA544" i="6"/>
  <c r="AA545" i="6"/>
  <c r="AA546" i="6"/>
  <c r="AA547" i="6"/>
  <c r="AA548" i="6"/>
  <c r="AA549" i="6"/>
  <c r="AA550" i="6"/>
  <c r="AA551" i="6"/>
  <c r="AA552" i="6"/>
  <c r="AA553" i="6"/>
  <c r="AA554" i="6"/>
  <c r="AA555" i="6"/>
  <c r="AA556" i="6"/>
  <c r="AA557" i="6"/>
  <c r="AA558" i="6"/>
  <c r="AA559" i="6"/>
  <c r="AA560" i="6"/>
  <c r="AA561" i="6"/>
  <c r="AA562" i="6"/>
  <c r="AA563" i="6"/>
  <c r="AA564" i="6"/>
  <c r="AA565" i="6"/>
  <c r="AA566" i="6"/>
  <c r="AA567" i="6"/>
  <c r="AA568" i="6"/>
  <c r="AA569" i="6"/>
  <c r="AA570" i="6"/>
  <c r="AA571" i="6"/>
  <c r="AA572" i="6"/>
  <c r="AA573" i="6"/>
  <c r="AA574" i="6"/>
  <c r="AA575" i="6"/>
  <c r="AA576" i="6"/>
  <c r="AA577" i="6"/>
  <c r="AA578" i="6"/>
  <c r="AA579" i="6"/>
  <c r="AA580" i="6"/>
  <c r="AA581" i="6"/>
  <c r="AA582" i="6"/>
  <c r="AA583" i="6"/>
  <c r="AA584" i="6"/>
  <c r="AA585" i="6"/>
  <c r="AA586" i="6"/>
  <c r="AA587" i="6"/>
  <c r="AA588" i="6"/>
  <c r="AA589" i="6"/>
  <c r="AA590" i="6"/>
  <c r="AA591" i="6"/>
  <c r="AA592" i="6"/>
  <c r="AA593" i="6"/>
  <c r="AA594" i="6"/>
  <c r="AA595" i="6"/>
  <c r="AA596" i="6"/>
  <c r="AA597" i="6"/>
  <c r="AA598" i="6"/>
  <c r="AA599" i="6"/>
  <c r="AA600" i="6"/>
  <c r="AA601" i="6"/>
  <c r="AA602" i="6"/>
  <c r="AA603" i="6"/>
  <c r="AA604" i="6"/>
  <c r="AA605" i="6"/>
  <c r="AA606" i="6"/>
  <c r="AA607" i="6"/>
  <c r="AA608" i="6"/>
  <c r="AA609" i="6"/>
  <c r="AA610" i="6"/>
  <c r="AA611" i="6"/>
  <c r="AA612" i="6"/>
  <c r="AA613" i="6"/>
  <c r="AA614" i="6"/>
  <c r="AA615" i="6"/>
  <c r="AA616" i="6"/>
  <c r="AA617" i="6"/>
  <c r="AA618" i="6"/>
  <c r="AA619" i="6"/>
  <c r="AA620" i="6"/>
  <c r="AA621" i="6"/>
  <c r="AA622" i="6"/>
  <c r="AA623" i="6"/>
  <c r="AA624" i="6"/>
  <c r="AA625" i="6"/>
  <c r="AA626" i="6"/>
  <c r="AA627" i="6"/>
  <c r="AA628" i="6"/>
  <c r="AA629" i="6"/>
  <c r="AA630" i="6"/>
  <c r="AA631" i="6"/>
  <c r="AA632" i="6"/>
  <c r="AA633" i="6"/>
  <c r="AA634" i="6"/>
  <c r="AA635" i="6"/>
  <c r="AA636" i="6"/>
  <c r="AA637" i="6"/>
  <c r="AA638" i="6"/>
  <c r="AA639" i="6"/>
  <c r="AA640" i="6"/>
  <c r="AA641" i="6"/>
  <c r="AA642" i="6"/>
  <c r="AA643" i="6"/>
  <c r="AA644" i="6"/>
  <c r="AA645" i="6"/>
  <c r="AA646" i="6"/>
  <c r="AA647" i="6"/>
  <c r="AA648" i="6"/>
  <c r="AA649" i="6"/>
  <c r="AA650" i="6"/>
  <c r="AA651" i="6"/>
  <c r="AA652" i="6"/>
  <c r="AA653" i="6"/>
  <c r="AA654" i="6"/>
  <c r="AA655" i="6"/>
  <c r="AA656" i="6"/>
  <c r="AA657" i="6"/>
  <c r="AA658" i="6"/>
  <c r="AA659" i="6"/>
  <c r="AA660" i="6"/>
  <c r="AA661" i="6"/>
  <c r="AA662" i="6"/>
  <c r="AA663" i="6"/>
  <c r="AA664" i="6"/>
  <c r="AA665" i="6"/>
  <c r="AA666" i="6"/>
  <c r="AA667" i="6"/>
  <c r="AA668" i="6"/>
  <c r="AA669" i="6"/>
  <c r="AA670" i="6"/>
  <c r="AA671" i="6"/>
  <c r="AA672" i="6"/>
  <c r="AA673" i="6"/>
  <c r="AA674" i="6"/>
  <c r="AA675" i="6"/>
  <c r="AA676" i="6"/>
  <c r="AA677" i="6"/>
  <c r="AA678" i="6"/>
  <c r="AA679" i="6"/>
  <c r="AA680" i="6"/>
  <c r="AA681" i="6"/>
  <c r="AA682" i="6"/>
  <c r="AA683" i="6"/>
  <c r="AA684" i="6"/>
  <c r="AA685" i="6"/>
  <c r="AA686" i="6"/>
  <c r="AA687" i="6"/>
  <c r="AA688" i="6"/>
  <c r="AA689" i="6"/>
  <c r="AA690" i="6"/>
  <c r="AA691" i="6"/>
  <c r="AA692" i="6"/>
  <c r="AA693" i="6"/>
  <c r="AA694" i="6"/>
  <c r="AA695" i="6"/>
  <c r="AA696" i="6"/>
  <c r="AA697" i="6"/>
  <c r="AA698" i="6"/>
  <c r="AA699" i="6"/>
  <c r="AA700" i="6"/>
  <c r="AA701" i="6"/>
  <c r="AA702" i="6"/>
  <c r="AA703" i="6"/>
  <c r="AA704" i="6"/>
  <c r="AA705" i="6"/>
  <c r="AA706" i="6"/>
  <c r="AA707" i="6"/>
  <c r="AA708" i="6"/>
  <c r="AA709" i="6"/>
  <c r="AA710" i="6"/>
  <c r="AA711" i="6"/>
  <c r="AA712" i="6"/>
  <c r="AA713" i="6"/>
  <c r="AA714" i="6"/>
  <c r="AA715" i="6"/>
  <c r="AA716" i="6"/>
  <c r="AA717" i="6"/>
  <c r="AA718" i="6"/>
  <c r="AA719" i="6"/>
  <c r="AA720" i="6"/>
  <c r="AA721" i="6"/>
  <c r="AA722" i="6"/>
  <c r="AA723" i="6"/>
  <c r="AA724" i="6"/>
  <c r="AA725" i="6"/>
  <c r="AA726" i="6"/>
  <c r="AA727" i="6"/>
  <c r="AA728" i="6"/>
  <c r="AA729" i="6"/>
  <c r="AA730" i="6"/>
  <c r="AA731" i="6"/>
  <c r="AA732" i="6"/>
  <c r="AA733" i="6"/>
  <c r="AA734" i="6"/>
  <c r="AA735" i="6"/>
  <c r="AA736" i="6"/>
  <c r="AA737" i="6"/>
  <c r="AA738" i="6"/>
  <c r="AA739" i="6"/>
  <c r="AA740" i="6"/>
  <c r="AA741" i="6"/>
  <c r="AA742" i="6"/>
  <c r="AA743" i="6"/>
  <c r="AA744" i="6"/>
  <c r="AA745" i="6"/>
  <c r="AA746" i="6"/>
  <c r="AA747" i="6"/>
  <c r="AA748" i="6"/>
  <c r="AA749" i="6"/>
  <c r="AA750" i="6"/>
  <c r="AA751" i="6"/>
  <c r="AA752" i="6"/>
  <c r="AA753" i="6"/>
  <c r="AA754" i="6"/>
  <c r="AA755" i="6"/>
  <c r="AA756" i="6"/>
  <c r="AA757" i="6"/>
  <c r="AA758" i="6"/>
  <c r="AA759" i="6"/>
  <c r="AA760" i="6"/>
  <c r="AA761" i="6"/>
  <c r="AA762" i="6"/>
  <c r="AA763" i="6"/>
  <c r="AA764" i="6"/>
  <c r="AA765" i="6"/>
  <c r="AA766" i="6"/>
  <c r="AA767" i="6"/>
  <c r="AA768" i="6"/>
  <c r="AA769" i="6"/>
  <c r="AA770" i="6"/>
  <c r="AA771" i="6"/>
  <c r="AA772" i="6"/>
  <c r="AA773" i="6"/>
  <c r="AA774" i="6"/>
  <c r="AA775" i="6"/>
  <c r="AA776" i="6"/>
  <c r="AA777" i="6"/>
  <c r="AA778" i="6"/>
  <c r="AA779" i="6"/>
  <c r="AA780" i="6"/>
  <c r="AA781" i="6"/>
  <c r="AA782" i="6"/>
  <c r="AA783" i="6"/>
  <c r="AA784" i="6"/>
  <c r="AA785" i="6"/>
  <c r="AA786" i="6"/>
  <c r="AA787" i="6"/>
  <c r="AA788" i="6"/>
  <c r="AA789" i="6"/>
  <c r="AA790" i="6"/>
  <c r="AA791" i="6"/>
  <c r="AA792" i="6"/>
  <c r="AA793" i="6"/>
  <c r="AA794" i="6"/>
  <c r="AA795" i="6"/>
  <c r="AA796" i="6"/>
  <c r="AA797" i="6"/>
  <c r="AA798" i="6"/>
  <c r="AA799" i="6"/>
  <c r="AA800" i="6"/>
  <c r="AA801" i="6"/>
  <c r="AA802" i="6"/>
  <c r="AA803" i="6"/>
  <c r="AA804" i="6"/>
  <c r="AA805" i="6"/>
  <c r="AA806" i="6"/>
  <c r="AA807" i="6"/>
  <c r="AA808" i="6"/>
  <c r="AA809" i="6"/>
  <c r="AA810" i="6"/>
  <c r="AA811" i="6"/>
  <c r="AA812" i="6"/>
  <c r="AA813" i="6"/>
  <c r="AA814" i="6"/>
  <c r="AA815" i="6"/>
  <c r="AA816" i="6"/>
  <c r="AA817" i="6"/>
  <c r="AA818" i="6"/>
  <c r="AA819" i="6"/>
  <c r="AA820" i="6"/>
  <c r="AA821" i="6"/>
  <c r="AA822" i="6"/>
  <c r="AA823" i="6"/>
  <c r="AA824" i="6"/>
  <c r="AA825" i="6"/>
  <c r="AA826" i="6"/>
  <c r="AA827" i="6"/>
  <c r="AA828" i="6"/>
  <c r="AA829" i="6"/>
  <c r="AA830" i="6"/>
  <c r="AA831" i="6"/>
  <c r="AA832" i="6"/>
  <c r="AA833" i="6"/>
  <c r="AA834" i="6"/>
  <c r="AA835" i="6"/>
  <c r="AA836" i="6"/>
  <c r="AA837" i="6"/>
  <c r="AA838" i="6"/>
  <c r="AA839" i="6"/>
  <c r="AA840" i="6"/>
  <c r="AA841" i="6"/>
  <c r="AA842" i="6"/>
  <c r="AA843" i="6"/>
  <c r="AA844" i="6"/>
  <c r="AA845" i="6"/>
  <c r="AA846" i="6"/>
  <c r="AA847" i="6"/>
  <c r="AA848" i="6"/>
  <c r="AA849" i="6"/>
  <c r="AA850" i="6"/>
  <c r="AA851" i="6"/>
  <c r="AA852" i="6"/>
  <c r="AA853" i="6"/>
  <c r="AA854" i="6"/>
  <c r="AA855" i="6"/>
  <c r="AA856" i="6"/>
  <c r="AA857" i="6"/>
  <c r="AA858" i="6"/>
  <c r="AA859" i="6"/>
  <c r="AA860" i="6"/>
  <c r="AA861" i="6"/>
  <c r="AA862" i="6"/>
  <c r="AA863" i="6"/>
  <c r="AA864" i="6"/>
  <c r="AA865" i="6"/>
  <c r="AA866" i="6"/>
  <c r="AA867" i="6"/>
  <c r="AA868" i="6"/>
  <c r="AA869" i="6"/>
  <c r="AA870" i="6"/>
  <c r="AA871" i="6"/>
  <c r="AA872" i="6"/>
  <c r="AA873" i="6"/>
  <c r="AA874" i="6"/>
  <c r="AA875" i="6"/>
  <c r="AA876" i="6"/>
  <c r="AA877" i="6"/>
  <c r="AA878" i="6"/>
  <c r="AA879" i="6"/>
  <c r="AA880" i="6"/>
  <c r="AA881" i="6"/>
  <c r="AA882" i="6"/>
  <c r="AA883" i="6"/>
  <c r="AA884" i="6"/>
  <c r="AA885" i="6"/>
  <c r="AA886" i="6"/>
  <c r="AA887" i="6"/>
  <c r="AA888" i="6"/>
  <c r="AA889" i="6"/>
  <c r="AA890" i="6"/>
  <c r="AA891" i="6"/>
  <c r="AA892" i="6"/>
  <c r="AA893" i="6"/>
  <c r="AA894" i="6"/>
  <c r="AA895" i="6"/>
  <c r="AA896" i="6"/>
  <c r="AA897" i="6"/>
  <c r="AA898" i="6"/>
  <c r="AA899" i="6"/>
  <c r="AA900" i="6"/>
  <c r="AA901" i="6"/>
  <c r="AA902" i="6"/>
  <c r="AA903" i="6"/>
  <c r="AA904" i="6"/>
  <c r="AA905" i="6"/>
  <c r="AA906" i="6"/>
  <c r="AA907" i="6"/>
  <c r="AA908" i="6"/>
  <c r="AA909" i="6"/>
  <c r="AA910" i="6"/>
  <c r="AA911" i="6"/>
  <c r="AA912" i="6"/>
  <c r="AA913" i="6"/>
  <c r="AA914" i="6"/>
  <c r="AA915" i="6"/>
  <c r="AA916" i="6"/>
  <c r="AA917" i="6"/>
  <c r="AA918" i="6"/>
  <c r="AA919" i="6"/>
  <c r="AA920" i="6"/>
  <c r="AA921" i="6"/>
  <c r="AA922" i="6"/>
  <c r="AA923" i="6"/>
  <c r="AA924" i="6"/>
  <c r="AA925" i="6"/>
  <c r="AA926" i="6"/>
  <c r="AA927" i="6"/>
  <c r="AA928" i="6"/>
  <c r="AA929" i="6"/>
  <c r="AA930" i="6"/>
  <c r="AA931" i="6"/>
  <c r="AA932" i="6"/>
  <c r="AA933" i="6"/>
  <c r="AA934" i="6"/>
  <c r="AA935" i="6"/>
  <c r="AA936" i="6"/>
  <c r="AA937" i="6"/>
  <c r="AA938" i="6"/>
  <c r="AA939" i="6"/>
  <c r="AA940" i="6"/>
  <c r="AA941" i="6"/>
  <c r="AA2" i="6"/>
  <c r="U822" i="6"/>
  <c r="U238" i="6"/>
  <c r="U698" i="6"/>
  <c r="U496" i="6"/>
  <c r="U640" i="6"/>
  <c r="U2" i="6"/>
  <c r="U378" i="6"/>
  <c r="U699" i="6"/>
  <c r="U300" i="6"/>
  <c r="U912" i="6"/>
  <c r="U527" i="6"/>
  <c r="U239" i="6"/>
  <c r="U240" i="6"/>
  <c r="U95" i="6"/>
  <c r="U207" i="6"/>
  <c r="U528" i="6"/>
  <c r="U700" i="6"/>
  <c r="U241" i="6"/>
  <c r="U913" i="6"/>
  <c r="U208" i="6"/>
  <c r="U96" i="6"/>
  <c r="U64" i="6"/>
  <c r="U242" i="6"/>
  <c r="U301" i="6"/>
  <c r="U791" i="6"/>
  <c r="U823" i="6"/>
  <c r="U852" i="6"/>
  <c r="U824" i="6"/>
  <c r="U97" i="6"/>
  <c r="U914" i="6"/>
  <c r="U98" i="6"/>
  <c r="U302" i="6"/>
  <c r="U701" i="6"/>
  <c r="U792" i="6"/>
  <c r="U379" i="6"/>
  <c r="U702" i="6"/>
  <c r="U703" i="6"/>
  <c r="U825" i="6"/>
  <c r="U704" i="6"/>
  <c r="U440" i="6"/>
  <c r="U529" i="6"/>
  <c r="U303" i="6"/>
  <c r="U497" i="6"/>
  <c r="U441" i="6"/>
  <c r="U705" i="6"/>
  <c r="U99" i="6"/>
  <c r="U609" i="6"/>
  <c r="U530" i="6"/>
  <c r="U442" i="6"/>
  <c r="U347" i="6"/>
  <c r="U706" i="6"/>
  <c r="U304" i="6"/>
  <c r="U305" i="6"/>
  <c r="U589" i="6"/>
  <c r="U145" i="6"/>
  <c r="U100" i="6"/>
  <c r="U707" i="6"/>
  <c r="U915" i="6"/>
  <c r="U916" i="6"/>
  <c r="U641" i="6"/>
  <c r="U610" i="6"/>
  <c r="U853" i="6"/>
  <c r="U826" i="6"/>
  <c r="U917" i="6"/>
  <c r="U883" i="6"/>
  <c r="U306" i="6"/>
  <c r="U708" i="6"/>
  <c r="U590" i="6"/>
  <c r="U642" i="6"/>
  <c r="U243" i="6"/>
  <c r="U443" i="6"/>
  <c r="U380" i="6"/>
  <c r="U244" i="6"/>
  <c r="U444" i="6"/>
  <c r="U611" i="6"/>
  <c r="U643" i="6"/>
  <c r="U3" i="6"/>
  <c r="U209" i="6"/>
  <c r="U793" i="6"/>
  <c r="U146" i="6"/>
  <c r="U827" i="6"/>
  <c r="U147" i="6"/>
  <c r="U65" i="6"/>
  <c r="U245" i="6"/>
  <c r="U445" i="6"/>
  <c r="U4" i="6"/>
  <c r="U918" i="6"/>
  <c r="U591" i="6"/>
  <c r="U612" i="6"/>
  <c r="U210" i="6"/>
  <c r="U592" i="6"/>
  <c r="U794" i="6"/>
  <c r="U709" i="6"/>
  <c r="U5" i="6"/>
  <c r="U710" i="6"/>
  <c r="U211" i="6"/>
  <c r="U381" i="6"/>
  <c r="U666" i="6"/>
  <c r="U884" i="6"/>
  <c r="U593" i="6"/>
  <c r="U382" i="6"/>
  <c r="U66" i="6"/>
  <c r="U212" i="6"/>
  <c r="U498" i="6"/>
  <c r="U307" i="6"/>
  <c r="U854" i="6"/>
  <c r="U246" i="6"/>
  <c r="U499" i="6"/>
  <c r="U828" i="6"/>
  <c r="U101" i="6"/>
  <c r="U213" i="6"/>
  <c r="U446" i="6"/>
  <c r="U348" i="6"/>
  <c r="U855" i="6"/>
  <c r="U6" i="6"/>
  <c r="U247" i="6"/>
  <c r="U349" i="6"/>
  <c r="U613" i="6"/>
  <c r="U531" i="6"/>
  <c r="U383" i="6"/>
  <c r="U856" i="6"/>
  <c r="U447" i="6"/>
  <c r="U711" i="6"/>
  <c r="U712" i="6"/>
  <c r="U350" i="6"/>
  <c r="U308" i="6"/>
  <c r="U448" i="6"/>
  <c r="U102" i="6"/>
  <c r="U384" i="6"/>
  <c r="U885" i="6"/>
  <c r="U857" i="6"/>
  <c r="U385" i="6"/>
  <c r="U795" i="6"/>
  <c r="U532" i="6"/>
  <c r="U449" i="6"/>
  <c r="U919" i="6"/>
  <c r="U248" i="6"/>
  <c r="U148" i="6"/>
  <c r="U594" i="6"/>
  <c r="U713" i="6"/>
  <c r="U533" i="6"/>
  <c r="U7" i="6"/>
  <c r="U614" i="6"/>
  <c r="U615" i="6"/>
  <c r="U386" i="6"/>
  <c r="U149" i="6"/>
  <c r="U500" i="6"/>
  <c r="U829" i="6"/>
  <c r="U309" i="6"/>
  <c r="U8" i="6"/>
  <c r="U667" i="6"/>
  <c r="U150" i="6"/>
  <c r="U714" i="6"/>
  <c r="U616" i="6"/>
  <c r="U501" i="6"/>
  <c r="U830" i="6"/>
  <c r="U249" i="6"/>
  <c r="U796" i="6"/>
  <c r="U797" i="6"/>
  <c r="U617" i="6"/>
  <c r="U886" i="6"/>
  <c r="U387" i="6"/>
  <c r="U920" i="6"/>
  <c r="U9" i="6"/>
  <c r="U798" i="6"/>
  <c r="U310" i="6"/>
  <c r="U67" i="6"/>
  <c r="U214" i="6"/>
  <c r="U450" i="6"/>
  <c r="U10" i="6"/>
  <c r="U388" i="6"/>
  <c r="U250" i="6"/>
  <c r="U595" i="6"/>
  <c r="U151" i="6"/>
  <c r="U644" i="6"/>
  <c r="U152" i="6"/>
  <c r="U68" i="6"/>
  <c r="U69" i="6"/>
  <c r="U153" i="6"/>
  <c r="U502" i="6"/>
  <c r="U389" i="6"/>
  <c r="U645" i="6"/>
  <c r="U390" i="6"/>
  <c r="U715" i="6"/>
  <c r="U831" i="6"/>
  <c r="U858" i="6"/>
  <c r="U351" i="6"/>
  <c r="U832" i="6"/>
  <c r="U154" i="6"/>
  <c r="U352" i="6"/>
  <c r="U155" i="6"/>
  <c r="U534" i="6"/>
  <c r="U535" i="6"/>
  <c r="U716" i="6"/>
  <c r="U353" i="6"/>
  <c r="U156" i="6"/>
  <c r="U618" i="6"/>
  <c r="U536" i="6"/>
  <c r="U70" i="6"/>
  <c r="U503" i="6"/>
  <c r="U717" i="6"/>
  <c r="U619" i="6"/>
  <c r="U103" i="6"/>
  <c r="U718" i="6"/>
  <c r="U668" i="6"/>
  <c r="U311" i="6"/>
  <c r="U859" i="6"/>
  <c r="U451" i="6"/>
  <c r="U887" i="6"/>
  <c r="U391" i="6"/>
  <c r="U392" i="6"/>
  <c r="U537" i="6"/>
  <c r="U833" i="6"/>
  <c r="U538" i="6"/>
  <c r="U799" i="6"/>
  <c r="U921" i="6"/>
  <c r="U504" i="6"/>
  <c r="U251" i="6"/>
  <c r="U505" i="6"/>
  <c r="U719" i="6"/>
  <c r="U539" i="6"/>
  <c r="U922" i="6"/>
  <c r="U540" i="6"/>
  <c r="U71" i="6"/>
  <c r="U720" i="6"/>
  <c r="U923" i="6"/>
  <c r="U888" i="6"/>
  <c r="U393" i="6"/>
  <c r="U860" i="6"/>
  <c r="U541" i="6"/>
  <c r="U834" i="6"/>
  <c r="U394" i="6"/>
  <c r="U11" i="6"/>
  <c r="U452" i="6"/>
  <c r="U395" i="6"/>
  <c r="U396" i="6"/>
  <c r="U721" i="6"/>
  <c r="U861" i="6"/>
  <c r="U862" i="6"/>
  <c r="U889" i="6"/>
  <c r="U646" i="6"/>
  <c r="U596" i="6"/>
  <c r="U890" i="6"/>
  <c r="U157" i="6"/>
  <c r="U12" i="6"/>
  <c r="U13" i="6"/>
  <c r="U104" i="6"/>
  <c r="U506" i="6"/>
  <c r="U215" i="6"/>
  <c r="U397" i="6"/>
  <c r="U158" i="6"/>
  <c r="U72" i="6"/>
  <c r="U252" i="6"/>
  <c r="U597" i="6"/>
  <c r="U647" i="6"/>
  <c r="U542" i="6"/>
  <c r="U669" i="6"/>
  <c r="U543" i="6"/>
  <c r="U105" i="6"/>
  <c r="U507" i="6"/>
  <c r="U354" i="6"/>
  <c r="U620" i="6"/>
  <c r="U453" i="6"/>
  <c r="U621" i="6"/>
  <c r="U159" i="6"/>
  <c r="U355" i="6"/>
  <c r="U891" i="6"/>
  <c r="U800" i="6"/>
  <c r="U892" i="6"/>
  <c r="U160" i="6"/>
  <c r="U722" i="6"/>
  <c r="U544" i="6"/>
  <c r="U723" i="6"/>
  <c r="U14" i="6"/>
  <c r="U598" i="6"/>
  <c r="U216" i="6"/>
  <c r="U863" i="6"/>
  <c r="U835" i="6"/>
  <c r="U253" i="6"/>
  <c r="U924" i="6"/>
  <c r="U161" i="6"/>
  <c r="U599" i="6"/>
  <c r="U508" i="6"/>
  <c r="U600" i="6"/>
  <c r="U254" i="6"/>
  <c r="U622" i="6"/>
  <c r="U454" i="6"/>
  <c r="U724" i="6"/>
  <c r="U623" i="6"/>
  <c r="U648" i="6"/>
  <c r="U545" i="6"/>
  <c r="U312" i="6"/>
  <c r="U162" i="6"/>
  <c r="U15" i="6"/>
  <c r="U925" i="6"/>
  <c r="U106" i="6"/>
  <c r="U670" i="6"/>
  <c r="U398" i="6"/>
  <c r="U801" i="6"/>
  <c r="U399" i="6"/>
  <c r="U836" i="6"/>
  <c r="U893" i="6"/>
  <c r="U107" i="6"/>
  <c r="U400" i="6"/>
  <c r="U401" i="6"/>
  <c r="U837" i="6"/>
  <c r="U402" i="6"/>
  <c r="U255" i="6"/>
  <c r="U601" i="6"/>
  <c r="U802" i="6"/>
  <c r="U256" i="6"/>
  <c r="U257" i="6"/>
  <c r="U108" i="6"/>
  <c r="U546" i="6"/>
  <c r="U624" i="6"/>
  <c r="U864" i="6"/>
  <c r="U725" i="6"/>
  <c r="U726" i="6"/>
  <c r="U109" i="6"/>
  <c r="U509" i="6"/>
  <c r="U258" i="6"/>
  <c r="U110" i="6"/>
  <c r="U547" i="6"/>
  <c r="U727" i="6"/>
  <c r="U671" i="6"/>
  <c r="U838" i="6"/>
  <c r="U649" i="6"/>
  <c r="U455" i="6"/>
  <c r="U163" i="6"/>
  <c r="U259" i="6"/>
  <c r="U356" i="6"/>
  <c r="U16" i="6"/>
  <c r="U17" i="6"/>
  <c r="U164" i="6"/>
  <c r="U510" i="6"/>
  <c r="U260" i="6"/>
  <c r="U625" i="6"/>
  <c r="U803" i="6"/>
  <c r="U865" i="6"/>
  <c r="U73" i="6"/>
  <c r="U111" i="6"/>
  <c r="U728" i="6"/>
  <c r="U729" i="6"/>
  <c r="U74" i="6"/>
  <c r="U804" i="6"/>
  <c r="U18" i="6"/>
  <c r="U626" i="6"/>
  <c r="U548" i="6"/>
  <c r="U19" i="6"/>
  <c r="U894" i="6"/>
  <c r="U261" i="6"/>
  <c r="U926" i="6"/>
  <c r="U75" i="6"/>
  <c r="U262" i="6"/>
  <c r="U549" i="6"/>
  <c r="U456" i="6"/>
  <c r="U313" i="6"/>
  <c r="U672" i="6"/>
  <c r="U650" i="6"/>
  <c r="U730" i="6"/>
  <c r="U217" i="6"/>
  <c r="U550" i="6"/>
  <c r="U218" i="6"/>
  <c r="U627" i="6"/>
  <c r="U357" i="6"/>
  <c r="U839" i="6"/>
  <c r="U76" i="6"/>
  <c r="U403" i="6"/>
  <c r="U404" i="6"/>
  <c r="U805" i="6"/>
  <c r="U806" i="6"/>
  <c r="U731" i="6"/>
  <c r="U405" i="6"/>
  <c r="U551" i="6"/>
  <c r="U112" i="6"/>
  <c r="U807" i="6"/>
  <c r="U511" i="6"/>
  <c r="U457" i="6"/>
  <c r="U20" i="6"/>
  <c r="U165" i="6"/>
  <c r="U651" i="6"/>
  <c r="U512" i="6"/>
  <c r="U458" i="6"/>
  <c r="U459" i="6"/>
  <c r="U460" i="6"/>
  <c r="U113" i="6"/>
  <c r="U314" i="6"/>
  <c r="U166" i="6"/>
  <c r="U732" i="6"/>
  <c r="U114" i="6"/>
  <c r="U315" i="6"/>
  <c r="U461" i="6"/>
  <c r="U406" i="6"/>
  <c r="U808" i="6"/>
  <c r="U840" i="6"/>
  <c r="U733" i="6"/>
  <c r="U628" i="6"/>
  <c r="U167" i="6"/>
  <c r="U21" i="6"/>
  <c r="U734" i="6"/>
  <c r="U735" i="6"/>
  <c r="U22" i="6"/>
  <c r="U736" i="6"/>
  <c r="U629" i="6"/>
  <c r="U841" i="6"/>
  <c r="U927" i="6"/>
  <c r="U168" i="6"/>
  <c r="U552" i="6"/>
  <c r="U553" i="6"/>
  <c r="U462" i="6"/>
  <c r="U169" i="6"/>
  <c r="U463" i="6"/>
  <c r="U737" i="6"/>
  <c r="U554" i="6"/>
  <c r="U23" i="6"/>
  <c r="U263" i="6"/>
  <c r="U77" i="6"/>
  <c r="U78" i="6"/>
  <c r="U928" i="6"/>
  <c r="U115" i="6"/>
  <c r="U555" i="6"/>
  <c r="U556" i="6"/>
  <c r="U170" i="6"/>
  <c r="U557" i="6"/>
  <c r="U738" i="6"/>
  <c r="U116" i="6"/>
  <c r="U513" i="6"/>
  <c r="U464" i="6"/>
  <c r="U407" i="6"/>
  <c r="U739" i="6"/>
  <c r="U117" i="6"/>
  <c r="U171" i="6"/>
  <c r="U316" i="6"/>
  <c r="U358" i="6"/>
  <c r="U408" i="6"/>
  <c r="U24" i="6"/>
  <c r="U317" i="6"/>
  <c r="U409" i="6"/>
  <c r="U929" i="6"/>
  <c r="U465" i="6"/>
  <c r="U558" i="6"/>
  <c r="U559" i="6"/>
  <c r="U560" i="6"/>
  <c r="U318" i="6"/>
  <c r="U219" i="6"/>
  <c r="U466" i="6"/>
  <c r="U467" i="6"/>
  <c r="U740" i="6"/>
  <c r="U25" i="6"/>
  <c r="U26" i="6"/>
  <c r="U118" i="6"/>
  <c r="U895" i="6"/>
  <c r="U652" i="6"/>
  <c r="U930" i="6"/>
  <c r="U172" i="6"/>
  <c r="U561" i="6"/>
  <c r="U319" i="6"/>
  <c r="U562" i="6"/>
  <c r="U809" i="6"/>
  <c r="U27" i="6"/>
  <c r="U320" i="6"/>
  <c r="U119" i="6"/>
  <c r="U173" i="6"/>
  <c r="U174" i="6"/>
  <c r="U931" i="6"/>
  <c r="U514" i="6"/>
  <c r="U896" i="6"/>
  <c r="U175" i="6"/>
  <c r="U866" i="6"/>
  <c r="U468" i="6"/>
  <c r="U741" i="6"/>
  <c r="U28" i="6"/>
  <c r="U742" i="6"/>
  <c r="U630" i="6"/>
  <c r="U176" i="6"/>
  <c r="U469" i="6"/>
  <c r="U673" i="6"/>
  <c r="U410" i="6"/>
  <c r="U120" i="6"/>
  <c r="U359" i="6"/>
  <c r="U515" i="6"/>
  <c r="U321" i="6"/>
  <c r="U264" i="6"/>
  <c r="U842" i="6"/>
  <c r="U743" i="6"/>
  <c r="U897" i="6"/>
  <c r="U121" i="6"/>
  <c r="U411" i="6"/>
  <c r="U843" i="6"/>
  <c r="U744" i="6"/>
  <c r="U470" i="6"/>
  <c r="U265" i="6"/>
  <c r="U867" i="6"/>
  <c r="U412" i="6"/>
  <c r="U220" i="6"/>
  <c r="U745" i="6"/>
  <c r="U29" i="6"/>
  <c r="U266" i="6"/>
  <c r="U844" i="6"/>
  <c r="U674" i="6"/>
  <c r="U746" i="6"/>
  <c r="U267" i="6"/>
  <c r="U675" i="6"/>
  <c r="U413" i="6"/>
  <c r="U30" i="6"/>
  <c r="U563" i="6"/>
  <c r="U177" i="6"/>
  <c r="U471" i="6"/>
  <c r="U898" i="6"/>
  <c r="U268" i="6"/>
  <c r="U31" i="6"/>
  <c r="U360" i="6"/>
  <c r="U269" i="6"/>
  <c r="U747" i="6"/>
  <c r="U748" i="6"/>
  <c r="U322" i="6"/>
  <c r="U79" i="6"/>
  <c r="U361" i="6"/>
  <c r="U564" i="6"/>
  <c r="U810" i="6"/>
  <c r="U414" i="6"/>
  <c r="U80" i="6"/>
  <c r="U811" i="6"/>
  <c r="U868" i="6"/>
  <c r="U178" i="6"/>
  <c r="U676" i="6"/>
  <c r="U677" i="6"/>
  <c r="U323" i="6"/>
  <c r="U749" i="6"/>
  <c r="U324" i="6"/>
  <c r="U602" i="6"/>
  <c r="U932" i="6"/>
  <c r="U899" i="6"/>
  <c r="U270" i="6"/>
  <c r="U271" i="6"/>
  <c r="U678" i="6"/>
  <c r="U81" i="6"/>
  <c r="U812" i="6"/>
  <c r="U565" i="6"/>
  <c r="U272" i="6"/>
  <c r="U750" i="6"/>
  <c r="U32" i="6"/>
  <c r="U325" i="6"/>
  <c r="U933" i="6"/>
  <c r="U566" i="6"/>
  <c r="U362" i="6"/>
  <c r="U567" i="6"/>
  <c r="U363" i="6"/>
  <c r="U33" i="6"/>
  <c r="U179" i="6"/>
  <c r="U472" i="6"/>
  <c r="U82" i="6"/>
  <c r="U122" i="6"/>
  <c r="U34" i="6"/>
  <c r="U679" i="6"/>
  <c r="U326" i="6"/>
  <c r="U221" i="6"/>
  <c r="U180" i="6"/>
  <c r="U123" i="6"/>
  <c r="U415" i="6"/>
  <c r="U181" i="6"/>
  <c r="U568" i="6"/>
  <c r="U273" i="6"/>
  <c r="U934" i="6"/>
  <c r="U327" i="6"/>
  <c r="U751" i="6"/>
  <c r="U900" i="6"/>
  <c r="U869" i="6"/>
  <c r="U752" i="6"/>
  <c r="U364" i="6"/>
  <c r="U124" i="6"/>
  <c r="U603" i="6"/>
  <c r="U473" i="6"/>
  <c r="U653" i="6"/>
  <c r="U654" i="6"/>
  <c r="U680" i="6"/>
  <c r="U753" i="6"/>
  <c r="U631" i="6"/>
  <c r="U182" i="6"/>
  <c r="U83" i="6"/>
  <c r="U569" i="6"/>
  <c r="U125" i="6"/>
  <c r="U222" i="6"/>
  <c r="U126" i="6"/>
  <c r="U570" i="6"/>
  <c r="U632" i="6"/>
  <c r="U84" i="6"/>
  <c r="U183" i="6"/>
  <c r="U681" i="6"/>
  <c r="U633" i="6"/>
  <c r="U328" i="6"/>
  <c r="U274" i="6"/>
  <c r="U416" i="6"/>
  <c r="U754" i="6"/>
  <c r="U35" i="6"/>
  <c r="U571" i="6"/>
  <c r="U474" i="6"/>
  <c r="U516" i="6"/>
  <c r="U901" i="6"/>
  <c r="U813" i="6"/>
  <c r="U36" i="6"/>
  <c r="U85" i="6"/>
  <c r="U902" i="6"/>
  <c r="U814" i="6"/>
  <c r="U755" i="6"/>
  <c r="U903" i="6"/>
  <c r="U682" i="6"/>
  <c r="U365" i="6"/>
  <c r="U870" i="6"/>
  <c r="U127" i="6"/>
  <c r="U128" i="6"/>
  <c r="U275" i="6"/>
  <c r="U184" i="6"/>
  <c r="U129" i="6"/>
  <c r="U475" i="6"/>
  <c r="U185" i="6"/>
  <c r="U130" i="6"/>
  <c r="U655" i="6"/>
  <c r="U276" i="6"/>
  <c r="U329" i="6"/>
  <c r="U656" i="6"/>
  <c r="U223" i="6"/>
  <c r="U756" i="6"/>
  <c r="U37" i="6"/>
  <c r="U330" i="6"/>
  <c r="U757" i="6"/>
  <c r="U517" i="6"/>
  <c r="U518" i="6"/>
  <c r="U224" i="6"/>
  <c r="U476" i="6"/>
  <c r="U477" i="6"/>
  <c r="U758" i="6"/>
  <c r="U86" i="6"/>
  <c r="U277" i="6"/>
  <c r="U38" i="6"/>
  <c r="U904" i="6"/>
  <c r="U871" i="6"/>
  <c r="U683" i="6"/>
  <c r="U478" i="6"/>
  <c r="U572" i="6"/>
  <c r="U366" i="6"/>
  <c r="U87" i="6"/>
  <c r="U759" i="6"/>
  <c r="U331" i="6"/>
  <c r="U604" i="6"/>
  <c r="U905" i="6"/>
  <c r="U479" i="6"/>
  <c r="U760" i="6"/>
  <c r="U657" i="6"/>
  <c r="U658" i="6"/>
  <c r="U332" i="6"/>
  <c r="U761" i="6"/>
  <c r="U605" i="6"/>
  <c r="U519" i="6"/>
  <c r="U278" i="6"/>
  <c r="U367" i="6"/>
  <c r="U333" i="6"/>
  <c r="U417" i="6"/>
  <c r="U186" i="6"/>
  <c r="U368" i="6"/>
  <c r="U279" i="6"/>
  <c r="U280" i="6"/>
  <c r="U281" i="6"/>
  <c r="U418" i="6"/>
  <c r="U573" i="6"/>
  <c r="U225" i="6"/>
  <c r="U659" i="6"/>
  <c r="U815" i="6"/>
  <c r="U762" i="6"/>
  <c r="U935" i="6"/>
  <c r="U872" i="6"/>
  <c r="U282" i="6"/>
  <c r="U131" i="6"/>
  <c r="U763" i="6"/>
  <c r="U283" i="6"/>
  <c r="U906" i="6"/>
  <c r="U873" i="6"/>
  <c r="U764" i="6"/>
  <c r="U419" i="6"/>
  <c r="U420" i="6"/>
  <c r="U39" i="6"/>
  <c r="U765" i="6"/>
  <c r="U132" i="6"/>
  <c r="U874" i="6"/>
  <c r="U520" i="6"/>
  <c r="U40" i="6"/>
  <c r="U521" i="6"/>
  <c r="U480" i="6"/>
  <c r="U481" i="6"/>
  <c r="U421" i="6"/>
  <c r="U284" i="6"/>
  <c r="U334" i="6"/>
  <c r="U41" i="6"/>
  <c r="U482" i="6"/>
  <c r="U483" i="6"/>
  <c r="U907" i="6"/>
  <c r="U42" i="6"/>
  <c r="U335" i="6"/>
  <c r="U574" i="6"/>
  <c r="U226" i="6"/>
  <c r="U369" i="6"/>
  <c r="U575" i="6"/>
  <c r="U766" i="6"/>
  <c r="U684" i="6"/>
  <c r="U484" i="6"/>
  <c r="U43" i="6"/>
  <c r="U187" i="6"/>
  <c r="U634" i="6"/>
  <c r="U422" i="6"/>
  <c r="U188" i="6"/>
  <c r="U522" i="6"/>
  <c r="U285" i="6"/>
  <c r="U767" i="6"/>
  <c r="U227" i="6"/>
  <c r="U44" i="6"/>
  <c r="U133" i="6"/>
  <c r="U768" i="6"/>
  <c r="U660" i="6"/>
  <c r="U816" i="6"/>
  <c r="U189" i="6"/>
  <c r="U908" i="6"/>
  <c r="U45" i="6"/>
  <c r="U370" i="6"/>
  <c r="U661" i="6"/>
  <c r="U936" i="6"/>
  <c r="U336" i="6"/>
  <c r="U46" i="6"/>
  <c r="U423" i="6"/>
  <c r="U228" i="6"/>
  <c r="U817" i="6"/>
  <c r="U337" i="6"/>
  <c r="U338" i="6"/>
  <c r="U339" i="6"/>
  <c r="U424" i="6"/>
  <c r="U818" i="6"/>
  <c r="U47" i="6"/>
  <c r="U48" i="6"/>
  <c r="U909" i="6"/>
  <c r="U371" i="6"/>
  <c r="U769" i="6"/>
  <c r="U819" i="6"/>
  <c r="U635" i="6"/>
  <c r="U340" i="6"/>
  <c r="U190" i="6"/>
  <c r="U576" i="6"/>
  <c r="U425" i="6"/>
  <c r="U770" i="6"/>
  <c r="U134" i="6"/>
  <c r="U341" i="6"/>
  <c r="U685" i="6"/>
  <c r="U191" i="6"/>
  <c r="U910" i="6"/>
  <c r="U485" i="6"/>
  <c r="U845" i="6"/>
  <c r="U49" i="6"/>
  <c r="U229" i="6"/>
  <c r="U135" i="6"/>
  <c r="U636" i="6"/>
  <c r="U88" i="6"/>
  <c r="U192" i="6"/>
  <c r="U136" i="6"/>
  <c r="U662" i="6"/>
  <c r="U426" i="6"/>
  <c r="U137" i="6"/>
  <c r="U686" i="6"/>
  <c r="U911" i="6"/>
  <c r="U486" i="6"/>
  <c r="U771" i="6"/>
  <c r="U193" i="6"/>
  <c r="U50" i="6"/>
  <c r="U372" i="6"/>
  <c r="U487" i="6"/>
  <c r="U230" i="6"/>
  <c r="U772" i="6"/>
  <c r="U194" i="6"/>
  <c r="U427" i="6"/>
  <c r="U875" i="6"/>
  <c r="U51" i="6"/>
  <c r="U52" i="6"/>
  <c r="U373" i="6"/>
  <c r="U687" i="6"/>
  <c r="U53" i="6"/>
  <c r="U577" i="6"/>
  <c r="U688" i="6"/>
  <c r="U342" i="6"/>
  <c r="U428" i="6"/>
  <c r="U773" i="6"/>
  <c r="U374" i="6"/>
  <c r="U195" i="6"/>
  <c r="U488" i="6"/>
  <c r="U231" i="6"/>
  <c r="U774" i="6"/>
  <c r="U489" i="6"/>
  <c r="U490" i="6"/>
  <c r="U54" i="6"/>
  <c r="U286" i="6"/>
  <c r="U89" i="6"/>
  <c r="U90" i="6"/>
  <c r="U689" i="6"/>
  <c r="U876" i="6"/>
  <c r="U287" i="6"/>
  <c r="U578" i="6"/>
  <c r="U429" i="6"/>
  <c r="U55" i="6"/>
  <c r="U288" i="6"/>
  <c r="U690" i="6"/>
  <c r="U775" i="6"/>
  <c r="U430" i="6"/>
  <c r="U523" i="6"/>
  <c r="U663" i="6"/>
  <c r="U56" i="6"/>
  <c r="U491" i="6"/>
  <c r="U289" i="6"/>
  <c r="U290" i="6"/>
  <c r="U846" i="6"/>
  <c r="U776" i="6"/>
  <c r="U343" i="6"/>
  <c r="U291" i="6"/>
  <c r="U196" i="6"/>
  <c r="U637" i="6"/>
  <c r="U847" i="6"/>
  <c r="U138" i="6"/>
  <c r="U579" i="6"/>
  <c r="U139" i="6"/>
  <c r="U91" i="6"/>
  <c r="U292" i="6"/>
  <c r="U777" i="6"/>
  <c r="U877" i="6"/>
  <c r="U375" i="6"/>
  <c r="U57" i="6"/>
  <c r="U691" i="6"/>
  <c r="U92" i="6"/>
  <c r="U937" i="6"/>
  <c r="U376" i="6"/>
  <c r="U492" i="6"/>
  <c r="U493" i="6"/>
  <c r="U431" i="6"/>
  <c r="U232" i="6"/>
  <c r="U344" i="6"/>
  <c r="U494" i="6"/>
  <c r="U778" i="6"/>
  <c r="U779" i="6"/>
  <c r="U197" i="6"/>
  <c r="U140" i="6"/>
  <c r="U432" i="6"/>
  <c r="U878" i="6"/>
  <c r="U141" i="6"/>
  <c r="U198" i="6"/>
  <c r="U495" i="6"/>
  <c r="U58" i="6"/>
  <c r="U233" i="6"/>
  <c r="U293" i="6"/>
  <c r="U433" i="6"/>
  <c r="U692" i="6"/>
  <c r="U780" i="6"/>
  <c r="U199" i="6"/>
  <c r="U59" i="6"/>
  <c r="U580" i="6"/>
  <c r="U581" i="6"/>
  <c r="U200" i="6"/>
  <c r="U848" i="6"/>
  <c r="U879" i="6"/>
  <c r="U93" i="6"/>
  <c r="U693" i="6"/>
  <c r="U638" i="6"/>
  <c r="U524" i="6"/>
  <c r="U781" i="6"/>
  <c r="U820" i="6"/>
  <c r="U849" i="6"/>
  <c r="U938" i="6"/>
  <c r="U201" i="6"/>
  <c r="U939" i="6"/>
  <c r="U694" i="6"/>
  <c r="U60" i="6"/>
  <c r="U582" i="6"/>
  <c r="U606" i="6"/>
  <c r="U782" i="6"/>
  <c r="U61" i="6"/>
  <c r="U434" i="6"/>
  <c r="U142" i="6"/>
  <c r="U435" i="6"/>
  <c r="U202" i="6"/>
  <c r="U345" i="6"/>
  <c r="U436" i="6"/>
  <c r="U294" i="6"/>
  <c r="U203" i="6"/>
  <c r="U295" i="6"/>
  <c r="U437" i="6"/>
  <c r="U62" i="6"/>
  <c r="U204" i="6"/>
  <c r="U583" i="6"/>
  <c r="U205" i="6"/>
  <c r="U234" i="6"/>
  <c r="U880" i="6"/>
  <c r="U695" i="6"/>
  <c r="U235" i="6"/>
  <c r="U296" i="6"/>
  <c r="U236" i="6"/>
  <c r="U639" i="6"/>
  <c r="U94" i="6"/>
  <c r="U297" i="6"/>
  <c r="U206" i="6"/>
  <c r="U584" i="6"/>
  <c r="U377" i="6"/>
  <c r="U346" i="6"/>
  <c r="U585" i="6"/>
  <c r="U607" i="6"/>
  <c r="U783" i="6"/>
  <c r="U143" i="6"/>
  <c r="U438" i="6"/>
  <c r="U881" i="6"/>
  <c r="U63" i="6"/>
  <c r="U144" i="6"/>
  <c r="U525" i="6"/>
  <c r="U298" i="6"/>
  <c r="U940" i="6"/>
  <c r="U696" i="6"/>
  <c r="U608" i="6"/>
  <c r="U664" i="6"/>
  <c r="U299" i="6"/>
  <c r="U665" i="6"/>
  <c r="U586" i="6"/>
  <c r="U784" i="6"/>
  <c r="U821" i="6"/>
  <c r="U850" i="6"/>
  <c r="U785" i="6"/>
  <c r="U941" i="6"/>
  <c r="U882" i="6"/>
  <c r="U786" i="6"/>
  <c r="U787" i="6"/>
  <c r="U788" i="6"/>
  <c r="U587" i="6"/>
  <c r="U237" i="6"/>
  <c r="U851" i="6"/>
  <c r="U789" i="6"/>
  <c r="U439" i="6"/>
  <c r="U588" i="6"/>
  <c r="U526" i="6"/>
  <c r="U790" i="6"/>
  <c r="U697" i="6"/>
  <c r="J822" i="6"/>
  <c r="J238" i="6"/>
  <c r="J698" i="6"/>
  <c r="J496" i="6"/>
  <c r="J640" i="6"/>
  <c r="J2" i="6"/>
  <c r="J378" i="6"/>
  <c r="J699" i="6"/>
  <c r="J300" i="6"/>
  <c r="J912" i="6"/>
  <c r="J527" i="6"/>
  <c r="J239" i="6"/>
  <c r="J240" i="6"/>
  <c r="J95" i="6"/>
  <c r="J207" i="6"/>
  <c r="J528" i="6"/>
  <c r="J700" i="6"/>
  <c r="J241" i="6"/>
  <c r="J913" i="6"/>
  <c r="J208" i="6"/>
  <c r="J96" i="6"/>
  <c r="J64" i="6"/>
  <c r="J242" i="6"/>
  <c r="J301" i="6"/>
  <c r="J791" i="6"/>
  <c r="J823" i="6"/>
  <c r="J852" i="6"/>
  <c r="J824" i="6"/>
  <c r="J97" i="6"/>
  <c r="J914" i="6"/>
  <c r="J98" i="6"/>
  <c r="J302" i="6"/>
  <c r="J701" i="6"/>
  <c r="J792" i="6"/>
  <c r="J379" i="6"/>
  <c r="J702" i="6"/>
  <c r="J703" i="6"/>
  <c r="J825" i="6"/>
  <c r="J704" i="6"/>
  <c r="J440" i="6"/>
  <c r="J529" i="6"/>
  <c r="J303" i="6"/>
  <c r="J497" i="6"/>
  <c r="J441" i="6"/>
  <c r="J705" i="6"/>
  <c r="J99" i="6"/>
  <c r="J609" i="6"/>
  <c r="J530" i="6"/>
  <c r="J442" i="6"/>
  <c r="J347" i="6"/>
  <c r="J706" i="6"/>
  <c r="J304" i="6"/>
  <c r="J305" i="6"/>
  <c r="J589" i="6"/>
  <c r="J145" i="6"/>
  <c r="J100" i="6"/>
  <c r="J707" i="6"/>
  <c r="J915" i="6"/>
  <c r="J916" i="6"/>
  <c r="J641" i="6"/>
  <c r="J610" i="6"/>
  <c r="J853" i="6"/>
  <c r="J826" i="6"/>
  <c r="J917" i="6"/>
  <c r="J883" i="6"/>
  <c r="J306" i="6"/>
  <c r="J708" i="6"/>
  <c r="J590" i="6"/>
  <c r="J642" i="6"/>
  <c r="J243" i="6"/>
  <c r="J443" i="6"/>
  <c r="J380" i="6"/>
  <c r="J244" i="6"/>
  <c r="J444" i="6"/>
  <c r="J611" i="6"/>
  <c r="J643" i="6"/>
  <c r="J3" i="6"/>
  <c r="J209" i="6"/>
  <c r="J793" i="6"/>
  <c r="J146" i="6"/>
  <c r="J827" i="6"/>
  <c r="J147" i="6"/>
  <c r="J65" i="6"/>
  <c r="J245" i="6"/>
  <c r="J445" i="6"/>
  <c r="J4" i="6"/>
  <c r="J918" i="6"/>
  <c r="J591" i="6"/>
  <c r="J612" i="6"/>
  <c r="J210" i="6"/>
  <c r="J592" i="6"/>
  <c r="J794" i="6"/>
  <c r="J709" i="6"/>
  <c r="J5" i="6"/>
  <c r="J710" i="6"/>
  <c r="J211" i="6"/>
  <c r="J381" i="6"/>
  <c r="J666" i="6"/>
  <c r="J884" i="6"/>
  <c r="J593" i="6"/>
  <c r="J382" i="6"/>
  <c r="J66" i="6"/>
  <c r="J212" i="6"/>
  <c r="J498" i="6"/>
  <c r="J307" i="6"/>
  <c r="J854" i="6"/>
  <c r="J246" i="6"/>
  <c r="J499" i="6"/>
  <c r="J828" i="6"/>
  <c r="J101" i="6"/>
  <c r="J213" i="6"/>
  <c r="J446" i="6"/>
  <c r="J348" i="6"/>
  <c r="J855" i="6"/>
  <c r="J6" i="6"/>
  <c r="J247" i="6"/>
  <c r="J349" i="6"/>
  <c r="J613" i="6"/>
  <c r="J531" i="6"/>
  <c r="J383" i="6"/>
  <c r="J856" i="6"/>
  <c r="J447" i="6"/>
  <c r="J711" i="6"/>
  <c r="J712" i="6"/>
  <c r="J350" i="6"/>
  <c r="J308" i="6"/>
  <c r="J448" i="6"/>
  <c r="J102" i="6"/>
  <c r="J384" i="6"/>
  <c r="J885" i="6"/>
  <c r="J857" i="6"/>
  <c r="J385" i="6"/>
  <c r="J795" i="6"/>
  <c r="J532" i="6"/>
  <c r="J449" i="6"/>
  <c r="J919" i="6"/>
  <c r="J248" i="6"/>
  <c r="J148" i="6"/>
  <c r="J594" i="6"/>
  <c r="J713" i="6"/>
  <c r="J533" i="6"/>
  <c r="J7" i="6"/>
  <c r="J614" i="6"/>
  <c r="J615" i="6"/>
  <c r="J386" i="6"/>
  <c r="J149" i="6"/>
  <c r="J500" i="6"/>
  <c r="J829" i="6"/>
  <c r="J309" i="6"/>
  <c r="J8" i="6"/>
  <c r="J667" i="6"/>
  <c r="J150" i="6"/>
  <c r="J714" i="6"/>
  <c r="J616" i="6"/>
  <c r="J501" i="6"/>
  <c r="J830" i="6"/>
  <c r="J249" i="6"/>
  <c r="J796" i="6"/>
  <c r="J797" i="6"/>
  <c r="J617" i="6"/>
  <c r="J886" i="6"/>
  <c r="J387" i="6"/>
  <c r="J920" i="6"/>
  <c r="J9" i="6"/>
  <c r="J798" i="6"/>
  <c r="J310" i="6"/>
  <c r="J67" i="6"/>
  <c r="J214" i="6"/>
  <c r="J450" i="6"/>
  <c r="J10" i="6"/>
  <c r="J388" i="6"/>
  <c r="J250" i="6"/>
  <c r="J595" i="6"/>
  <c r="J151" i="6"/>
  <c r="J644" i="6"/>
  <c r="J152" i="6"/>
  <c r="J68" i="6"/>
  <c r="J69" i="6"/>
  <c r="J153" i="6"/>
  <c r="J502" i="6"/>
  <c r="J389" i="6"/>
  <c r="J645" i="6"/>
  <c r="J390" i="6"/>
  <c r="J715" i="6"/>
  <c r="J831" i="6"/>
  <c r="J858" i="6"/>
  <c r="J351" i="6"/>
  <c r="J832" i="6"/>
  <c r="J154" i="6"/>
  <c r="J352" i="6"/>
  <c r="J155" i="6"/>
  <c r="J534" i="6"/>
  <c r="J535" i="6"/>
  <c r="J716" i="6"/>
  <c r="J353" i="6"/>
  <c r="J156" i="6"/>
  <c r="J618" i="6"/>
  <c r="J536" i="6"/>
  <c r="J70" i="6"/>
  <c r="J503" i="6"/>
  <c r="J717" i="6"/>
  <c r="J619" i="6"/>
  <c r="J103" i="6"/>
  <c r="J718" i="6"/>
  <c r="J668" i="6"/>
  <c r="J311" i="6"/>
  <c r="J859" i="6"/>
  <c r="J451" i="6"/>
  <c r="J887" i="6"/>
  <c r="J391" i="6"/>
  <c r="J392" i="6"/>
  <c r="J537" i="6"/>
  <c r="J833" i="6"/>
  <c r="J538" i="6"/>
  <c r="J799" i="6"/>
  <c r="J921" i="6"/>
  <c r="J504" i="6"/>
  <c r="J251" i="6"/>
  <c r="J505" i="6"/>
  <c r="J719" i="6"/>
  <c r="J539" i="6"/>
  <c r="J922" i="6"/>
  <c r="J540" i="6"/>
  <c r="J71" i="6"/>
  <c r="J720" i="6"/>
  <c r="J923" i="6"/>
  <c r="J888" i="6"/>
  <c r="J393" i="6"/>
  <c r="J860" i="6"/>
  <c r="J541" i="6"/>
  <c r="J834" i="6"/>
  <c r="J394" i="6"/>
  <c r="J11" i="6"/>
  <c r="J452" i="6"/>
  <c r="J395" i="6"/>
  <c r="J396" i="6"/>
  <c r="J721" i="6"/>
  <c r="J861" i="6"/>
  <c r="J862" i="6"/>
  <c r="J889" i="6"/>
  <c r="J646" i="6"/>
  <c r="J596" i="6"/>
  <c r="J890" i="6"/>
  <c r="J157" i="6"/>
  <c r="J12" i="6"/>
  <c r="J13" i="6"/>
  <c r="J104" i="6"/>
  <c r="J506" i="6"/>
  <c r="J215" i="6"/>
  <c r="J397" i="6"/>
  <c r="J158" i="6"/>
  <c r="J72" i="6"/>
  <c r="J252" i="6"/>
  <c r="J597" i="6"/>
  <c r="J647" i="6"/>
  <c r="J542" i="6"/>
  <c r="J669" i="6"/>
  <c r="J543" i="6"/>
  <c r="J105" i="6"/>
  <c r="J507" i="6"/>
  <c r="J354" i="6"/>
  <c r="J620" i="6"/>
  <c r="J453" i="6"/>
  <c r="J621" i="6"/>
  <c r="J159" i="6"/>
  <c r="J355" i="6"/>
  <c r="J891" i="6"/>
  <c r="J800" i="6"/>
  <c r="J892" i="6"/>
  <c r="J160" i="6"/>
  <c r="J722" i="6"/>
  <c r="J544" i="6"/>
  <c r="J723" i="6"/>
  <c r="J14" i="6"/>
  <c r="J598" i="6"/>
  <c r="J216" i="6"/>
  <c r="J863" i="6"/>
  <c r="J835" i="6"/>
  <c r="J253" i="6"/>
  <c r="J924" i="6"/>
  <c r="J161" i="6"/>
  <c r="J599" i="6"/>
  <c r="J508" i="6"/>
  <c r="J600" i="6"/>
  <c r="J254" i="6"/>
  <c r="J622" i="6"/>
  <c r="J454" i="6"/>
  <c r="J724" i="6"/>
  <c r="J623" i="6"/>
  <c r="J648" i="6"/>
  <c r="J545" i="6"/>
  <c r="J312" i="6"/>
  <c r="J162" i="6"/>
  <c r="J15" i="6"/>
  <c r="J925" i="6"/>
  <c r="J106" i="6"/>
  <c r="J670" i="6"/>
  <c r="J398" i="6"/>
  <c r="J801" i="6"/>
  <c r="J399" i="6"/>
  <c r="J836" i="6"/>
  <c r="J893" i="6"/>
  <c r="J107" i="6"/>
  <c r="J400" i="6"/>
  <c r="J401" i="6"/>
  <c r="J837" i="6"/>
  <c r="J402" i="6"/>
  <c r="J255" i="6"/>
  <c r="J601" i="6"/>
  <c r="J802" i="6"/>
  <c r="J256" i="6"/>
  <c r="J257" i="6"/>
  <c r="J108" i="6"/>
  <c r="J546" i="6"/>
  <c r="J624" i="6"/>
  <c r="J864" i="6"/>
  <c r="J725" i="6"/>
  <c r="J726" i="6"/>
  <c r="J109" i="6"/>
  <c r="J509" i="6"/>
  <c r="J258" i="6"/>
  <c r="J110" i="6"/>
  <c r="J547" i="6"/>
  <c r="J727" i="6"/>
  <c r="J671" i="6"/>
  <c r="J838" i="6"/>
  <c r="J649" i="6"/>
  <c r="J455" i="6"/>
  <c r="J163" i="6"/>
  <c r="J259" i="6"/>
  <c r="J356" i="6"/>
  <c r="J16" i="6"/>
  <c r="J17" i="6"/>
  <c r="J164" i="6"/>
  <c r="J510" i="6"/>
  <c r="J260" i="6"/>
  <c r="J625" i="6"/>
  <c r="J803" i="6"/>
  <c r="J865" i="6"/>
  <c r="J73" i="6"/>
  <c r="J111" i="6"/>
  <c r="J728" i="6"/>
  <c r="J729" i="6"/>
  <c r="J74" i="6"/>
  <c r="J804" i="6"/>
  <c r="J18" i="6"/>
  <c r="J626" i="6"/>
  <c r="J548" i="6"/>
  <c r="J19" i="6"/>
  <c r="J894" i="6"/>
  <c r="J261" i="6"/>
  <c r="J926" i="6"/>
  <c r="J75" i="6"/>
  <c r="J262" i="6"/>
  <c r="J549" i="6"/>
  <c r="J456" i="6"/>
  <c r="J313" i="6"/>
  <c r="J672" i="6"/>
  <c r="J650" i="6"/>
  <c r="J730" i="6"/>
  <c r="J217" i="6"/>
  <c r="J550" i="6"/>
  <c r="J218" i="6"/>
  <c r="J627" i="6"/>
  <c r="J357" i="6"/>
  <c r="J839" i="6"/>
  <c r="J76" i="6"/>
  <c r="J403" i="6"/>
  <c r="J404" i="6"/>
  <c r="J805" i="6"/>
  <c r="J806" i="6"/>
  <c r="J731" i="6"/>
  <c r="J405" i="6"/>
  <c r="J551" i="6"/>
  <c r="J112" i="6"/>
  <c r="J807" i="6"/>
  <c r="J511" i="6"/>
  <c r="J457" i="6"/>
  <c r="J20" i="6"/>
  <c r="J165" i="6"/>
  <c r="J651" i="6"/>
  <c r="J512" i="6"/>
  <c r="J458" i="6"/>
  <c r="J459" i="6"/>
  <c r="J460" i="6"/>
  <c r="J113" i="6"/>
  <c r="J314" i="6"/>
  <c r="J166" i="6"/>
  <c r="J732" i="6"/>
  <c r="J114" i="6"/>
  <c r="J315" i="6"/>
  <c r="J461" i="6"/>
  <c r="J406" i="6"/>
  <c r="J808" i="6"/>
  <c r="J840" i="6"/>
  <c r="J733" i="6"/>
  <c r="J628" i="6"/>
  <c r="J167" i="6"/>
  <c r="J21" i="6"/>
  <c r="J734" i="6"/>
  <c r="J735" i="6"/>
  <c r="J22" i="6"/>
  <c r="J736" i="6"/>
  <c r="J629" i="6"/>
  <c r="J841" i="6"/>
  <c r="J927" i="6"/>
  <c r="J168" i="6"/>
  <c r="J552" i="6"/>
  <c r="J553" i="6"/>
  <c r="J462" i="6"/>
  <c r="J169" i="6"/>
  <c r="J463" i="6"/>
  <c r="J737" i="6"/>
  <c r="J554" i="6"/>
  <c r="J23" i="6"/>
  <c r="J263" i="6"/>
  <c r="J77" i="6"/>
  <c r="J78" i="6"/>
  <c r="J928" i="6"/>
  <c r="J115" i="6"/>
  <c r="J555" i="6"/>
  <c r="J556" i="6"/>
  <c r="J170" i="6"/>
  <c r="J557" i="6"/>
  <c r="J738" i="6"/>
  <c r="J116" i="6"/>
  <c r="J513" i="6"/>
  <c r="J464" i="6"/>
  <c r="J407" i="6"/>
  <c r="J739" i="6"/>
  <c r="J117" i="6"/>
  <c r="J171" i="6"/>
  <c r="J316" i="6"/>
  <c r="J358" i="6"/>
  <c r="J408" i="6"/>
  <c r="J24" i="6"/>
  <c r="J317" i="6"/>
  <c r="J409" i="6"/>
  <c r="J929" i="6"/>
  <c r="J465" i="6"/>
  <c r="J558" i="6"/>
  <c r="J559" i="6"/>
  <c r="J560" i="6"/>
  <c r="J318" i="6"/>
  <c r="J219" i="6"/>
  <c r="J466" i="6"/>
  <c r="J467" i="6"/>
  <c r="J740" i="6"/>
  <c r="J25" i="6"/>
  <c r="J26" i="6"/>
  <c r="J118" i="6"/>
  <c r="J895" i="6"/>
  <c r="J652" i="6"/>
  <c r="J930" i="6"/>
  <c r="J172" i="6"/>
  <c r="J561" i="6"/>
  <c r="J319" i="6"/>
  <c r="J562" i="6"/>
  <c r="J809" i="6"/>
  <c r="J27" i="6"/>
  <c r="J320" i="6"/>
  <c r="J119" i="6"/>
  <c r="J173" i="6"/>
  <c r="J174" i="6"/>
  <c r="J931" i="6"/>
  <c r="J514" i="6"/>
  <c r="J896" i="6"/>
  <c r="J175" i="6"/>
  <c r="J866" i="6"/>
  <c r="J468" i="6"/>
  <c r="J741" i="6"/>
  <c r="J28" i="6"/>
  <c r="J742" i="6"/>
  <c r="J630" i="6"/>
  <c r="J176" i="6"/>
  <c r="J469" i="6"/>
  <c r="J673" i="6"/>
  <c r="J410" i="6"/>
  <c r="J120" i="6"/>
  <c r="J359" i="6"/>
  <c r="J515" i="6"/>
  <c r="J321" i="6"/>
  <c r="J264" i="6"/>
  <c r="J842" i="6"/>
  <c r="J743" i="6"/>
  <c r="J897" i="6"/>
  <c r="J121" i="6"/>
  <c r="J411" i="6"/>
  <c r="J843" i="6"/>
  <c r="J744" i="6"/>
  <c r="J470" i="6"/>
  <c r="J265" i="6"/>
  <c r="J867" i="6"/>
  <c r="J412" i="6"/>
  <c r="J220" i="6"/>
  <c r="J745" i="6"/>
  <c r="J29" i="6"/>
  <c r="J266" i="6"/>
  <c r="J844" i="6"/>
  <c r="J674" i="6"/>
  <c r="J746" i="6"/>
  <c r="J267" i="6"/>
  <c r="J675" i="6"/>
  <c r="J413" i="6"/>
  <c r="J30" i="6"/>
  <c r="J563" i="6"/>
  <c r="J177" i="6"/>
  <c r="J471" i="6"/>
  <c r="J898" i="6"/>
  <c r="J268" i="6"/>
  <c r="J31" i="6"/>
  <c r="J360" i="6"/>
  <c r="J269" i="6"/>
  <c r="J747" i="6"/>
  <c r="J748" i="6"/>
  <c r="J322" i="6"/>
  <c r="J79" i="6"/>
  <c r="J361" i="6"/>
  <c r="J564" i="6"/>
  <c r="J810" i="6"/>
  <c r="J414" i="6"/>
  <c r="J80" i="6"/>
  <c r="J811" i="6"/>
  <c r="J868" i="6"/>
  <c r="J178" i="6"/>
  <c r="J676" i="6"/>
  <c r="J677" i="6"/>
  <c r="J323" i="6"/>
  <c r="J749" i="6"/>
  <c r="J324" i="6"/>
  <c r="J602" i="6"/>
  <c r="J932" i="6"/>
  <c r="J899" i="6"/>
  <c r="J270" i="6"/>
  <c r="J271" i="6"/>
  <c r="J678" i="6"/>
  <c r="J81" i="6"/>
  <c r="J812" i="6"/>
  <c r="J565" i="6"/>
  <c r="J272" i="6"/>
  <c r="J750" i="6"/>
  <c r="J32" i="6"/>
  <c r="J325" i="6"/>
  <c r="J933" i="6"/>
  <c r="J566" i="6"/>
  <c r="J362" i="6"/>
  <c r="J567" i="6"/>
  <c r="J363" i="6"/>
  <c r="J33" i="6"/>
  <c r="J179" i="6"/>
  <c r="J472" i="6"/>
  <c r="J82" i="6"/>
  <c r="J122" i="6"/>
  <c r="J34" i="6"/>
  <c r="J679" i="6"/>
  <c r="J326" i="6"/>
  <c r="J221" i="6"/>
  <c r="J180" i="6"/>
  <c r="J123" i="6"/>
  <c r="J415" i="6"/>
  <c r="J181" i="6"/>
  <c r="J568" i="6"/>
  <c r="J273" i="6"/>
  <c r="J934" i="6"/>
  <c r="J327" i="6"/>
  <c r="J751" i="6"/>
  <c r="J900" i="6"/>
  <c r="J869" i="6"/>
  <c r="J752" i="6"/>
  <c r="J364" i="6"/>
  <c r="J124" i="6"/>
  <c r="J603" i="6"/>
  <c r="J473" i="6"/>
  <c r="J653" i="6"/>
  <c r="J654" i="6"/>
  <c r="J680" i="6"/>
  <c r="J753" i="6"/>
  <c r="J631" i="6"/>
  <c r="J182" i="6"/>
  <c r="J83" i="6"/>
  <c r="J569" i="6"/>
  <c r="J125" i="6"/>
  <c r="J222" i="6"/>
  <c r="J126" i="6"/>
  <c r="J570" i="6"/>
  <c r="J632" i="6"/>
  <c r="J84" i="6"/>
  <c r="J183" i="6"/>
  <c r="J681" i="6"/>
  <c r="J633" i="6"/>
  <c r="J328" i="6"/>
  <c r="J274" i="6"/>
  <c r="J416" i="6"/>
  <c r="J754" i="6"/>
  <c r="J35" i="6"/>
  <c r="J571" i="6"/>
  <c r="J474" i="6"/>
  <c r="J516" i="6"/>
  <c r="J901" i="6"/>
  <c r="J813" i="6"/>
  <c r="J36" i="6"/>
  <c r="J85" i="6"/>
  <c r="J902" i="6"/>
  <c r="J814" i="6"/>
  <c r="J755" i="6"/>
  <c r="J903" i="6"/>
  <c r="J682" i="6"/>
  <c r="J365" i="6"/>
  <c r="J870" i="6"/>
  <c r="J127" i="6"/>
  <c r="J128" i="6"/>
  <c r="J275" i="6"/>
  <c r="J184" i="6"/>
  <c r="J129" i="6"/>
  <c r="J475" i="6"/>
  <c r="J185" i="6"/>
  <c r="J130" i="6"/>
  <c r="J655" i="6"/>
  <c r="J276" i="6"/>
  <c r="J329" i="6"/>
  <c r="J656" i="6"/>
  <c r="J223" i="6"/>
  <c r="J756" i="6"/>
  <c r="J37" i="6"/>
  <c r="J330" i="6"/>
  <c r="J757" i="6"/>
  <c r="J517" i="6"/>
  <c r="J518" i="6"/>
  <c r="J224" i="6"/>
  <c r="J476" i="6"/>
  <c r="J477" i="6"/>
  <c r="J758" i="6"/>
  <c r="J86" i="6"/>
  <c r="J277" i="6"/>
  <c r="J38" i="6"/>
  <c r="J904" i="6"/>
  <c r="J871" i="6"/>
  <c r="J683" i="6"/>
  <c r="J478" i="6"/>
  <c r="J572" i="6"/>
  <c r="J366" i="6"/>
  <c r="J87" i="6"/>
  <c r="J759" i="6"/>
  <c r="J331" i="6"/>
  <c r="J604" i="6"/>
  <c r="J905" i="6"/>
  <c r="J479" i="6"/>
  <c r="J760" i="6"/>
  <c r="J657" i="6"/>
  <c r="J658" i="6"/>
  <c r="J332" i="6"/>
  <c r="J761" i="6"/>
  <c r="J605" i="6"/>
  <c r="J519" i="6"/>
  <c r="J278" i="6"/>
  <c r="J367" i="6"/>
  <c r="J333" i="6"/>
  <c r="J417" i="6"/>
  <c r="J186" i="6"/>
  <c r="J368" i="6"/>
  <c r="J279" i="6"/>
  <c r="J280" i="6"/>
  <c r="J281" i="6"/>
  <c r="J418" i="6"/>
  <c r="J573" i="6"/>
  <c r="J225" i="6"/>
  <c r="J659" i="6"/>
  <c r="J815" i="6"/>
  <c r="J762" i="6"/>
  <c r="J935" i="6"/>
  <c r="J872" i="6"/>
  <c r="J282" i="6"/>
  <c r="J131" i="6"/>
  <c r="J763" i="6"/>
  <c r="J283" i="6"/>
  <c r="J906" i="6"/>
  <c r="J873" i="6"/>
  <c r="J764" i="6"/>
  <c r="J419" i="6"/>
  <c r="J420" i="6"/>
  <c r="J39" i="6"/>
  <c r="J765" i="6"/>
  <c r="J132" i="6"/>
  <c r="J874" i="6"/>
  <c r="J520" i="6"/>
  <c r="J40" i="6"/>
  <c r="J521" i="6"/>
  <c r="J480" i="6"/>
  <c r="J481" i="6"/>
  <c r="J421" i="6"/>
  <c r="J284" i="6"/>
  <c r="J334" i="6"/>
  <c r="J41" i="6"/>
  <c r="J482" i="6"/>
  <c r="J483" i="6"/>
  <c r="J907" i="6"/>
  <c r="J42" i="6"/>
  <c r="J335" i="6"/>
  <c r="J574" i="6"/>
  <c r="J226" i="6"/>
  <c r="J369" i="6"/>
  <c r="J575" i="6"/>
  <c r="J766" i="6"/>
  <c r="J684" i="6"/>
  <c r="J484" i="6"/>
  <c r="J43" i="6"/>
  <c r="J187" i="6"/>
  <c r="J634" i="6"/>
  <c r="J422" i="6"/>
  <c r="J188" i="6"/>
  <c r="J522" i="6"/>
  <c r="J285" i="6"/>
  <c r="J767" i="6"/>
  <c r="J227" i="6"/>
  <c r="J44" i="6"/>
  <c r="J133" i="6"/>
  <c r="J768" i="6"/>
  <c r="J660" i="6"/>
  <c r="J816" i="6"/>
  <c r="J189" i="6"/>
  <c r="J908" i="6"/>
  <c r="J45" i="6"/>
  <c r="J370" i="6"/>
  <c r="J661" i="6"/>
  <c r="J936" i="6"/>
  <c r="J336" i="6"/>
  <c r="J46" i="6"/>
  <c r="J423" i="6"/>
  <c r="J228" i="6"/>
  <c r="J817" i="6"/>
  <c r="J337" i="6"/>
  <c r="J338" i="6"/>
  <c r="J339" i="6"/>
  <c r="J424" i="6"/>
  <c r="J818" i="6"/>
  <c r="J47" i="6"/>
  <c r="J48" i="6"/>
  <c r="J909" i="6"/>
  <c r="J371" i="6"/>
  <c r="J769" i="6"/>
  <c r="J819" i="6"/>
  <c r="J635" i="6"/>
  <c r="J340" i="6"/>
  <c r="J190" i="6"/>
  <c r="J576" i="6"/>
  <c r="J425" i="6"/>
  <c r="J770" i="6"/>
  <c r="J134" i="6"/>
  <c r="J341" i="6"/>
  <c r="J685" i="6"/>
  <c r="J191" i="6"/>
  <c r="J910" i="6"/>
  <c r="J485" i="6"/>
  <c r="J845" i="6"/>
  <c r="J49" i="6"/>
  <c r="J229" i="6"/>
  <c r="J135" i="6"/>
  <c r="J636" i="6"/>
  <c r="J88" i="6"/>
  <c r="J192" i="6"/>
  <c r="J136" i="6"/>
  <c r="J662" i="6"/>
  <c r="J426" i="6"/>
  <c r="J137" i="6"/>
  <c r="J686" i="6"/>
  <c r="J911" i="6"/>
  <c r="J486" i="6"/>
  <c r="J771" i="6"/>
  <c r="J193" i="6"/>
  <c r="J50" i="6"/>
  <c r="J372" i="6"/>
  <c r="J487" i="6"/>
  <c r="J230" i="6"/>
  <c r="J772" i="6"/>
  <c r="J194" i="6"/>
  <c r="J427" i="6"/>
  <c r="J875" i="6"/>
  <c r="J51" i="6"/>
  <c r="J52" i="6"/>
  <c r="J373" i="6"/>
  <c r="J687" i="6"/>
  <c r="J53" i="6"/>
  <c r="J577" i="6"/>
  <c r="J688" i="6"/>
  <c r="J342" i="6"/>
  <c r="J428" i="6"/>
  <c r="J773" i="6"/>
  <c r="J374" i="6"/>
  <c r="J195" i="6"/>
  <c r="J488" i="6"/>
  <c r="J231" i="6"/>
  <c r="J774" i="6"/>
  <c r="J489" i="6"/>
  <c r="J490" i="6"/>
  <c r="J54" i="6"/>
  <c r="J286" i="6"/>
  <c r="J89" i="6"/>
  <c r="J90" i="6"/>
  <c r="J689" i="6"/>
  <c r="J876" i="6"/>
  <c r="J287" i="6"/>
  <c r="J578" i="6"/>
  <c r="J429" i="6"/>
  <c r="J55" i="6"/>
  <c r="J288" i="6"/>
  <c r="J690" i="6"/>
  <c r="J775" i="6"/>
  <c r="J430" i="6"/>
  <c r="J523" i="6"/>
  <c r="J663" i="6"/>
  <c r="J56" i="6"/>
  <c r="J491" i="6"/>
  <c r="J289" i="6"/>
  <c r="J290" i="6"/>
  <c r="J846" i="6"/>
  <c r="J776" i="6"/>
  <c r="J343" i="6"/>
  <c r="J291" i="6"/>
  <c r="J196" i="6"/>
  <c r="J637" i="6"/>
  <c r="J847" i="6"/>
  <c r="J138" i="6"/>
  <c r="J579" i="6"/>
  <c r="J139" i="6"/>
  <c r="J91" i="6"/>
  <c r="J292" i="6"/>
  <c r="J777" i="6"/>
  <c r="J877" i="6"/>
  <c r="J375" i="6"/>
  <c r="J57" i="6"/>
  <c r="J691" i="6"/>
  <c r="J92" i="6"/>
  <c r="J937" i="6"/>
  <c r="J376" i="6"/>
  <c r="J492" i="6"/>
  <c r="J493" i="6"/>
  <c r="J431" i="6"/>
  <c r="J232" i="6"/>
  <c r="J344" i="6"/>
  <c r="J494" i="6"/>
  <c r="J778" i="6"/>
  <c r="J779" i="6"/>
  <c r="J197" i="6"/>
  <c r="J140" i="6"/>
  <c r="J432" i="6"/>
  <c r="J878" i="6"/>
  <c r="J141" i="6"/>
  <c r="J198" i="6"/>
  <c r="J495" i="6"/>
  <c r="J58" i="6"/>
  <c r="J233" i="6"/>
  <c r="J293" i="6"/>
  <c r="J433" i="6"/>
  <c r="J692" i="6"/>
  <c r="J780" i="6"/>
  <c r="J199" i="6"/>
  <c r="J59" i="6"/>
  <c r="J580" i="6"/>
  <c r="J581" i="6"/>
  <c r="J200" i="6"/>
  <c r="J848" i="6"/>
  <c r="J879" i="6"/>
  <c r="J93" i="6"/>
  <c r="J693" i="6"/>
  <c r="J638" i="6"/>
  <c r="J524" i="6"/>
  <c r="J781" i="6"/>
  <c r="J820" i="6"/>
  <c r="J849" i="6"/>
  <c r="J938" i="6"/>
  <c r="J201" i="6"/>
  <c r="J939" i="6"/>
  <c r="J694" i="6"/>
  <c r="J60" i="6"/>
  <c r="J582" i="6"/>
  <c r="J606" i="6"/>
  <c r="J782" i="6"/>
  <c r="J61" i="6"/>
  <c r="J434" i="6"/>
  <c r="J142" i="6"/>
  <c r="J435" i="6"/>
  <c r="J202" i="6"/>
  <c r="J345" i="6"/>
  <c r="J436" i="6"/>
  <c r="J294" i="6"/>
  <c r="J203" i="6"/>
  <c r="J295" i="6"/>
  <c r="J437" i="6"/>
  <c r="J62" i="6"/>
  <c r="J204" i="6"/>
  <c r="J583" i="6"/>
  <c r="J205" i="6"/>
  <c r="J234" i="6"/>
  <c r="J880" i="6"/>
  <c r="J695" i="6"/>
  <c r="J235" i="6"/>
  <c r="J296" i="6"/>
  <c r="J236" i="6"/>
  <c r="J639" i="6"/>
  <c r="J94" i="6"/>
  <c r="J297" i="6"/>
  <c r="J206" i="6"/>
  <c r="J584" i="6"/>
  <c r="J377" i="6"/>
  <c r="J346" i="6"/>
  <c r="J585" i="6"/>
  <c r="J607" i="6"/>
  <c r="J783" i="6"/>
  <c r="J143" i="6"/>
  <c r="J438" i="6"/>
  <c r="J881" i="6"/>
  <c r="J63" i="6"/>
  <c r="J144" i="6"/>
  <c r="J525" i="6"/>
  <c r="J298" i="6"/>
  <c r="J940" i="6"/>
  <c r="J696" i="6"/>
  <c r="J608" i="6"/>
  <c r="J664" i="6"/>
  <c r="J299" i="6"/>
  <c r="J665" i="6"/>
  <c r="J586" i="6"/>
  <c r="J784" i="6"/>
  <c r="J821" i="6"/>
  <c r="J850" i="6"/>
  <c r="J785" i="6"/>
  <c r="J941" i="6"/>
  <c r="J882" i="6"/>
  <c r="J786" i="6"/>
  <c r="J787" i="6"/>
  <c r="J788" i="6"/>
  <c r="J587" i="6"/>
  <c r="J237" i="6"/>
  <c r="J851" i="6"/>
  <c r="J789" i="6"/>
  <c r="J439" i="6"/>
  <c r="J588" i="6"/>
  <c r="J526" i="6"/>
  <c r="J790" i="6"/>
  <c r="J697" i="6"/>
  <c r="I822" i="6"/>
  <c r="I238" i="6"/>
  <c r="I698" i="6"/>
  <c r="I496" i="6"/>
  <c r="I640" i="6"/>
  <c r="I2" i="6"/>
  <c r="I378" i="6"/>
  <c r="I699" i="6"/>
  <c r="I300" i="6"/>
  <c r="I912" i="6"/>
  <c r="I527" i="6"/>
  <c r="I239" i="6"/>
  <c r="I240" i="6"/>
  <c r="I95" i="6"/>
  <c r="I207" i="6"/>
  <c r="I528" i="6"/>
  <c r="I700" i="6"/>
  <c r="I241" i="6"/>
  <c r="I913" i="6"/>
  <c r="I208" i="6"/>
  <c r="I96" i="6"/>
  <c r="I64" i="6"/>
  <c r="I242" i="6"/>
  <c r="I301" i="6"/>
  <c r="I791" i="6"/>
  <c r="I823" i="6"/>
  <c r="I852" i="6"/>
  <c r="I824" i="6"/>
  <c r="I97" i="6"/>
  <c r="I914" i="6"/>
  <c r="I98" i="6"/>
  <c r="I302" i="6"/>
  <c r="I701" i="6"/>
  <c r="I792" i="6"/>
  <c r="I379" i="6"/>
  <c r="I702" i="6"/>
  <c r="I703" i="6"/>
  <c r="I825" i="6"/>
  <c r="I704" i="6"/>
  <c r="I440" i="6"/>
  <c r="I529" i="6"/>
  <c r="I303" i="6"/>
  <c r="I497" i="6"/>
  <c r="I441" i="6"/>
  <c r="I705" i="6"/>
  <c r="I99" i="6"/>
  <c r="I609" i="6"/>
  <c r="I530" i="6"/>
  <c r="I442" i="6"/>
  <c r="I347" i="6"/>
  <c r="I706" i="6"/>
  <c r="I304" i="6"/>
  <c r="I305" i="6"/>
  <c r="I589" i="6"/>
  <c r="I145" i="6"/>
  <c r="I100" i="6"/>
  <c r="I707" i="6"/>
  <c r="I915" i="6"/>
  <c r="I916" i="6"/>
  <c r="I641" i="6"/>
  <c r="I610" i="6"/>
  <c r="I853" i="6"/>
  <c r="I826" i="6"/>
  <c r="I917" i="6"/>
  <c r="I883" i="6"/>
  <c r="I306" i="6"/>
  <c r="I708" i="6"/>
  <c r="I590" i="6"/>
  <c r="I642" i="6"/>
  <c r="I243" i="6"/>
  <c r="I443" i="6"/>
  <c r="I380" i="6"/>
  <c r="I244" i="6"/>
  <c r="I444" i="6"/>
  <c r="I611" i="6"/>
  <c r="I643" i="6"/>
  <c r="I3" i="6"/>
  <c r="I209" i="6"/>
  <c r="I793" i="6"/>
  <c r="I146" i="6"/>
  <c r="I827" i="6"/>
  <c r="I147" i="6"/>
  <c r="I65" i="6"/>
  <c r="I245" i="6"/>
  <c r="I445" i="6"/>
  <c r="I4" i="6"/>
  <c r="I918" i="6"/>
  <c r="I591" i="6"/>
  <c r="I612" i="6"/>
  <c r="I210" i="6"/>
  <c r="I592" i="6"/>
  <c r="I794" i="6"/>
  <c r="I709" i="6"/>
  <c r="I5" i="6"/>
  <c r="I710" i="6"/>
  <c r="I211" i="6"/>
  <c r="I381" i="6"/>
  <c r="I666" i="6"/>
  <c r="I884" i="6"/>
  <c r="I593" i="6"/>
  <c r="I382" i="6"/>
  <c r="I66" i="6"/>
  <c r="I212" i="6"/>
  <c r="I498" i="6"/>
  <c r="I307" i="6"/>
  <c r="I854" i="6"/>
  <c r="I246" i="6"/>
  <c r="I499" i="6"/>
  <c r="I828" i="6"/>
  <c r="I101" i="6"/>
  <c r="I213" i="6"/>
  <c r="I446" i="6"/>
  <c r="I348" i="6"/>
  <c r="I855" i="6"/>
  <c r="I6" i="6"/>
  <c r="I247" i="6"/>
  <c r="I349" i="6"/>
  <c r="I613" i="6"/>
  <c r="I531" i="6"/>
  <c r="I383" i="6"/>
  <c r="I856" i="6"/>
  <c r="I447" i="6"/>
  <c r="I711" i="6"/>
  <c r="I712" i="6"/>
  <c r="I350" i="6"/>
  <c r="I308" i="6"/>
  <c r="I448" i="6"/>
  <c r="I102" i="6"/>
  <c r="I384" i="6"/>
  <c r="I885" i="6"/>
  <c r="I857" i="6"/>
  <c r="I385" i="6"/>
  <c r="I795" i="6"/>
  <c r="I532" i="6"/>
  <c r="I449" i="6"/>
  <c r="I919" i="6"/>
  <c r="I248" i="6"/>
  <c r="I148" i="6"/>
  <c r="I594" i="6"/>
  <c r="I713" i="6"/>
  <c r="I533" i="6"/>
  <c r="I7" i="6"/>
  <c r="I614" i="6"/>
  <c r="I615" i="6"/>
  <c r="I386" i="6"/>
  <c r="I149" i="6"/>
  <c r="I500" i="6"/>
  <c r="I829" i="6"/>
  <c r="I309" i="6"/>
  <c r="I8" i="6"/>
  <c r="I667" i="6"/>
  <c r="I150" i="6"/>
  <c r="I714" i="6"/>
  <c r="I616" i="6"/>
  <c r="I501" i="6"/>
  <c r="I830" i="6"/>
  <c r="I249" i="6"/>
  <c r="I796" i="6"/>
  <c r="I797" i="6"/>
  <c r="I617" i="6"/>
  <c r="I886" i="6"/>
  <c r="I387" i="6"/>
  <c r="I920" i="6"/>
  <c r="I9" i="6"/>
  <c r="I798" i="6"/>
  <c r="I310" i="6"/>
  <c r="I67" i="6"/>
  <c r="I214" i="6"/>
  <c r="I450" i="6"/>
  <c r="I10" i="6"/>
  <c r="I388" i="6"/>
  <c r="I250" i="6"/>
  <c r="I595" i="6"/>
  <c r="I151" i="6"/>
  <c r="I644" i="6"/>
  <c r="I152" i="6"/>
  <c r="I68" i="6"/>
  <c r="I69" i="6"/>
  <c r="I153" i="6"/>
  <c r="I502" i="6"/>
  <c r="I389" i="6"/>
  <c r="I645" i="6"/>
  <c r="I390" i="6"/>
  <c r="I715" i="6"/>
  <c r="I831" i="6"/>
  <c r="I858" i="6"/>
  <c r="I351" i="6"/>
  <c r="I832" i="6"/>
  <c r="I154" i="6"/>
  <c r="I352" i="6"/>
  <c r="I155" i="6"/>
  <c r="I534" i="6"/>
  <c r="I535" i="6"/>
  <c r="I716" i="6"/>
  <c r="I353" i="6"/>
  <c r="I156" i="6"/>
  <c r="I618" i="6"/>
  <c r="I536" i="6"/>
  <c r="I70" i="6"/>
  <c r="I503" i="6"/>
  <c r="I717" i="6"/>
  <c r="I619" i="6"/>
  <c r="I103" i="6"/>
  <c r="I718" i="6"/>
  <c r="I668" i="6"/>
  <c r="I311" i="6"/>
  <c r="I859" i="6"/>
  <c r="I451" i="6"/>
  <c r="I887" i="6"/>
  <c r="I391" i="6"/>
  <c r="I392" i="6"/>
  <c r="I537" i="6"/>
  <c r="I833" i="6"/>
  <c r="I538" i="6"/>
  <c r="I799" i="6"/>
  <c r="I921" i="6"/>
  <c r="I504" i="6"/>
  <c r="I251" i="6"/>
  <c r="I505" i="6"/>
  <c r="I719" i="6"/>
  <c r="I539" i="6"/>
  <c r="I922" i="6"/>
  <c r="I540" i="6"/>
  <c r="I71" i="6"/>
  <c r="I720" i="6"/>
  <c r="I923" i="6"/>
  <c r="I888" i="6"/>
  <c r="I393" i="6"/>
  <c r="I860" i="6"/>
  <c r="I541" i="6"/>
  <c r="I834" i="6"/>
  <c r="I394" i="6"/>
  <c r="I11" i="6"/>
  <c r="I452" i="6"/>
  <c r="I395" i="6"/>
  <c r="I396" i="6"/>
  <c r="I721" i="6"/>
  <c r="I861" i="6"/>
  <c r="I862" i="6"/>
  <c r="I889" i="6"/>
  <c r="I646" i="6"/>
  <c r="I596" i="6"/>
  <c r="I890" i="6"/>
  <c r="I157" i="6"/>
  <c r="I12" i="6"/>
  <c r="I13" i="6"/>
  <c r="I104" i="6"/>
  <c r="I506" i="6"/>
  <c r="I215" i="6"/>
  <c r="I397" i="6"/>
  <c r="I158" i="6"/>
  <c r="I72" i="6"/>
  <c r="I252" i="6"/>
  <c r="I597" i="6"/>
  <c r="I647" i="6"/>
  <c r="I542" i="6"/>
  <c r="I669" i="6"/>
  <c r="I543" i="6"/>
  <c r="I105" i="6"/>
  <c r="I507" i="6"/>
  <c r="I354" i="6"/>
  <c r="I620" i="6"/>
  <c r="I453" i="6"/>
  <c r="I621" i="6"/>
  <c r="I159" i="6"/>
  <c r="I355" i="6"/>
  <c r="I891" i="6"/>
  <c r="I800" i="6"/>
  <c r="I892" i="6"/>
  <c r="I160" i="6"/>
  <c r="I722" i="6"/>
  <c r="I544" i="6"/>
  <c r="I723" i="6"/>
  <c r="I14" i="6"/>
  <c r="I598" i="6"/>
  <c r="I216" i="6"/>
  <c r="I863" i="6"/>
  <c r="I835" i="6"/>
  <c r="I253" i="6"/>
  <c r="I924" i="6"/>
  <c r="I161" i="6"/>
  <c r="I599" i="6"/>
  <c r="I508" i="6"/>
  <c r="I600" i="6"/>
  <c r="I254" i="6"/>
  <c r="I622" i="6"/>
  <c r="I454" i="6"/>
  <c r="I724" i="6"/>
  <c r="I623" i="6"/>
  <c r="I648" i="6"/>
  <c r="I545" i="6"/>
  <c r="I312" i="6"/>
  <c r="I162" i="6"/>
  <c r="I15" i="6"/>
  <c r="I925" i="6"/>
  <c r="I106" i="6"/>
  <c r="I670" i="6"/>
  <c r="I398" i="6"/>
  <c r="I801" i="6"/>
  <c r="I399" i="6"/>
  <c r="I836" i="6"/>
  <c r="I893" i="6"/>
  <c r="I107" i="6"/>
  <c r="I400" i="6"/>
  <c r="I401" i="6"/>
  <c r="I837" i="6"/>
  <c r="I402" i="6"/>
  <c r="I255" i="6"/>
  <c r="I601" i="6"/>
  <c r="I802" i="6"/>
  <c r="I256" i="6"/>
  <c r="I257" i="6"/>
  <c r="I108" i="6"/>
  <c r="I546" i="6"/>
  <c r="I624" i="6"/>
  <c r="I864" i="6"/>
  <c r="I725" i="6"/>
  <c r="I726" i="6"/>
  <c r="I109" i="6"/>
  <c r="I509" i="6"/>
  <c r="I258" i="6"/>
  <c r="I110" i="6"/>
  <c r="I547" i="6"/>
  <c r="I727" i="6"/>
  <c r="I671" i="6"/>
  <c r="I838" i="6"/>
  <c r="I649" i="6"/>
  <c r="I455" i="6"/>
  <c r="I163" i="6"/>
  <c r="I259" i="6"/>
  <c r="I356" i="6"/>
  <c r="I16" i="6"/>
  <c r="I17" i="6"/>
  <c r="I164" i="6"/>
  <c r="I510" i="6"/>
  <c r="I260" i="6"/>
  <c r="I625" i="6"/>
  <c r="I803" i="6"/>
  <c r="I865" i="6"/>
  <c r="I73" i="6"/>
  <c r="I111" i="6"/>
  <c r="I728" i="6"/>
  <c r="I729" i="6"/>
  <c r="I74" i="6"/>
  <c r="I804" i="6"/>
  <c r="I18" i="6"/>
  <c r="I626" i="6"/>
  <c r="I548" i="6"/>
  <c r="I19" i="6"/>
  <c r="I894" i="6"/>
  <c r="I261" i="6"/>
  <c r="I926" i="6"/>
  <c r="I75" i="6"/>
  <c r="I262" i="6"/>
  <c r="I549" i="6"/>
  <c r="I456" i="6"/>
  <c r="I313" i="6"/>
  <c r="I672" i="6"/>
  <c r="I650" i="6"/>
  <c r="I730" i="6"/>
  <c r="I217" i="6"/>
  <c r="I550" i="6"/>
  <c r="I218" i="6"/>
  <c r="I627" i="6"/>
  <c r="I357" i="6"/>
  <c r="I839" i="6"/>
  <c r="I76" i="6"/>
  <c r="I403" i="6"/>
  <c r="I404" i="6"/>
  <c r="I805" i="6"/>
  <c r="I806" i="6"/>
  <c r="I731" i="6"/>
  <c r="I405" i="6"/>
  <c r="I551" i="6"/>
  <c r="I112" i="6"/>
  <c r="I807" i="6"/>
  <c r="I511" i="6"/>
  <c r="I457" i="6"/>
  <c r="I20" i="6"/>
  <c r="I165" i="6"/>
  <c r="I651" i="6"/>
  <c r="I512" i="6"/>
  <c r="I458" i="6"/>
  <c r="I459" i="6"/>
  <c r="I460" i="6"/>
  <c r="I113" i="6"/>
  <c r="I314" i="6"/>
  <c r="I166" i="6"/>
  <c r="I732" i="6"/>
  <c r="I114" i="6"/>
  <c r="I315" i="6"/>
  <c r="I461" i="6"/>
  <c r="I406" i="6"/>
  <c r="I808" i="6"/>
  <c r="I840" i="6"/>
  <c r="I733" i="6"/>
  <c r="I628" i="6"/>
  <c r="I167" i="6"/>
  <c r="I21" i="6"/>
  <c r="I734" i="6"/>
  <c r="I735" i="6"/>
  <c r="I22" i="6"/>
  <c r="I736" i="6"/>
  <c r="I629" i="6"/>
  <c r="I841" i="6"/>
  <c r="I927" i="6"/>
  <c r="I168" i="6"/>
  <c r="I552" i="6"/>
  <c r="I553" i="6"/>
  <c r="I462" i="6"/>
  <c r="I169" i="6"/>
  <c r="I463" i="6"/>
  <c r="I737" i="6"/>
  <c r="I554" i="6"/>
  <c r="I23" i="6"/>
  <c r="I263" i="6"/>
  <c r="I77" i="6"/>
  <c r="I78" i="6"/>
  <c r="I928" i="6"/>
  <c r="I115" i="6"/>
  <c r="I555" i="6"/>
  <c r="I556" i="6"/>
  <c r="I170" i="6"/>
  <c r="I557" i="6"/>
  <c r="I738" i="6"/>
  <c r="I116" i="6"/>
  <c r="I513" i="6"/>
  <c r="I464" i="6"/>
  <c r="I407" i="6"/>
  <c r="I739" i="6"/>
  <c r="I117" i="6"/>
  <c r="I171" i="6"/>
  <c r="I316" i="6"/>
  <c r="I358" i="6"/>
  <c r="I408" i="6"/>
  <c r="I24" i="6"/>
  <c r="I317" i="6"/>
  <c r="I409" i="6"/>
  <c r="I929" i="6"/>
  <c r="I465" i="6"/>
  <c r="I558" i="6"/>
  <c r="I559" i="6"/>
  <c r="I560" i="6"/>
  <c r="I318" i="6"/>
  <c r="I219" i="6"/>
  <c r="I466" i="6"/>
  <c r="I467" i="6"/>
  <c r="I740" i="6"/>
  <c r="I25" i="6"/>
  <c r="I26" i="6"/>
  <c r="I118" i="6"/>
  <c r="I895" i="6"/>
  <c r="I652" i="6"/>
  <c r="I930" i="6"/>
  <c r="I172" i="6"/>
  <c r="I561" i="6"/>
  <c r="I319" i="6"/>
  <c r="I562" i="6"/>
  <c r="I809" i="6"/>
  <c r="I27" i="6"/>
  <c r="I320" i="6"/>
  <c r="I119" i="6"/>
  <c r="I173" i="6"/>
  <c r="I174" i="6"/>
  <c r="I931" i="6"/>
  <c r="I514" i="6"/>
  <c r="I896" i="6"/>
  <c r="I175" i="6"/>
  <c r="I866" i="6"/>
  <c r="I468" i="6"/>
  <c r="I741" i="6"/>
  <c r="I28" i="6"/>
  <c r="I742" i="6"/>
  <c r="I630" i="6"/>
  <c r="I176" i="6"/>
  <c r="I469" i="6"/>
  <c r="I673" i="6"/>
  <c r="I410" i="6"/>
  <c r="I120" i="6"/>
  <c r="I359" i="6"/>
  <c r="I515" i="6"/>
  <c r="I321" i="6"/>
  <c r="I264" i="6"/>
  <c r="I842" i="6"/>
  <c r="I743" i="6"/>
  <c r="I897" i="6"/>
  <c r="I121" i="6"/>
  <c r="I411" i="6"/>
  <c r="I843" i="6"/>
  <c r="I744" i="6"/>
  <c r="I470" i="6"/>
  <c r="I265" i="6"/>
  <c r="I867" i="6"/>
  <c r="I412" i="6"/>
  <c r="I220" i="6"/>
  <c r="I745" i="6"/>
  <c r="I29" i="6"/>
  <c r="I266" i="6"/>
  <c r="I844" i="6"/>
  <c r="I674" i="6"/>
  <c r="I746" i="6"/>
  <c r="I267" i="6"/>
  <c r="I675" i="6"/>
  <c r="I413" i="6"/>
  <c r="I30" i="6"/>
  <c r="I563" i="6"/>
  <c r="I177" i="6"/>
  <c r="I471" i="6"/>
  <c r="I898" i="6"/>
  <c r="I268" i="6"/>
  <c r="I31" i="6"/>
  <c r="I360" i="6"/>
  <c r="I269" i="6"/>
  <c r="I747" i="6"/>
  <c r="I748" i="6"/>
  <c r="I322" i="6"/>
  <c r="I79" i="6"/>
  <c r="I361" i="6"/>
  <c r="I564" i="6"/>
  <c r="I810" i="6"/>
  <c r="I414" i="6"/>
  <c r="I80" i="6"/>
  <c r="I811" i="6"/>
  <c r="I868" i="6"/>
  <c r="I178" i="6"/>
  <c r="I676" i="6"/>
  <c r="I677" i="6"/>
  <c r="I323" i="6"/>
  <c r="I749" i="6"/>
  <c r="I324" i="6"/>
  <c r="I602" i="6"/>
  <c r="I932" i="6"/>
  <c r="I899" i="6"/>
  <c r="I270" i="6"/>
  <c r="I271" i="6"/>
  <c r="I678" i="6"/>
  <c r="I81" i="6"/>
  <c r="I812" i="6"/>
  <c r="I565" i="6"/>
  <c r="I272" i="6"/>
  <c r="I750" i="6"/>
  <c r="I32" i="6"/>
  <c r="I325" i="6"/>
  <c r="I933" i="6"/>
  <c r="I566" i="6"/>
  <c r="I362" i="6"/>
  <c r="I567" i="6"/>
  <c r="I363" i="6"/>
  <c r="I33" i="6"/>
  <c r="I179" i="6"/>
  <c r="I472" i="6"/>
  <c r="I82" i="6"/>
  <c r="I122" i="6"/>
  <c r="I34" i="6"/>
  <c r="I679" i="6"/>
  <c r="I326" i="6"/>
  <c r="I221" i="6"/>
  <c r="I180" i="6"/>
  <c r="I123" i="6"/>
  <c r="I415" i="6"/>
  <c r="I181" i="6"/>
  <c r="I568" i="6"/>
  <c r="I273" i="6"/>
  <c r="I934" i="6"/>
  <c r="I327" i="6"/>
  <c r="I751" i="6"/>
  <c r="I900" i="6"/>
  <c r="I869" i="6"/>
  <c r="I752" i="6"/>
  <c r="I364" i="6"/>
  <c r="I124" i="6"/>
  <c r="I603" i="6"/>
  <c r="I473" i="6"/>
  <c r="I653" i="6"/>
  <c r="I654" i="6"/>
  <c r="I680" i="6"/>
  <c r="I753" i="6"/>
  <c r="I631" i="6"/>
  <c r="I182" i="6"/>
  <c r="I83" i="6"/>
  <c r="I569" i="6"/>
  <c r="I125" i="6"/>
  <c r="I222" i="6"/>
  <c r="I126" i="6"/>
  <c r="I570" i="6"/>
  <c r="I632" i="6"/>
  <c r="I84" i="6"/>
  <c r="I183" i="6"/>
  <c r="I681" i="6"/>
  <c r="I633" i="6"/>
  <c r="I328" i="6"/>
  <c r="I274" i="6"/>
  <c r="I416" i="6"/>
  <c r="I754" i="6"/>
  <c r="I35" i="6"/>
  <c r="I571" i="6"/>
  <c r="I474" i="6"/>
  <c r="I516" i="6"/>
  <c r="I901" i="6"/>
  <c r="I813" i="6"/>
  <c r="I36" i="6"/>
  <c r="I85" i="6"/>
  <c r="I902" i="6"/>
  <c r="I814" i="6"/>
  <c r="I755" i="6"/>
  <c r="I903" i="6"/>
  <c r="I682" i="6"/>
  <c r="I365" i="6"/>
  <c r="I870" i="6"/>
  <c r="I127" i="6"/>
  <c r="I128" i="6"/>
  <c r="I275" i="6"/>
  <c r="I184" i="6"/>
  <c r="I129" i="6"/>
  <c r="I475" i="6"/>
  <c r="I185" i="6"/>
  <c r="I130" i="6"/>
  <c r="I655" i="6"/>
  <c r="I276" i="6"/>
  <c r="I329" i="6"/>
  <c r="I656" i="6"/>
  <c r="I223" i="6"/>
  <c r="I756" i="6"/>
  <c r="I37" i="6"/>
  <c r="I330" i="6"/>
  <c r="I757" i="6"/>
  <c r="I517" i="6"/>
  <c r="I518" i="6"/>
  <c r="I224" i="6"/>
  <c r="I476" i="6"/>
  <c r="I477" i="6"/>
  <c r="I758" i="6"/>
  <c r="I86" i="6"/>
  <c r="I277" i="6"/>
  <c r="I38" i="6"/>
  <c r="I904" i="6"/>
  <c r="I871" i="6"/>
  <c r="I683" i="6"/>
  <c r="I478" i="6"/>
  <c r="I572" i="6"/>
  <c r="I366" i="6"/>
  <c r="I87" i="6"/>
  <c r="I759" i="6"/>
  <c r="I331" i="6"/>
  <c r="I604" i="6"/>
  <c r="I905" i="6"/>
  <c r="I479" i="6"/>
  <c r="I760" i="6"/>
  <c r="I657" i="6"/>
  <c r="I658" i="6"/>
  <c r="I332" i="6"/>
  <c r="I761" i="6"/>
  <c r="I605" i="6"/>
  <c r="I519" i="6"/>
  <c r="I278" i="6"/>
  <c r="I367" i="6"/>
  <c r="I333" i="6"/>
  <c r="I417" i="6"/>
  <c r="I186" i="6"/>
  <c r="I368" i="6"/>
  <c r="I279" i="6"/>
  <c r="I280" i="6"/>
  <c r="I281" i="6"/>
  <c r="I418" i="6"/>
  <c r="I573" i="6"/>
  <c r="I225" i="6"/>
  <c r="I659" i="6"/>
  <c r="I815" i="6"/>
  <c r="I762" i="6"/>
  <c r="I935" i="6"/>
  <c r="I872" i="6"/>
  <c r="I282" i="6"/>
  <c r="I131" i="6"/>
  <c r="I763" i="6"/>
  <c r="I283" i="6"/>
  <c r="I906" i="6"/>
  <c r="I873" i="6"/>
  <c r="I764" i="6"/>
  <c r="I419" i="6"/>
  <c r="I420" i="6"/>
  <c r="I39" i="6"/>
  <c r="I765" i="6"/>
  <c r="I132" i="6"/>
  <c r="I874" i="6"/>
  <c r="I520" i="6"/>
  <c r="I40" i="6"/>
  <c r="I521" i="6"/>
  <c r="I480" i="6"/>
  <c r="I481" i="6"/>
  <c r="I421" i="6"/>
  <c r="I284" i="6"/>
  <c r="I334" i="6"/>
  <c r="I41" i="6"/>
  <c r="I482" i="6"/>
  <c r="I483" i="6"/>
  <c r="I907" i="6"/>
  <c r="I42" i="6"/>
  <c r="I335" i="6"/>
  <c r="I574" i="6"/>
  <c r="I226" i="6"/>
  <c r="I369" i="6"/>
  <c r="I575" i="6"/>
  <c r="I766" i="6"/>
  <c r="I684" i="6"/>
  <c r="I484" i="6"/>
  <c r="I43" i="6"/>
  <c r="I187" i="6"/>
  <c r="I634" i="6"/>
  <c r="I422" i="6"/>
  <c r="I188" i="6"/>
  <c r="I522" i="6"/>
  <c r="I285" i="6"/>
  <c r="I767" i="6"/>
  <c r="I227" i="6"/>
  <c r="I44" i="6"/>
  <c r="I133" i="6"/>
  <c r="I768" i="6"/>
  <c r="I660" i="6"/>
  <c r="I816" i="6"/>
  <c r="I189" i="6"/>
  <c r="I908" i="6"/>
  <c r="I45" i="6"/>
  <c r="I370" i="6"/>
  <c r="I661" i="6"/>
  <c r="I936" i="6"/>
  <c r="I336" i="6"/>
  <c r="I46" i="6"/>
  <c r="I423" i="6"/>
  <c r="I228" i="6"/>
  <c r="I817" i="6"/>
  <c r="I337" i="6"/>
  <c r="I338" i="6"/>
  <c r="I339" i="6"/>
  <c r="I424" i="6"/>
  <c r="I818" i="6"/>
  <c r="I47" i="6"/>
  <c r="I48" i="6"/>
  <c r="I909" i="6"/>
  <c r="I371" i="6"/>
  <c r="I769" i="6"/>
  <c r="I819" i="6"/>
  <c r="I635" i="6"/>
  <c r="I340" i="6"/>
  <c r="I190" i="6"/>
  <c r="I576" i="6"/>
  <c r="I425" i="6"/>
  <c r="I770" i="6"/>
  <c r="I134" i="6"/>
  <c r="I341" i="6"/>
  <c r="I685" i="6"/>
  <c r="I191" i="6"/>
  <c r="I910" i="6"/>
  <c r="I485" i="6"/>
  <c r="I845" i="6"/>
  <c r="I49" i="6"/>
  <c r="I229" i="6"/>
  <c r="I135" i="6"/>
  <c r="I636" i="6"/>
  <c r="I88" i="6"/>
  <c r="I192" i="6"/>
  <c r="I136" i="6"/>
  <c r="I662" i="6"/>
  <c r="I426" i="6"/>
  <c r="I137" i="6"/>
  <c r="I686" i="6"/>
  <c r="I911" i="6"/>
  <c r="I486" i="6"/>
  <c r="I771" i="6"/>
  <c r="I193" i="6"/>
  <c r="I50" i="6"/>
  <c r="I372" i="6"/>
  <c r="I487" i="6"/>
  <c r="I230" i="6"/>
  <c r="I772" i="6"/>
  <c r="I194" i="6"/>
  <c r="I427" i="6"/>
  <c r="I875" i="6"/>
  <c r="I51" i="6"/>
  <c r="I52" i="6"/>
  <c r="I373" i="6"/>
  <c r="I687" i="6"/>
  <c r="I53" i="6"/>
  <c r="I577" i="6"/>
  <c r="I688" i="6"/>
  <c r="I342" i="6"/>
  <c r="I428" i="6"/>
  <c r="I773" i="6"/>
  <c r="I374" i="6"/>
  <c r="I195" i="6"/>
  <c r="I488" i="6"/>
  <c r="I231" i="6"/>
  <c r="I774" i="6"/>
  <c r="I489" i="6"/>
  <c r="I490" i="6"/>
  <c r="I54" i="6"/>
  <c r="I286" i="6"/>
  <c r="I89" i="6"/>
  <c r="I90" i="6"/>
  <c r="I689" i="6"/>
  <c r="I876" i="6"/>
  <c r="I287" i="6"/>
  <c r="I578" i="6"/>
  <c r="I429" i="6"/>
  <c r="I55" i="6"/>
  <c r="I288" i="6"/>
  <c r="I690" i="6"/>
  <c r="I775" i="6"/>
  <c r="I430" i="6"/>
  <c r="I523" i="6"/>
  <c r="I663" i="6"/>
  <c r="I56" i="6"/>
  <c r="I491" i="6"/>
  <c r="I289" i="6"/>
  <c r="I290" i="6"/>
  <c r="I846" i="6"/>
  <c r="I776" i="6"/>
  <c r="I343" i="6"/>
  <c r="I291" i="6"/>
  <c r="I196" i="6"/>
  <c r="I637" i="6"/>
  <c r="I847" i="6"/>
  <c r="I138" i="6"/>
  <c r="I579" i="6"/>
  <c r="I139" i="6"/>
  <c r="I91" i="6"/>
  <c r="I292" i="6"/>
  <c r="I777" i="6"/>
  <c r="I877" i="6"/>
  <c r="I375" i="6"/>
  <c r="I57" i="6"/>
  <c r="I691" i="6"/>
  <c r="I92" i="6"/>
  <c r="I937" i="6"/>
  <c r="I376" i="6"/>
  <c r="I492" i="6"/>
  <c r="I493" i="6"/>
  <c r="I431" i="6"/>
  <c r="I232" i="6"/>
  <c r="I344" i="6"/>
  <c r="I494" i="6"/>
  <c r="I778" i="6"/>
  <c r="I779" i="6"/>
  <c r="I197" i="6"/>
  <c r="I140" i="6"/>
  <c r="I432" i="6"/>
  <c r="I878" i="6"/>
  <c r="I141" i="6"/>
  <c r="I198" i="6"/>
  <c r="I495" i="6"/>
  <c r="I58" i="6"/>
  <c r="I233" i="6"/>
  <c r="I293" i="6"/>
  <c r="I433" i="6"/>
  <c r="I692" i="6"/>
  <c r="I780" i="6"/>
  <c r="I199" i="6"/>
  <c r="I59" i="6"/>
  <c r="I580" i="6"/>
  <c r="I581" i="6"/>
  <c r="I200" i="6"/>
  <c r="I848" i="6"/>
  <c r="I879" i="6"/>
  <c r="I93" i="6"/>
  <c r="I693" i="6"/>
  <c r="I638" i="6"/>
  <c r="I524" i="6"/>
  <c r="I781" i="6"/>
  <c r="I820" i="6"/>
  <c r="I849" i="6"/>
  <c r="I938" i="6"/>
  <c r="I201" i="6"/>
  <c r="I939" i="6"/>
  <c r="I694" i="6"/>
  <c r="I60" i="6"/>
  <c r="I582" i="6"/>
  <c r="I606" i="6"/>
  <c r="I782" i="6"/>
  <c r="I61" i="6"/>
  <c r="I434" i="6"/>
  <c r="I142" i="6"/>
  <c r="I435" i="6"/>
  <c r="I202" i="6"/>
  <c r="I345" i="6"/>
  <c r="I436" i="6"/>
  <c r="I294" i="6"/>
  <c r="I203" i="6"/>
  <c r="I295" i="6"/>
  <c r="I437" i="6"/>
  <c r="I62" i="6"/>
  <c r="I204" i="6"/>
  <c r="I583" i="6"/>
  <c r="I205" i="6"/>
  <c r="I234" i="6"/>
  <c r="I880" i="6"/>
  <c r="I695" i="6"/>
  <c r="I235" i="6"/>
  <c r="I296" i="6"/>
  <c r="I236" i="6"/>
  <c r="I639" i="6"/>
  <c r="I94" i="6"/>
  <c r="I297" i="6"/>
  <c r="I206" i="6"/>
  <c r="I584" i="6"/>
  <c r="I377" i="6"/>
  <c r="I346" i="6"/>
  <c r="I585" i="6"/>
  <c r="I607" i="6"/>
  <c r="I783" i="6"/>
  <c r="I143" i="6"/>
  <c r="I438" i="6"/>
  <c r="I881" i="6"/>
  <c r="I63" i="6"/>
  <c r="I144" i="6"/>
  <c r="I525" i="6"/>
  <c r="I298" i="6"/>
  <c r="I940" i="6"/>
  <c r="I696" i="6"/>
  <c r="I608" i="6"/>
  <c r="I664" i="6"/>
  <c r="I299" i="6"/>
  <c r="I665" i="6"/>
  <c r="I586" i="6"/>
  <c r="I784" i="6"/>
  <c r="I821" i="6"/>
  <c r="I850" i="6"/>
  <c r="I785" i="6"/>
  <c r="I941" i="6"/>
  <c r="I882" i="6"/>
  <c r="I786" i="6"/>
  <c r="I787" i="6"/>
  <c r="I788" i="6"/>
  <c r="I587" i="6"/>
  <c r="I237" i="6"/>
  <c r="I851" i="6"/>
  <c r="I789" i="6"/>
  <c r="I439" i="6"/>
  <c r="I588" i="6"/>
  <c r="I526" i="6"/>
  <c r="I790" i="6"/>
  <c r="I697" i="6"/>
  <c r="Z3" i="6" a="1"/>
  <c r="Z3" i="6" s="1"/>
  <c r="Z4" i="6" a="1"/>
  <c r="Z4" i="6" s="1"/>
  <c r="Z5" i="6" a="1"/>
  <c r="Z5" i="6" s="1"/>
  <c r="Z6" i="6" a="1"/>
  <c r="Z6" i="6" s="1"/>
  <c r="Z7" i="6" a="1"/>
  <c r="Z7" i="6" s="1"/>
  <c r="Z8" i="6" a="1"/>
  <c r="Z8" i="6" s="1"/>
  <c r="Z9" i="6" a="1"/>
  <c r="Z9" i="6" s="1"/>
  <c r="Z10" i="6" a="1"/>
  <c r="Z10" i="6" s="1"/>
  <c r="Z11" i="6" a="1"/>
  <c r="Z11" i="6" s="1"/>
  <c r="Z12" i="6" a="1"/>
  <c r="Z12" i="6" s="1"/>
  <c r="Z13" i="6" a="1"/>
  <c r="Z13" i="6" s="1"/>
  <c r="Z14" i="6" a="1"/>
  <c r="Z14" i="6" s="1"/>
  <c r="Z15" i="6" a="1"/>
  <c r="Z15" i="6" s="1"/>
  <c r="Z16" i="6" a="1"/>
  <c r="Z16" i="6" s="1"/>
  <c r="Z17" i="6" a="1"/>
  <c r="Z17" i="6" s="1"/>
  <c r="Z18" i="6" a="1"/>
  <c r="Z18" i="6" s="1"/>
  <c r="Z19" i="6" a="1"/>
  <c r="Z19" i="6" s="1"/>
  <c r="Z20" i="6" a="1"/>
  <c r="Z20" i="6" s="1"/>
  <c r="Z21" i="6" a="1"/>
  <c r="Z21" i="6" s="1"/>
  <c r="Z22" i="6" a="1"/>
  <c r="Z22" i="6" s="1"/>
  <c r="Z23" i="6" a="1"/>
  <c r="Z23" i="6" s="1"/>
  <c r="Z24" i="6" a="1"/>
  <c r="Z24" i="6" s="1"/>
  <c r="Z25" i="6" a="1"/>
  <c r="Z25" i="6" s="1"/>
  <c r="Z26" i="6" a="1"/>
  <c r="Z26" i="6" s="1"/>
  <c r="Z27" i="6" a="1"/>
  <c r="Z27" i="6" s="1"/>
  <c r="Z28" i="6" a="1"/>
  <c r="Z28" i="6" s="1"/>
  <c r="Z29" i="6" a="1"/>
  <c r="Z29" i="6" s="1"/>
  <c r="Z30" i="6" a="1"/>
  <c r="Z30" i="6" s="1"/>
  <c r="Z31" i="6" a="1"/>
  <c r="Z31" i="6" s="1"/>
  <c r="Z32" i="6" a="1"/>
  <c r="Z32" i="6" s="1"/>
  <c r="Z33" i="6" a="1"/>
  <c r="Z33" i="6" s="1"/>
  <c r="Z34" i="6" a="1"/>
  <c r="Z34" i="6" s="1"/>
  <c r="Z35" i="6" a="1"/>
  <c r="Z35" i="6" s="1"/>
  <c r="Z36" i="6" a="1"/>
  <c r="Z36" i="6" s="1"/>
  <c r="Z37" i="6" a="1"/>
  <c r="Z37" i="6" s="1"/>
  <c r="Z38" i="6" a="1"/>
  <c r="Z38" i="6" s="1"/>
  <c r="Z39" i="6" a="1"/>
  <c r="Z39" i="6" s="1"/>
  <c r="Z40" i="6" a="1"/>
  <c r="Z40" i="6" s="1"/>
  <c r="Z41" i="6" a="1"/>
  <c r="Z41" i="6" s="1"/>
  <c r="Z42" i="6" a="1"/>
  <c r="Z42" i="6" s="1"/>
  <c r="Z43" i="6" a="1"/>
  <c r="Z43" i="6" s="1"/>
  <c r="Z44" i="6" a="1"/>
  <c r="Z44" i="6" s="1"/>
  <c r="Z45" i="6" a="1"/>
  <c r="Z45" i="6" s="1"/>
  <c r="Z46" i="6" a="1"/>
  <c r="Z46" i="6" s="1"/>
  <c r="Z47" i="6" a="1"/>
  <c r="Z47" i="6" s="1"/>
  <c r="Z48" i="6" a="1"/>
  <c r="Z48" i="6" s="1"/>
  <c r="Z49" i="6" a="1"/>
  <c r="Z49" i="6" s="1"/>
  <c r="Z50" i="6" a="1"/>
  <c r="Z50" i="6" s="1"/>
  <c r="Z51" i="6" a="1"/>
  <c r="Z51" i="6" s="1"/>
  <c r="Z52" i="6" a="1"/>
  <c r="Z52" i="6" s="1"/>
  <c r="Z53" i="6" a="1"/>
  <c r="Z53" i="6" s="1"/>
  <c r="Z54" i="6" a="1"/>
  <c r="Z54" i="6" s="1"/>
  <c r="Z55" i="6" a="1"/>
  <c r="Z55" i="6" s="1"/>
  <c r="Z56" i="6" a="1"/>
  <c r="Z56" i="6" s="1"/>
  <c r="Z57" i="6" a="1"/>
  <c r="Z57" i="6" s="1"/>
  <c r="Z58" i="6" a="1"/>
  <c r="Z58" i="6" s="1"/>
  <c r="Z59" i="6" a="1"/>
  <c r="Z59" i="6" s="1"/>
  <c r="Z60" i="6" a="1"/>
  <c r="Z60" i="6" s="1"/>
  <c r="Z61" i="6" a="1"/>
  <c r="Z61" i="6" s="1"/>
  <c r="Z62" i="6" a="1"/>
  <c r="Z62" i="6" s="1"/>
  <c r="Z63" i="6" a="1"/>
  <c r="Z63" i="6" s="1"/>
  <c r="Z64" i="6" a="1"/>
  <c r="Z64" i="6" s="1"/>
  <c r="Z65" i="6" a="1"/>
  <c r="Z65" i="6" s="1"/>
  <c r="Z66" i="6" a="1"/>
  <c r="Z66" i="6" s="1"/>
  <c r="Z67" i="6" a="1"/>
  <c r="Z67" i="6" s="1"/>
  <c r="Z68" i="6" a="1"/>
  <c r="Z68" i="6" s="1"/>
  <c r="Z69" i="6" a="1"/>
  <c r="Z69" i="6" s="1"/>
  <c r="Z70" i="6" a="1"/>
  <c r="Z70" i="6" s="1"/>
  <c r="Z71" i="6" a="1"/>
  <c r="Z71" i="6" s="1"/>
  <c r="Z72" i="6" a="1"/>
  <c r="Z72" i="6" s="1"/>
  <c r="Z73" i="6" a="1"/>
  <c r="Z73" i="6" s="1"/>
  <c r="Z74" i="6" a="1"/>
  <c r="Z74" i="6" s="1"/>
  <c r="Z75" i="6" a="1"/>
  <c r="Z75" i="6" s="1"/>
  <c r="Z76" i="6" a="1"/>
  <c r="Z76" i="6" s="1"/>
  <c r="Z77" i="6" a="1"/>
  <c r="Z77" i="6" s="1"/>
  <c r="Z78" i="6" a="1"/>
  <c r="Z78" i="6" s="1"/>
  <c r="Z79" i="6" a="1"/>
  <c r="Z79" i="6" s="1"/>
  <c r="Z80" i="6" a="1"/>
  <c r="Z80" i="6" s="1"/>
  <c r="Z81" i="6" a="1"/>
  <c r="Z81" i="6" s="1"/>
  <c r="Z82" i="6" a="1"/>
  <c r="Z82" i="6" s="1"/>
  <c r="Z83" i="6" a="1"/>
  <c r="Z83" i="6" s="1"/>
  <c r="Z84" i="6" a="1"/>
  <c r="Z84" i="6" s="1"/>
  <c r="Z85" i="6" a="1"/>
  <c r="Z85" i="6" s="1"/>
  <c r="Z86" i="6" a="1"/>
  <c r="Z86" i="6" s="1"/>
  <c r="Z87" i="6" a="1"/>
  <c r="Z87" i="6" s="1"/>
  <c r="Z88" i="6" a="1"/>
  <c r="Z88" i="6" s="1"/>
  <c r="Z89" i="6" a="1"/>
  <c r="Z89" i="6" s="1"/>
  <c r="Z90" i="6" a="1"/>
  <c r="Z90" i="6" s="1"/>
  <c r="Z91" i="6" a="1"/>
  <c r="Z91" i="6" s="1"/>
  <c r="Z92" i="6" a="1"/>
  <c r="Z92" i="6" s="1"/>
  <c r="Z93" i="6" a="1"/>
  <c r="Z93" i="6" s="1"/>
  <c r="Z94" i="6" a="1"/>
  <c r="Z94" i="6" s="1"/>
  <c r="Z95" i="6" a="1"/>
  <c r="Z95" i="6" s="1"/>
  <c r="Z96" i="6" a="1"/>
  <c r="Z96" i="6" s="1"/>
  <c r="Z97" i="6" a="1"/>
  <c r="Z97" i="6" s="1"/>
  <c r="Z98" i="6" a="1"/>
  <c r="Z98" i="6" s="1"/>
  <c r="Z99" i="6" a="1"/>
  <c r="Z99" i="6" s="1"/>
  <c r="Z100" i="6" a="1"/>
  <c r="Z100" i="6" s="1"/>
  <c r="Z101" i="6" a="1"/>
  <c r="Z101" i="6" s="1"/>
  <c r="Z102" i="6" a="1"/>
  <c r="Z102" i="6" s="1"/>
  <c r="Z103" i="6" a="1"/>
  <c r="Z103" i="6" s="1"/>
  <c r="Z104" i="6" a="1"/>
  <c r="Z104" i="6" s="1"/>
  <c r="Z105" i="6" a="1"/>
  <c r="Z105" i="6" s="1"/>
  <c r="Z106" i="6" a="1"/>
  <c r="Z106" i="6" s="1"/>
  <c r="Z107" i="6" a="1"/>
  <c r="Z107" i="6" s="1"/>
  <c r="Z108" i="6" a="1"/>
  <c r="Z108" i="6" s="1"/>
  <c r="Z109" i="6" a="1"/>
  <c r="Z109" i="6" s="1"/>
  <c r="Z110" i="6" a="1"/>
  <c r="Z110" i="6" s="1"/>
  <c r="Z111" i="6" a="1"/>
  <c r="Z111" i="6" s="1"/>
  <c r="Z112" i="6" a="1"/>
  <c r="Z112" i="6" s="1"/>
  <c r="Z113" i="6" a="1"/>
  <c r="Z113" i="6" s="1"/>
  <c r="Z114" i="6" a="1"/>
  <c r="Z114" i="6" s="1"/>
  <c r="Z115" i="6" a="1"/>
  <c r="Z115" i="6" s="1"/>
  <c r="Z116" i="6" a="1"/>
  <c r="Z116" i="6" s="1"/>
  <c r="Z117" i="6" a="1"/>
  <c r="Z117" i="6" s="1"/>
  <c r="Z118" i="6" a="1"/>
  <c r="Z118" i="6" s="1"/>
  <c r="Z119" i="6" a="1"/>
  <c r="Z119" i="6" s="1"/>
  <c r="Z120" i="6" a="1"/>
  <c r="Z120" i="6" s="1"/>
  <c r="Z121" i="6" a="1"/>
  <c r="Z121" i="6" s="1"/>
  <c r="Z122" i="6" a="1"/>
  <c r="Z122" i="6" s="1"/>
  <c r="Z123" i="6" a="1"/>
  <c r="Z123" i="6" s="1"/>
  <c r="Z124" i="6" a="1"/>
  <c r="Z124" i="6" s="1"/>
  <c r="Z125" i="6" a="1"/>
  <c r="Z125" i="6" s="1"/>
  <c r="Z126" i="6" a="1"/>
  <c r="Z126" i="6"/>
  <c r="Z127" i="6" a="1"/>
  <c r="Z127" i="6" s="1"/>
  <c r="Z128" i="6" a="1"/>
  <c r="Z128" i="6" s="1"/>
  <c r="Z129" i="6" a="1"/>
  <c r="Z129" i="6" s="1"/>
  <c r="Z130" i="6" a="1"/>
  <c r="Z130" i="6" s="1"/>
  <c r="Z131" i="6" a="1"/>
  <c r="Z131" i="6" s="1"/>
  <c r="Z132" i="6" a="1"/>
  <c r="Z132" i="6" s="1"/>
  <c r="Z133" i="6" a="1"/>
  <c r="Z133" i="6" s="1"/>
  <c r="Z134" i="6" a="1"/>
  <c r="Z134" i="6" s="1"/>
  <c r="Z135" i="6" a="1"/>
  <c r="Z135" i="6" s="1"/>
  <c r="Z136" i="6" a="1"/>
  <c r="Z136" i="6" s="1"/>
  <c r="Z137" i="6" a="1"/>
  <c r="Z137" i="6" s="1"/>
  <c r="Z138" i="6" a="1"/>
  <c r="Z138" i="6" s="1"/>
  <c r="Z139" i="6" a="1"/>
  <c r="Z139" i="6" s="1"/>
  <c r="Z140" i="6" a="1"/>
  <c r="Z140" i="6" s="1"/>
  <c r="Z141" i="6" a="1"/>
  <c r="Z141" i="6" s="1"/>
  <c r="Z142" i="6" a="1"/>
  <c r="Z142" i="6" s="1"/>
  <c r="Z143" i="6" a="1"/>
  <c r="Z143" i="6" s="1"/>
  <c r="Z144" i="6" a="1"/>
  <c r="Z144" i="6" s="1"/>
  <c r="Z145" i="6" a="1"/>
  <c r="Z145" i="6" s="1"/>
  <c r="Z146" i="6" a="1"/>
  <c r="Z146" i="6" s="1"/>
  <c r="Z147" i="6" a="1"/>
  <c r="Z147" i="6" s="1"/>
  <c r="Z148" i="6" a="1"/>
  <c r="Z148" i="6" s="1"/>
  <c r="Z149" i="6" a="1"/>
  <c r="Z149" i="6" s="1"/>
  <c r="Z150" i="6" a="1"/>
  <c r="Z150" i="6" s="1"/>
  <c r="Z151" i="6" a="1"/>
  <c r="Z151" i="6" s="1"/>
  <c r="Z152" i="6" a="1"/>
  <c r="Z152" i="6" s="1"/>
  <c r="Z153" i="6" a="1"/>
  <c r="Z153" i="6" s="1"/>
  <c r="Z154" i="6" a="1"/>
  <c r="Z154" i="6" s="1"/>
  <c r="Z155" i="6" a="1"/>
  <c r="Z155" i="6" s="1"/>
  <c r="Z156" i="6" a="1"/>
  <c r="Z156" i="6" s="1"/>
  <c r="Z157" i="6" a="1"/>
  <c r="Z157" i="6" s="1"/>
  <c r="Z158" i="6" a="1"/>
  <c r="Z158" i="6" s="1"/>
  <c r="Z159" i="6" a="1"/>
  <c r="Z159" i="6" s="1"/>
  <c r="Z160" i="6" a="1"/>
  <c r="Z160" i="6" s="1"/>
  <c r="Z161" i="6" a="1"/>
  <c r="Z161" i="6" s="1"/>
  <c r="Z162" i="6" a="1"/>
  <c r="Z162" i="6" s="1"/>
  <c r="Z163" i="6" a="1"/>
  <c r="Z163" i="6" s="1"/>
  <c r="Z164" i="6" a="1"/>
  <c r="Z164" i="6" s="1"/>
  <c r="Z165" i="6" a="1"/>
  <c r="Z165" i="6" s="1"/>
  <c r="Z166" i="6" a="1"/>
  <c r="Z166" i="6" s="1"/>
  <c r="Z167" i="6" a="1"/>
  <c r="Z167" i="6" s="1"/>
  <c r="Z168" i="6" a="1"/>
  <c r="Z168" i="6" s="1"/>
  <c r="Z169" i="6" a="1"/>
  <c r="Z169" i="6" s="1"/>
  <c r="Z170" i="6" a="1"/>
  <c r="Z170" i="6" s="1"/>
  <c r="Z171" i="6" a="1"/>
  <c r="Z171" i="6" s="1"/>
  <c r="Z172" i="6" a="1"/>
  <c r="Z172" i="6" s="1"/>
  <c r="Z173" i="6" a="1"/>
  <c r="Z173" i="6" s="1"/>
  <c r="Z174" i="6" a="1"/>
  <c r="Z174" i="6" s="1"/>
  <c r="Z175" i="6" a="1"/>
  <c r="Z175" i="6" s="1"/>
  <c r="Z176" i="6" a="1"/>
  <c r="Z176" i="6" s="1"/>
  <c r="Z177" i="6" a="1"/>
  <c r="Z177" i="6" s="1"/>
  <c r="Z178" i="6" a="1"/>
  <c r="Z178" i="6" s="1"/>
  <c r="Z179" i="6" a="1"/>
  <c r="Z179" i="6" s="1"/>
  <c r="Z180" i="6" a="1"/>
  <c r="Z180" i="6" s="1"/>
  <c r="Z181" i="6" a="1"/>
  <c r="Z181" i="6" s="1"/>
  <c r="Z182" i="6" a="1"/>
  <c r="Z182" i="6" s="1"/>
  <c r="Z183" i="6" a="1"/>
  <c r="Z183" i="6" s="1"/>
  <c r="Z184" i="6" a="1"/>
  <c r="Z184" i="6" s="1"/>
  <c r="Z185" i="6" a="1"/>
  <c r="Z185" i="6" s="1"/>
  <c r="Z186" i="6" a="1"/>
  <c r="Z186" i="6" s="1"/>
  <c r="Z187" i="6" a="1"/>
  <c r="Z187" i="6" s="1"/>
  <c r="Z188" i="6" a="1"/>
  <c r="Z188" i="6" s="1"/>
  <c r="Z189" i="6" a="1"/>
  <c r="Z189" i="6" s="1"/>
  <c r="Z190" i="6" a="1"/>
  <c r="Z190" i="6" s="1"/>
  <c r="Z191" i="6" a="1"/>
  <c r="Z191" i="6" s="1"/>
  <c r="Z192" i="6" a="1"/>
  <c r="Z192" i="6" s="1"/>
  <c r="Z193" i="6" a="1"/>
  <c r="Z193" i="6" s="1"/>
  <c r="Z194" i="6" a="1"/>
  <c r="Z194" i="6" s="1"/>
  <c r="Z195" i="6" a="1"/>
  <c r="Z195" i="6" s="1"/>
  <c r="Z196" i="6" a="1"/>
  <c r="Z196" i="6" s="1"/>
  <c r="Z197" i="6" a="1"/>
  <c r="Z197" i="6" s="1"/>
  <c r="Z198" i="6" a="1"/>
  <c r="Z198" i="6" s="1"/>
  <c r="Z199" i="6" a="1"/>
  <c r="Z199" i="6" s="1"/>
  <c r="Z200" i="6" a="1"/>
  <c r="Z200" i="6" s="1"/>
  <c r="Z201" i="6" a="1"/>
  <c r="Z201" i="6" s="1"/>
  <c r="Z202" i="6" a="1"/>
  <c r="Z202" i="6" s="1"/>
  <c r="Z203" i="6" a="1"/>
  <c r="Z203" i="6" s="1"/>
  <c r="Z204" i="6" a="1"/>
  <c r="Z204" i="6" s="1"/>
  <c r="Z205" i="6" a="1"/>
  <c r="Z205" i="6" s="1"/>
  <c r="Z206" i="6" a="1"/>
  <c r="Z206" i="6" s="1"/>
  <c r="Z207" i="6" a="1"/>
  <c r="Z207" i="6" s="1"/>
  <c r="Z208" i="6" a="1"/>
  <c r="Z208" i="6" s="1"/>
  <c r="Z209" i="6" a="1"/>
  <c r="Z209" i="6" s="1"/>
  <c r="Z210" i="6" a="1"/>
  <c r="Z210" i="6" s="1"/>
  <c r="Z211" i="6" a="1"/>
  <c r="Z211" i="6" s="1"/>
  <c r="Z212" i="6" a="1"/>
  <c r="Z212" i="6" s="1"/>
  <c r="Z213" i="6" a="1"/>
  <c r="Z213" i="6" s="1"/>
  <c r="Z214" i="6" a="1"/>
  <c r="Z214" i="6" s="1"/>
  <c r="Z215" i="6" a="1"/>
  <c r="Z215" i="6" s="1"/>
  <c r="Z216" i="6" a="1"/>
  <c r="Z216" i="6" s="1"/>
  <c r="Z217" i="6" a="1"/>
  <c r="Z217" i="6" s="1"/>
  <c r="Z218" i="6" a="1"/>
  <c r="Z218" i="6" s="1"/>
  <c r="Z219" i="6" a="1"/>
  <c r="Z219" i="6" s="1"/>
  <c r="Z220" i="6" a="1"/>
  <c r="Z220" i="6" s="1"/>
  <c r="Z221" i="6" a="1"/>
  <c r="Z221" i="6" s="1"/>
  <c r="Z222" i="6" a="1"/>
  <c r="Z222" i="6" s="1"/>
  <c r="Z223" i="6" a="1"/>
  <c r="Z223" i="6" s="1"/>
  <c r="Z224" i="6" a="1"/>
  <c r="Z224" i="6" s="1"/>
  <c r="Z225" i="6" a="1"/>
  <c r="Z225" i="6" s="1"/>
  <c r="Z226" i="6" a="1"/>
  <c r="Z226" i="6" s="1"/>
  <c r="Z227" i="6" a="1"/>
  <c r="Z227" i="6" s="1"/>
  <c r="Z228" i="6" a="1"/>
  <c r="Z228" i="6" s="1"/>
  <c r="Z229" i="6" a="1"/>
  <c r="Z229" i="6" s="1"/>
  <c r="Z230" i="6" a="1"/>
  <c r="Z230" i="6" s="1"/>
  <c r="Z231" i="6" a="1"/>
  <c r="Z231" i="6" s="1"/>
  <c r="Z232" i="6" a="1"/>
  <c r="Z232" i="6" s="1"/>
  <c r="Z233" i="6" a="1"/>
  <c r="Z233" i="6" s="1"/>
  <c r="Z234" i="6" a="1"/>
  <c r="Z234" i="6" s="1"/>
  <c r="Z235" i="6" a="1"/>
  <c r="Z235" i="6" s="1"/>
  <c r="Z236" i="6" a="1"/>
  <c r="Z236" i="6" s="1"/>
  <c r="Z237" i="6" a="1"/>
  <c r="Z237" i="6" s="1"/>
  <c r="Z238" i="6" a="1"/>
  <c r="Z238" i="6" s="1"/>
  <c r="Z239" i="6" a="1"/>
  <c r="Z239" i="6" s="1"/>
  <c r="Z240" i="6" a="1"/>
  <c r="Z240" i="6" s="1"/>
  <c r="Z241" i="6" a="1"/>
  <c r="Z241" i="6" s="1"/>
  <c r="Z242" i="6" a="1"/>
  <c r="Z242" i="6" s="1"/>
  <c r="Z243" i="6" a="1"/>
  <c r="Z243" i="6" s="1"/>
  <c r="Z244" i="6" a="1"/>
  <c r="Z244" i="6" s="1"/>
  <c r="Z245" i="6" a="1"/>
  <c r="Z245" i="6" s="1"/>
  <c r="Z246" i="6" a="1"/>
  <c r="Z246" i="6" s="1"/>
  <c r="Z247" i="6" a="1"/>
  <c r="Z247" i="6" s="1"/>
  <c r="Z248" i="6" a="1"/>
  <c r="Z248" i="6" s="1"/>
  <c r="Z249" i="6" a="1"/>
  <c r="Z249" i="6" s="1"/>
  <c r="Z250" i="6" a="1"/>
  <c r="Z250" i="6" s="1"/>
  <c r="Z251" i="6" a="1"/>
  <c r="Z251" i="6" s="1"/>
  <c r="Z252" i="6" a="1"/>
  <c r="Z252" i="6" s="1"/>
  <c r="Z253" i="6" a="1"/>
  <c r="Z253" i="6" s="1"/>
  <c r="Z254" i="6" a="1"/>
  <c r="Z254" i="6" s="1"/>
  <c r="Z255" i="6" a="1"/>
  <c r="Z255" i="6" s="1"/>
  <c r="Z256" i="6" a="1"/>
  <c r="Z256" i="6" s="1"/>
  <c r="Z257" i="6" a="1"/>
  <c r="Z257" i="6" s="1"/>
  <c r="Z258" i="6" a="1"/>
  <c r="Z258" i="6" s="1"/>
  <c r="Z259" i="6" a="1"/>
  <c r="Z259" i="6" s="1"/>
  <c r="Z260" i="6" a="1"/>
  <c r="Z260" i="6" s="1"/>
  <c r="Z261" i="6" a="1"/>
  <c r="Z261" i="6" s="1"/>
  <c r="Z262" i="6" a="1"/>
  <c r="Z262" i="6" s="1"/>
  <c r="Z263" i="6" a="1"/>
  <c r="Z263" i="6" s="1"/>
  <c r="Z264" i="6" a="1"/>
  <c r="Z264" i="6" s="1"/>
  <c r="Z265" i="6" a="1"/>
  <c r="Z265" i="6" s="1"/>
  <c r="Z266" i="6" a="1"/>
  <c r="Z266" i="6" s="1"/>
  <c r="Z267" i="6" a="1"/>
  <c r="Z267" i="6" s="1"/>
  <c r="Z268" i="6" a="1"/>
  <c r="Z268" i="6" s="1"/>
  <c r="Z269" i="6" a="1"/>
  <c r="Z269" i="6" s="1"/>
  <c r="Z270" i="6" a="1"/>
  <c r="Z270" i="6" s="1"/>
  <c r="Z271" i="6" a="1"/>
  <c r="Z271" i="6" s="1"/>
  <c r="Z272" i="6" a="1"/>
  <c r="Z272" i="6" s="1"/>
  <c r="Z273" i="6" a="1"/>
  <c r="Z273" i="6" s="1"/>
  <c r="Z274" i="6" a="1"/>
  <c r="Z274" i="6" s="1"/>
  <c r="Z275" i="6" a="1"/>
  <c r="Z275" i="6" s="1"/>
  <c r="Z276" i="6" a="1"/>
  <c r="Z276" i="6" s="1"/>
  <c r="Z277" i="6" a="1"/>
  <c r="Z277" i="6" s="1"/>
  <c r="Z278" i="6" a="1"/>
  <c r="Z278" i="6" s="1"/>
  <c r="Z279" i="6" a="1"/>
  <c r="Z279" i="6" s="1"/>
  <c r="Z280" i="6" a="1"/>
  <c r="Z280" i="6" s="1"/>
  <c r="Z281" i="6" a="1"/>
  <c r="Z281" i="6" s="1"/>
  <c r="Z282" i="6" a="1"/>
  <c r="Z282" i="6" s="1"/>
  <c r="Z283" i="6" a="1"/>
  <c r="Z283" i="6" s="1"/>
  <c r="Z284" i="6" a="1"/>
  <c r="Z284" i="6" s="1"/>
  <c r="Z285" i="6" a="1"/>
  <c r="Z285" i="6" s="1"/>
  <c r="Z286" i="6" a="1"/>
  <c r="Z286" i="6" s="1"/>
  <c r="Z287" i="6" a="1"/>
  <c r="Z287" i="6" s="1"/>
  <c r="Z288" i="6" a="1"/>
  <c r="Z288" i="6" s="1"/>
  <c r="Z289" i="6" a="1"/>
  <c r="Z289" i="6" s="1"/>
  <c r="Z290" i="6" a="1"/>
  <c r="Z290" i="6" s="1"/>
  <c r="Z291" i="6" a="1"/>
  <c r="Z291" i="6" s="1"/>
  <c r="Z292" i="6" a="1"/>
  <c r="Z292" i="6" s="1"/>
  <c r="Z293" i="6" a="1"/>
  <c r="Z293" i="6" s="1"/>
  <c r="Z294" i="6" a="1"/>
  <c r="Z294" i="6" s="1"/>
  <c r="Z295" i="6" a="1"/>
  <c r="Z295" i="6" s="1"/>
  <c r="Z296" i="6" a="1"/>
  <c r="Z296" i="6" s="1"/>
  <c r="Z297" i="6" a="1"/>
  <c r="Z297" i="6" s="1"/>
  <c r="Z298" i="6" a="1"/>
  <c r="Z298" i="6" s="1"/>
  <c r="Z299" i="6" a="1"/>
  <c r="Z299" i="6" s="1"/>
  <c r="Z300" i="6" a="1"/>
  <c r="Z300" i="6" s="1"/>
  <c r="Z301" i="6" a="1"/>
  <c r="Z301" i="6" s="1"/>
  <c r="Z302" i="6" a="1"/>
  <c r="Z302" i="6" s="1"/>
  <c r="Z303" i="6" a="1"/>
  <c r="Z303" i="6" s="1"/>
  <c r="Z304" i="6" a="1"/>
  <c r="Z304" i="6" s="1"/>
  <c r="Z305" i="6" a="1"/>
  <c r="Z305" i="6" s="1"/>
  <c r="Z306" i="6" a="1"/>
  <c r="Z306" i="6" s="1"/>
  <c r="Z307" i="6" a="1"/>
  <c r="Z307" i="6" s="1"/>
  <c r="Z308" i="6" a="1"/>
  <c r="Z308" i="6" s="1"/>
  <c r="Z309" i="6" a="1"/>
  <c r="Z309" i="6" s="1"/>
  <c r="Z310" i="6" a="1"/>
  <c r="Z310" i="6" s="1"/>
  <c r="Z311" i="6" a="1"/>
  <c r="Z311" i="6" s="1"/>
  <c r="Z312" i="6" a="1"/>
  <c r="Z312" i="6" s="1"/>
  <c r="Z313" i="6" a="1"/>
  <c r="Z313" i="6" s="1"/>
  <c r="Z314" i="6" a="1"/>
  <c r="Z314" i="6" s="1"/>
  <c r="Z315" i="6" a="1"/>
  <c r="Z315" i="6" s="1"/>
  <c r="Z316" i="6" a="1"/>
  <c r="Z316" i="6" s="1"/>
  <c r="Z317" i="6" a="1"/>
  <c r="Z317" i="6" s="1"/>
  <c r="Z318" i="6" a="1"/>
  <c r="Z318" i="6" s="1"/>
  <c r="Z319" i="6" a="1"/>
  <c r="Z319" i="6" s="1"/>
  <c r="Z320" i="6" a="1"/>
  <c r="Z320" i="6" s="1"/>
  <c r="Z321" i="6" a="1"/>
  <c r="Z321" i="6" s="1"/>
  <c r="Z322" i="6" a="1"/>
  <c r="Z322" i="6" s="1"/>
  <c r="Z323" i="6" a="1"/>
  <c r="Z323" i="6" s="1"/>
  <c r="Z324" i="6" a="1"/>
  <c r="Z324" i="6" s="1"/>
  <c r="Z325" i="6" a="1"/>
  <c r="Z325" i="6" s="1"/>
  <c r="Z326" i="6" a="1"/>
  <c r="Z326" i="6" s="1"/>
  <c r="Z327" i="6" a="1"/>
  <c r="Z327" i="6" s="1"/>
  <c r="Z328" i="6" a="1"/>
  <c r="Z328" i="6" s="1"/>
  <c r="Z329" i="6" a="1"/>
  <c r="Z329" i="6" s="1"/>
  <c r="Z330" i="6" a="1"/>
  <c r="Z330" i="6" s="1"/>
  <c r="Z331" i="6" a="1"/>
  <c r="Z331" i="6" s="1"/>
  <c r="Z332" i="6" a="1"/>
  <c r="Z332" i="6" s="1"/>
  <c r="Z333" i="6" a="1"/>
  <c r="Z333" i="6" s="1"/>
  <c r="Z334" i="6" a="1"/>
  <c r="Z334" i="6" s="1"/>
  <c r="Z335" i="6" a="1"/>
  <c r="Z335" i="6" s="1"/>
  <c r="Z336" i="6" a="1"/>
  <c r="Z336" i="6" s="1"/>
  <c r="Z337" i="6" a="1"/>
  <c r="Z337" i="6" s="1"/>
  <c r="Z338" i="6" a="1"/>
  <c r="Z338" i="6" s="1"/>
  <c r="Z339" i="6" a="1"/>
  <c r="Z339" i="6" s="1"/>
  <c r="Z340" i="6" a="1"/>
  <c r="Z340" i="6" s="1"/>
  <c r="Z341" i="6" a="1"/>
  <c r="Z341" i="6" s="1"/>
  <c r="Z342" i="6" a="1"/>
  <c r="Z342" i="6" s="1"/>
  <c r="Z343" i="6" a="1"/>
  <c r="Z343" i="6" s="1"/>
  <c r="Z344" i="6" a="1"/>
  <c r="Z344" i="6" s="1"/>
  <c r="Z345" i="6" a="1"/>
  <c r="Z345" i="6" s="1"/>
  <c r="Z346" i="6" a="1"/>
  <c r="Z346" i="6" s="1"/>
  <c r="Z347" i="6" a="1"/>
  <c r="Z347" i="6" s="1"/>
  <c r="Z348" i="6" a="1"/>
  <c r="Z348" i="6" s="1"/>
  <c r="Z349" i="6" a="1"/>
  <c r="Z349" i="6" s="1"/>
  <c r="Z350" i="6" a="1"/>
  <c r="Z350" i="6" s="1"/>
  <c r="Z351" i="6" a="1"/>
  <c r="Z351" i="6" s="1"/>
  <c r="Z352" i="6" a="1"/>
  <c r="Z352" i="6" s="1"/>
  <c r="Z353" i="6" a="1"/>
  <c r="Z353" i="6" s="1"/>
  <c r="Z354" i="6" a="1"/>
  <c r="Z354" i="6" s="1"/>
  <c r="Z355" i="6" a="1"/>
  <c r="Z355" i="6" s="1"/>
  <c r="Z356" i="6" a="1"/>
  <c r="Z356" i="6" s="1"/>
  <c r="Z357" i="6" a="1"/>
  <c r="Z357" i="6" s="1"/>
  <c r="Z358" i="6" a="1"/>
  <c r="Z358" i="6" s="1"/>
  <c r="Z359" i="6" a="1"/>
  <c r="Z359" i="6" s="1"/>
  <c r="Z360" i="6" a="1"/>
  <c r="Z360" i="6" s="1"/>
  <c r="Z361" i="6" a="1"/>
  <c r="Z361" i="6" s="1"/>
  <c r="Z362" i="6" a="1"/>
  <c r="Z362" i="6" s="1"/>
  <c r="Z363" i="6" a="1"/>
  <c r="Z363" i="6" s="1"/>
  <c r="Z364" i="6" a="1"/>
  <c r="Z364" i="6" s="1"/>
  <c r="Z365" i="6" a="1"/>
  <c r="Z365" i="6" s="1"/>
  <c r="Z366" i="6" a="1"/>
  <c r="Z366" i="6" s="1"/>
  <c r="Z367" i="6" a="1"/>
  <c r="Z367" i="6" s="1"/>
  <c r="Z368" i="6" a="1"/>
  <c r="Z368" i="6" s="1"/>
  <c r="Z369" i="6" a="1"/>
  <c r="Z369" i="6" s="1"/>
  <c r="Z370" i="6" a="1"/>
  <c r="Z370" i="6" s="1"/>
  <c r="Z371" i="6" a="1"/>
  <c r="Z371" i="6" s="1"/>
  <c r="Z372" i="6" a="1"/>
  <c r="Z372" i="6" s="1"/>
  <c r="Z373" i="6" a="1"/>
  <c r="Z373" i="6" s="1"/>
  <c r="Z374" i="6" a="1"/>
  <c r="Z374" i="6" s="1"/>
  <c r="Z375" i="6" a="1"/>
  <c r="Z375" i="6" s="1"/>
  <c r="Z376" i="6" a="1"/>
  <c r="Z376" i="6" s="1"/>
  <c r="Z377" i="6" a="1"/>
  <c r="Z377" i="6" s="1"/>
  <c r="Z378" i="6" a="1"/>
  <c r="Z378" i="6" s="1"/>
  <c r="Z379" i="6" a="1"/>
  <c r="Z379" i="6" s="1"/>
  <c r="Z380" i="6" a="1"/>
  <c r="Z380" i="6" s="1"/>
  <c r="Z381" i="6" a="1"/>
  <c r="Z381" i="6" s="1"/>
  <c r="Z382" i="6" a="1"/>
  <c r="Z382" i="6" s="1"/>
  <c r="Z383" i="6" a="1"/>
  <c r="Z383" i="6" s="1"/>
  <c r="Z384" i="6" a="1"/>
  <c r="Z384" i="6" s="1"/>
  <c r="Z385" i="6" a="1"/>
  <c r="Z385" i="6" s="1"/>
  <c r="Z386" i="6" a="1"/>
  <c r="Z386" i="6" s="1"/>
  <c r="Z387" i="6" a="1"/>
  <c r="Z387" i="6" s="1"/>
  <c r="Z388" i="6" a="1"/>
  <c r="Z388" i="6" s="1"/>
  <c r="Z389" i="6" a="1"/>
  <c r="Z389" i="6" s="1"/>
  <c r="Z390" i="6" a="1"/>
  <c r="Z390" i="6" s="1"/>
  <c r="Z391" i="6" a="1"/>
  <c r="Z391" i="6" s="1"/>
  <c r="Z392" i="6" a="1"/>
  <c r="Z392" i="6" s="1"/>
  <c r="Z393" i="6" a="1"/>
  <c r="Z393" i="6" s="1"/>
  <c r="Z394" i="6" a="1"/>
  <c r="Z394" i="6" s="1"/>
  <c r="Z395" i="6" a="1"/>
  <c r="Z395" i="6" s="1"/>
  <c r="Z396" i="6" a="1"/>
  <c r="Z396" i="6" s="1"/>
  <c r="Z397" i="6" a="1"/>
  <c r="Z397" i="6" s="1"/>
  <c r="Z398" i="6" a="1"/>
  <c r="Z398" i="6" s="1"/>
  <c r="Z399" i="6" a="1"/>
  <c r="Z399" i="6" s="1"/>
  <c r="Z400" i="6" a="1"/>
  <c r="Z400" i="6" s="1"/>
  <c r="Z401" i="6" a="1"/>
  <c r="Z401" i="6" s="1"/>
  <c r="Z402" i="6" a="1"/>
  <c r="Z402" i="6" s="1"/>
  <c r="Z403" i="6" a="1"/>
  <c r="Z403" i="6" s="1"/>
  <c r="Z404" i="6" a="1"/>
  <c r="Z404" i="6" s="1"/>
  <c r="Z405" i="6" a="1"/>
  <c r="Z405" i="6" s="1"/>
  <c r="Z406" i="6" a="1"/>
  <c r="Z406" i="6" s="1"/>
  <c r="Z407" i="6" a="1"/>
  <c r="Z407" i="6" s="1"/>
  <c r="Z408" i="6" a="1"/>
  <c r="Z408" i="6" s="1"/>
  <c r="Z409" i="6" a="1"/>
  <c r="Z409" i="6" s="1"/>
  <c r="Z410" i="6" a="1"/>
  <c r="Z410" i="6" s="1"/>
  <c r="Z411" i="6" a="1"/>
  <c r="Z411" i="6" s="1"/>
  <c r="Z412" i="6" a="1"/>
  <c r="Z412" i="6" s="1"/>
  <c r="Z413" i="6" a="1"/>
  <c r="Z413" i="6" s="1"/>
  <c r="Z414" i="6" a="1"/>
  <c r="Z414" i="6" s="1"/>
  <c r="Z415" i="6" a="1"/>
  <c r="Z415" i="6" s="1"/>
  <c r="Z416" i="6" a="1"/>
  <c r="Z416" i="6" s="1"/>
  <c r="Z417" i="6" a="1"/>
  <c r="Z417" i="6" s="1"/>
  <c r="Z418" i="6" a="1"/>
  <c r="Z418" i="6" s="1"/>
  <c r="Z419" i="6" a="1"/>
  <c r="Z419" i="6" s="1"/>
  <c r="Z420" i="6" a="1"/>
  <c r="Z420" i="6" s="1"/>
  <c r="Z421" i="6" a="1"/>
  <c r="Z421" i="6" s="1"/>
  <c r="Z422" i="6" a="1"/>
  <c r="Z422" i="6" s="1"/>
  <c r="Z423" i="6" a="1"/>
  <c r="Z423" i="6" s="1"/>
  <c r="Z424" i="6" a="1"/>
  <c r="Z424" i="6" s="1"/>
  <c r="Z425" i="6" a="1"/>
  <c r="Z425" i="6" s="1"/>
  <c r="Z426" i="6" a="1"/>
  <c r="Z426" i="6" s="1"/>
  <c r="Z427" i="6" a="1"/>
  <c r="Z427" i="6" s="1"/>
  <c r="Z428" i="6" a="1"/>
  <c r="Z428" i="6" s="1"/>
  <c r="Z429" i="6" a="1"/>
  <c r="Z429" i="6" s="1"/>
  <c r="Z430" i="6" a="1"/>
  <c r="Z430" i="6" s="1"/>
  <c r="Z431" i="6" a="1"/>
  <c r="Z431" i="6" s="1"/>
  <c r="Z432" i="6" a="1"/>
  <c r="Z432" i="6" s="1"/>
  <c r="Z433" i="6" a="1"/>
  <c r="Z433" i="6" s="1"/>
  <c r="Z434" i="6" a="1"/>
  <c r="Z434" i="6" s="1"/>
  <c r="Z435" i="6" a="1"/>
  <c r="Z435" i="6" s="1"/>
  <c r="Z436" i="6" a="1"/>
  <c r="Z436" i="6" s="1"/>
  <c r="Z437" i="6" a="1"/>
  <c r="Z437" i="6" s="1"/>
  <c r="Z438" i="6" a="1"/>
  <c r="Z438" i="6" s="1"/>
  <c r="Z439" i="6" a="1"/>
  <c r="Z439" i="6" s="1"/>
  <c r="Z440" i="6" a="1"/>
  <c r="Z440" i="6" s="1"/>
  <c r="Z441" i="6" a="1"/>
  <c r="Z441" i="6" s="1"/>
  <c r="Z442" i="6" a="1"/>
  <c r="Z442" i="6" s="1"/>
  <c r="Z443" i="6" a="1"/>
  <c r="Z443" i="6" s="1"/>
  <c r="Z444" i="6" a="1"/>
  <c r="Z444" i="6" s="1"/>
  <c r="Z445" i="6" a="1"/>
  <c r="Z445" i="6" s="1"/>
  <c r="Z446" i="6" a="1"/>
  <c r="Z446" i="6" s="1"/>
  <c r="Z447" i="6" a="1"/>
  <c r="Z447" i="6" s="1"/>
  <c r="Z448" i="6" a="1"/>
  <c r="Z448" i="6" s="1"/>
  <c r="Z449" i="6" a="1"/>
  <c r="Z449" i="6" s="1"/>
  <c r="Z450" i="6" a="1"/>
  <c r="Z450" i="6" s="1"/>
  <c r="Z451" i="6" a="1"/>
  <c r="Z451" i="6" s="1"/>
  <c r="Z452" i="6" a="1"/>
  <c r="Z452" i="6" s="1"/>
  <c r="Z453" i="6" a="1"/>
  <c r="Z453" i="6" s="1"/>
  <c r="Z454" i="6" a="1"/>
  <c r="Z454" i="6" s="1"/>
  <c r="Z455" i="6" a="1"/>
  <c r="Z455" i="6" s="1"/>
  <c r="Z456" i="6" a="1"/>
  <c r="Z456" i="6" s="1"/>
  <c r="Z457" i="6" a="1"/>
  <c r="Z457" i="6" s="1"/>
  <c r="Z458" i="6" a="1"/>
  <c r="Z458" i="6" s="1"/>
  <c r="Z459" i="6" a="1"/>
  <c r="Z459" i="6" s="1"/>
  <c r="Z460" i="6" a="1"/>
  <c r="Z460" i="6" s="1"/>
  <c r="Z461" i="6" a="1"/>
  <c r="Z461" i="6" s="1"/>
  <c r="Z462" i="6" a="1"/>
  <c r="Z462" i="6" s="1"/>
  <c r="Z463" i="6" a="1"/>
  <c r="Z463" i="6" s="1"/>
  <c r="Z464" i="6" a="1"/>
  <c r="Z464" i="6" s="1"/>
  <c r="Z465" i="6" a="1"/>
  <c r="Z465" i="6" s="1"/>
  <c r="Z466" i="6" a="1"/>
  <c r="Z466" i="6" s="1"/>
  <c r="Z467" i="6" a="1"/>
  <c r="Z467" i="6" s="1"/>
  <c r="Z468" i="6" a="1"/>
  <c r="Z468" i="6" s="1"/>
  <c r="Z469" i="6" a="1"/>
  <c r="Z469" i="6" s="1"/>
  <c r="Z470" i="6" a="1"/>
  <c r="Z470" i="6" s="1"/>
  <c r="Z471" i="6" a="1"/>
  <c r="Z471" i="6" s="1"/>
  <c r="Z472" i="6" a="1"/>
  <c r="Z472" i="6" s="1"/>
  <c r="Z473" i="6" a="1"/>
  <c r="Z473" i="6" s="1"/>
  <c r="Z474" i="6" a="1"/>
  <c r="Z474" i="6" s="1"/>
  <c r="Z475" i="6" a="1"/>
  <c r="Z475" i="6" s="1"/>
  <c r="Z476" i="6" a="1"/>
  <c r="Z476" i="6" s="1"/>
  <c r="Z477" i="6" a="1"/>
  <c r="Z477" i="6" s="1"/>
  <c r="Z478" i="6" a="1"/>
  <c r="Z478" i="6" s="1"/>
  <c r="Z479" i="6" a="1"/>
  <c r="Z479" i="6" s="1"/>
  <c r="Z480" i="6" a="1"/>
  <c r="Z480" i="6" s="1"/>
  <c r="Z481" i="6" a="1"/>
  <c r="Z481" i="6" s="1"/>
  <c r="Z482" i="6" a="1"/>
  <c r="Z482" i="6" s="1"/>
  <c r="Z483" i="6" a="1"/>
  <c r="Z483" i="6" s="1"/>
  <c r="Z484" i="6" a="1"/>
  <c r="Z484" i="6" s="1"/>
  <c r="Z485" i="6" a="1"/>
  <c r="Z485" i="6" s="1"/>
  <c r="Z486" i="6" a="1"/>
  <c r="Z486" i="6" s="1"/>
  <c r="Z487" i="6" a="1"/>
  <c r="Z487" i="6" s="1"/>
  <c r="Z488" i="6" a="1"/>
  <c r="Z488" i="6" s="1"/>
  <c r="Z489" i="6" a="1"/>
  <c r="Z489" i="6" s="1"/>
  <c r="Z490" i="6" a="1"/>
  <c r="Z490" i="6" s="1"/>
  <c r="Z491" i="6" a="1"/>
  <c r="Z491" i="6" s="1"/>
  <c r="Z492" i="6" a="1"/>
  <c r="Z492" i="6" s="1"/>
  <c r="Z493" i="6" a="1"/>
  <c r="Z493" i="6" s="1"/>
  <c r="Z494" i="6" a="1"/>
  <c r="Z494" i="6" s="1"/>
  <c r="Z495" i="6" a="1"/>
  <c r="Z495" i="6" s="1"/>
  <c r="Z496" i="6" a="1"/>
  <c r="Z496" i="6" s="1"/>
  <c r="Z497" i="6" a="1"/>
  <c r="Z497" i="6" s="1"/>
  <c r="Z498" i="6" a="1"/>
  <c r="Z498" i="6" s="1"/>
  <c r="Z499" i="6" a="1"/>
  <c r="Z499" i="6" s="1"/>
  <c r="Z500" i="6" a="1"/>
  <c r="Z500" i="6" s="1"/>
  <c r="Z501" i="6" a="1"/>
  <c r="Z501" i="6" s="1"/>
  <c r="Z502" i="6" a="1"/>
  <c r="Z502" i="6" s="1"/>
  <c r="Z503" i="6" a="1"/>
  <c r="Z503" i="6" s="1"/>
  <c r="Z504" i="6" a="1"/>
  <c r="Z504" i="6" s="1"/>
  <c r="Z505" i="6" a="1"/>
  <c r="Z505" i="6" s="1"/>
  <c r="Z506" i="6" a="1"/>
  <c r="Z506" i="6" s="1"/>
  <c r="Z507" i="6" a="1"/>
  <c r="Z507" i="6" s="1"/>
  <c r="Z508" i="6" a="1"/>
  <c r="Z508" i="6" s="1"/>
  <c r="Z509" i="6" a="1"/>
  <c r="Z509" i="6" s="1"/>
  <c r="Z510" i="6" a="1"/>
  <c r="Z510" i="6" s="1"/>
  <c r="Z511" i="6" a="1"/>
  <c r="Z511" i="6" s="1"/>
  <c r="Z512" i="6" a="1"/>
  <c r="Z512" i="6" s="1"/>
  <c r="Z513" i="6" a="1"/>
  <c r="Z513" i="6" s="1"/>
  <c r="Z514" i="6" a="1"/>
  <c r="Z514" i="6" s="1"/>
  <c r="Z515" i="6" a="1"/>
  <c r="Z515" i="6" s="1"/>
  <c r="Z516" i="6" a="1"/>
  <c r="Z516" i="6" s="1"/>
  <c r="Z517" i="6" a="1"/>
  <c r="Z517" i="6" s="1"/>
  <c r="Z518" i="6" a="1"/>
  <c r="Z518" i="6" s="1"/>
  <c r="Z519" i="6" a="1"/>
  <c r="Z519" i="6" s="1"/>
  <c r="Z520" i="6" a="1"/>
  <c r="Z520" i="6" s="1"/>
  <c r="Z521" i="6" a="1"/>
  <c r="Z521" i="6" s="1"/>
  <c r="Z522" i="6" a="1"/>
  <c r="Z522" i="6" s="1"/>
  <c r="Z523" i="6" a="1"/>
  <c r="Z523" i="6" s="1"/>
  <c r="Z524" i="6" a="1"/>
  <c r="Z524" i="6" s="1"/>
  <c r="Z525" i="6" a="1"/>
  <c r="Z525" i="6" s="1"/>
  <c r="Z526" i="6" a="1"/>
  <c r="Z526" i="6" s="1"/>
  <c r="Z527" i="6" a="1"/>
  <c r="Z527" i="6" s="1"/>
  <c r="Z528" i="6" a="1"/>
  <c r="Z528" i="6" s="1"/>
  <c r="Z529" i="6" a="1"/>
  <c r="Z529" i="6" s="1"/>
  <c r="Z530" i="6" a="1"/>
  <c r="Z530" i="6" s="1"/>
  <c r="Z531" i="6" a="1"/>
  <c r="Z531" i="6" s="1"/>
  <c r="Z532" i="6" a="1"/>
  <c r="Z532" i="6" s="1"/>
  <c r="Z533" i="6" a="1"/>
  <c r="Z533" i="6" s="1"/>
  <c r="Z534" i="6" a="1"/>
  <c r="Z534" i="6" s="1"/>
  <c r="Z535" i="6" a="1"/>
  <c r="Z535" i="6" s="1"/>
  <c r="Z536" i="6" a="1"/>
  <c r="Z536" i="6" s="1"/>
  <c r="Z537" i="6" a="1"/>
  <c r="Z537" i="6" s="1"/>
  <c r="Z538" i="6" a="1"/>
  <c r="Z538" i="6" s="1"/>
  <c r="Z539" i="6" a="1"/>
  <c r="Z539" i="6" s="1"/>
  <c r="Z540" i="6" a="1"/>
  <c r="Z540" i="6" s="1"/>
  <c r="Z541" i="6" a="1"/>
  <c r="Z541" i="6" s="1"/>
  <c r="Z542" i="6" a="1"/>
  <c r="Z542" i="6" s="1"/>
  <c r="Z543" i="6" a="1"/>
  <c r="Z543" i="6" s="1"/>
  <c r="Z544" i="6" a="1"/>
  <c r="Z544" i="6" s="1"/>
  <c r="Z545" i="6" a="1"/>
  <c r="Z545" i="6" s="1"/>
  <c r="Z546" i="6" a="1"/>
  <c r="Z546" i="6" s="1"/>
  <c r="Z547" i="6" a="1"/>
  <c r="Z547" i="6" s="1"/>
  <c r="Z548" i="6" a="1"/>
  <c r="Z548" i="6" s="1"/>
  <c r="Z549" i="6" a="1"/>
  <c r="Z549" i="6" s="1"/>
  <c r="Z550" i="6" a="1"/>
  <c r="Z550" i="6" s="1"/>
  <c r="Z551" i="6" a="1"/>
  <c r="Z551" i="6" s="1"/>
  <c r="Z552" i="6" a="1"/>
  <c r="Z552" i="6" s="1"/>
  <c r="Z553" i="6" a="1"/>
  <c r="Z553" i="6" s="1"/>
  <c r="Z554" i="6" a="1"/>
  <c r="Z554" i="6" s="1"/>
  <c r="Z555" i="6" a="1"/>
  <c r="Z555" i="6" s="1"/>
  <c r="Z556" i="6" a="1"/>
  <c r="Z556" i="6" s="1"/>
  <c r="Z557" i="6" a="1"/>
  <c r="Z557" i="6" s="1"/>
  <c r="Z558" i="6" a="1"/>
  <c r="Z558" i="6" s="1"/>
  <c r="Z559" i="6" a="1"/>
  <c r="Z559" i="6" s="1"/>
  <c r="Z560" i="6" a="1"/>
  <c r="Z560" i="6" s="1"/>
  <c r="Z561" i="6" a="1"/>
  <c r="Z561" i="6" s="1"/>
  <c r="Z562" i="6" a="1"/>
  <c r="Z562" i="6" s="1"/>
  <c r="Z563" i="6" a="1"/>
  <c r="Z563" i="6" s="1"/>
  <c r="Z564" i="6" a="1"/>
  <c r="Z564" i="6" s="1"/>
  <c r="Z565" i="6" a="1"/>
  <c r="Z565" i="6" s="1"/>
  <c r="Z566" i="6" a="1"/>
  <c r="Z566" i="6" s="1"/>
  <c r="Z567" i="6" a="1"/>
  <c r="Z567" i="6" s="1"/>
  <c r="Z568" i="6" a="1"/>
  <c r="Z568" i="6" s="1"/>
  <c r="Z569" i="6" a="1"/>
  <c r="Z569" i="6" s="1"/>
  <c r="Z570" i="6" a="1"/>
  <c r="Z570" i="6" s="1"/>
  <c r="Z571" i="6" a="1"/>
  <c r="Z571" i="6" s="1"/>
  <c r="Z572" i="6" a="1"/>
  <c r="Z572" i="6" s="1"/>
  <c r="Z573" i="6" a="1"/>
  <c r="Z573" i="6" s="1"/>
  <c r="Z574" i="6" a="1"/>
  <c r="Z574" i="6" s="1"/>
  <c r="Z575" i="6" a="1"/>
  <c r="Z575" i="6" s="1"/>
  <c r="Z576" i="6" a="1"/>
  <c r="Z576" i="6" s="1"/>
  <c r="Z577" i="6" a="1"/>
  <c r="Z577" i="6" s="1"/>
  <c r="Z578" i="6" a="1"/>
  <c r="Z578" i="6" s="1"/>
  <c r="Z579" i="6" a="1"/>
  <c r="Z579" i="6" s="1"/>
  <c r="Z580" i="6" a="1"/>
  <c r="Z580" i="6" s="1"/>
  <c r="Z581" i="6" a="1"/>
  <c r="Z581" i="6" s="1"/>
  <c r="Z582" i="6" a="1"/>
  <c r="Z582" i="6" s="1"/>
  <c r="Z583" i="6" a="1"/>
  <c r="Z583" i="6" s="1"/>
  <c r="Z584" i="6" a="1"/>
  <c r="Z584" i="6" s="1"/>
  <c r="Z585" i="6" a="1"/>
  <c r="Z585" i="6" s="1"/>
  <c r="Z586" i="6" a="1"/>
  <c r="Z586" i="6" s="1"/>
  <c r="Z587" i="6" a="1"/>
  <c r="Z587" i="6" s="1"/>
  <c r="Z588" i="6" a="1"/>
  <c r="Z588" i="6" s="1"/>
  <c r="Z589" i="6" a="1"/>
  <c r="Z589" i="6" s="1"/>
  <c r="Z590" i="6" a="1"/>
  <c r="Z590" i="6" s="1"/>
  <c r="Z591" i="6" a="1"/>
  <c r="Z591" i="6" s="1"/>
  <c r="Z592" i="6" a="1"/>
  <c r="Z592" i="6" s="1"/>
  <c r="Z593" i="6" a="1"/>
  <c r="Z593" i="6" s="1"/>
  <c r="Z594" i="6" a="1"/>
  <c r="Z594" i="6" s="1"/>
  <c r="Z595" i="6" a="1"/>
  <c r="Z595" i="6" s="1"/>
  <c r="Z596" i="6" a="1"/>
  <c r="Z596" i="6" s="1"/>
  <c r="Z597" i="6" a="1"/>
  <c r="Z597" i="6" s="1"/>
  <c r="Z598" i="6" a="1"/>
  <c r="Z598" i="6" s="1"/>
  <c r="Z599" i="6" a="1"/>
  <c r="Z599" i="6" s="1"/>
  <c r="Z600" i="6" a="1"/>
  <c r="Z600" i="6" s="1"/>
  <c r="Z601" i="6" a="1"/>
  <c r="Z601" i="6" s="1"/>
  <c r="Z602" i="6" a="1"/>
  <c r="Z602" i="6" s="1"/>
  <c r="Z603" i="6" a="1"/>
  <c r="Z603" i="6" s="1"/>
  <c r="Z604" i="6" a="1"/>
  <c r="Z604" i="6" s="1"/>
  <c r="Z605" i="6" a="1"/>
  <c r="Z605" i="6" s="1"/>
  <c r="Z606" i="6" a="1"/>
  <c r="Z606" i="6" s="1"/>
  <c r="Z607" i="6" a="1"/>
  <c r="Z607" i="6" s="1"/>
  <c r="Z608" i="6" a="1"/>
  <c r="Z608" i="6" s="1"/>
  <c r="Z609" i="6" a="1"/>
  <c r="Z609" i="6" s="1"/>
  <c r="Z610" i="6" a="1"/>
  <c r="Z610" i="6" s="1"/>
  <c r="Z611" i="6" a="1"/>
  <c r="Z611" i="6" s="1"/>
  <c r="Z612" i="6" a="1"/>
  <c r="Z612" i="6" s="1"/>
  <c r="Z613" i="6" a="1"/>
  <c r="Z613" i="6" s="1"/>
  <c r="Z614" i="6" a="1"/>
  <c r="Z614" i="6" s="1"/>
  <c r="Z615" i="6" a="1"/>
  <c r="Z615" i="6" s="1"/>
  <c r="Z616" i="6" a="1"/>
  <c r="Z616" i="6" s="1"/>
  <c r="Z617" i="6" a="1"/>
  <c r="Z617" i="6" s="1"/>
  <c r="Z618" i="6" a="1"/>
  <c r="Z618" i="6" s="1"/>
  <c r="Z619" i="6" a="1"/>
  <c r="Z619" i="6" s="1"/>
  <c r="Z620" i="6" a="1"/>
  <c r="Z620" i="6" s="1"/>
  <c r="Z621" i="6" a="1"/>
  <c r="Z621" i="6" s="1"/>
  <c r="Z622" i="6" a="1"/>
  <c r="Z622" i="6" s="1"/>
  <c r="Z623" i="6" a="1"/>
  <c r="Z623" i="6" s="1"/>
  <c r="Z624" i="6" a="1"/>
  <c r="Z624" i="6" s="1"/>
  <c r="Z625" i="6" a="1"/>
  <c r="Z625" i="6" s="1"/>
  <c r="Z626" i="6" a="1"/>
  <c r="Z626" i="6" s="1"/>
  <c r="Z627" i="6" a="1"/>
  <c r="Z627" i="6" s="1"/>
  <c r="Z628" i="6" a="1"/>
  <c r="Z628" i="6" s="1"/>
  <c r="Z629" i="6" a="1"/>
  <c r="Z629" i="6" s="1"/>
  <c r="Z630" i="6" a="1"/>
  <c r="Z630" i="6" s="1"/>
  <c r="Z631" i="6" a="1"/>
  <c r="Z631" i="6" s="1"/>
  <c r="Z632" i="6" a="1"/>
  <c r="Z632" i="6" s="1"/>
  <c r="Z633" i="6" a="1"/>
  <c r="Z633" i="6" s="1"/>
  <c r="Z634" i="6" a="1"/>
  <c r="Z634" i="6" s="1"/>
  <c r="Z635" i="6" a="1"/>
  <c r="Z635" i="6" s="1"/>
  <c r="Z636" i="6" a="1"/>
  <c r="Z636" i="6" s="1"/>
  <c r="Z637" i="6" a="1"/>
  <c r="Z637" i="6" s="1"/>
  <c r="Z638" i="6" a="1"/>
  <c r="Z638" i="6" s="1"/>
  <c r="Z639" i="6" a="1"/>
  <c r="Z639" i="6" s="1"/>
  <c r="Z640" i="6" a="1"/>
  <c r="Z640" i="6" s="1"/>
  <c r="Z641" i="6" a="1"/>
  <c r="Z641" i="6" s="1"/>
  <c r="Z642" i="6" a="1"/>
  <c r="Z642" i="6" s="1"/>
  <c r="Z643" i="6" a="1"/>
  <c r="Z643" i="6" s="1"/>
  <c r="Z644" i="6" a="1"/>
  <c r="Z644" i="6" s="1"/>
  <c r="Z645" i="6" a="1"/>
  <c r="Z645" i="6" s="1"/>
  <c r="Z646" i="6" a="1"/>
  <c r="Z646" i="6" s="1"/>
  <c r="Z647" i="6" a="1"/>
  <c r="Z647" i="6" s="1"/>
  <c r="Z648" i="6" a="1"/>
  <c r="Z648" i="6" s="1"/>
  <c r="Z649" i="6" a="1"/>
  <c r="Z649" i="6" s="1"/>
  <c r="Z650" i="6" a="1"/>
  <c r="Z650" i="6" s="1"/>
  <c r="Z651" i="6" a="1"/>
  <c r="Z651" i="6" s="1"/>
  <c r="Z652" i="6" a="1"/>
  <c r="Z652" i="6" s="1"/>
  <c r="Z653" i="6" a="1"/>
  <c r="Z653" i="6" s="1"/>
  <c r="Z654" i="6" a="1"/>
  <c r="Z654" i="6" s="1"/>
  <c r="Z655" i="6" a="1"/>
  <c r="Z655" i="6" s="1"/>
  <c r="Z656" i="6" a="1"/>
  <c r="Z656" i="6" s="1"/>
  <c r="Z657" i="6" a="1"/>
  <c r="Z657" i="6" s="1"/>
  <c r="Z658" i="6" a="1"/>
  <c r="Z658" i="6" s="1"/>
  <c r="Z659" i="6" a="1"/>
  <c r="Z659" i="6" s="1"/>
  <c r="Z660" i="6" a="1"/>
  <c r="Z660" i="6" s="1"/>
  <c r="Z661" i="6" a="1"/>
  <c r="Z661" i="6" s="1"/>
  <c r="Z662" i="6" a="1"/>
  <c r="Z662" i="6" s="1"/>
  <c r="Z663" i="6" a="1"/>
  <c r="Z663" i="6" s="1"/>
  <c r="Z664" i="6" a="1"/>
  <c r="Z664" i="6" s="1"/>
  <c r="Z665" i="6" a="1"/>
  <c r="Z665" i="6" s="1"/>
  <c r="Z666" i="6" a="1"/>
  <c r="Z666" i="6" s="1"/>
  <c r="Z667" i="6" a="1"/>
  <c r="Z667" i="6" s="1"/>
  <c r="Z668" i="6" a="1"/>
  <c r="Z668" i="6" s="1"/>
  <c r="Z669" i="6" a="1"/>
  <c r="Z669" i="6" s="1"/>
  <c r="Z670" i="6" a="1"/>
  <c r="Z670" i="6" s="1"/>
  <c r="Z671" i="6" a="1"/>
  <c r="Z671" i="6" s="1"/>
  <c r="Z672" i="6" a="1"/>
  <c r="Z672" i="6" s="1"/>
  <c r="Z673" i="6" a="1"/>
  <c r="Z673" i="6" s="1"/>
  <c r="Z674" i="6" a="1"/>
  <c r="Z674" i="6" s="1"/>
  <c r="Z675" i="6" a="1"/>
  <c r="Z675" i="6" s="1"/>
  <c r="Z676" i="6" a="1"/>
  <c r="Z676" i="6" s="1"/>
  <c r="Z677" i="6" a="1"/>
  <c r="Z677" i="6" s="1"/>
  <c r="Z678" i="6" a="1"/>
  <c r="Z678" i="6" s="1"/>
  <c r="Z679" i="6" a="1"/>
  <c r="Z679" i="6" s="1"/>
  <c r="Z680" i="6" a="1"/>
  <c r="Z680" i="6" s="1"/>
  <c r="Z681" i="6" a="1"/>
  <c r="Z681" i="6" s="1"/>
  <c r="Z682" i="6" a="1"/>
  <c r="Z682" i="6"/>
  <c r="Z683" i="6" a="1"/>
  <c r="Z683" i="6" s="1"/>
  <c r="Z684" i="6" a="1"/>
  <c r="Z684" i="6" s="1"/>
  <c r="Z685" i="6" a="1"/>
  <c r="Z685" i="6" s="1"/>
  <c r="Z686" i="6" a="1"/>
  <c r="Z686" i="6" s="1"/>
  <c r="Z687" i="6" a="1"/>
  <c r="Z687" i="6" s="1"/>
  <c r="Z688" i="6" a="1"/>
  <c r="Z688" i="6" s="1"/>
  <c r="Z689" i="6" a="1"/>
  <c r="Z689" i="6" s="1"/>
  <c r="Z690" i="6" a="1"/>
  <c r="Z690" i="6" s="1"/>
  <c r="Z691" i="6" a="1"/>
  <c r="Z691" i="6" s="1"/>
  <c r="Z692" i="6" a="1"/>
  <c r="Z692" i="6" s="1"/>
  <c r="Z693" i="6" a="1"/>
  <c r="Z693" i="6" s="1"/>
  <c r="Z694" i="6" a="1"/>
  <c r="Z694" i="6" s="1"/>
  <c r="Z695" i="6" a="1"/>
  <c r="Z695" i="6" s="1"/>
  <c r="Z696" i="6" a="1"/>
  <c r="Z696" i="6" s="1"/>
  <c r="Z697" i="6" a="1"/>
  <c r="Z697" i="6" s="1"/>
  <c r="Z698" i="6" a="1"/>
  <c r="Z698" i="6" s="1"/>
  <c r="Z699" i="6" a="1"/>
  <c r="Z699" i="6" s="1"/>
  <c r="Z700" i="6" a="1"/>
  <c r="Z700" i="6" s="1"/>
  <c r="Z701" i="6" a="1"/>
  <c r="Z701" i="6" s="1"/>
  <c r="Z702" i="6" a="1"/>
  <c r="Z702" i="6" s="1"/>
  <c r="Z703" i="6" a="1"/>
  <c r="Z703" i="6" s="1"/>
  <c r="Z704" i="6" a="1"/>
  <c r="Z704" i="6" s="1"/>
  <c r="Z705" i="6" a="1"/>
  <c r="Z705" i="6" s="1"/>
  <c r="Z706" i="6" a="1"/>
  <c r="Z706" i="6" s="1"/>
  <c r="Z707" i="6" a="1"/>
  <c r="Z707" i="6" s="1"/>
  <c r="Z708" i="6" a="1"/>
  <c r="Z708" i="6" s="1"/>
  <c r="Z709" i="6" a="1"/>
  <c r="Z709" i="6" s="1"/>
  <c r="Z710" i="6" a="1"/>
  <c r="Z710" i="6" s="1"/>
  <c r="Z711" i="6" a="1"/>
  <c r="Z711" i="6" s="1"/>
  <c r="Z712" i="6" a="1"/>
  <c r="Z712" i="6" s="1"/>
  <c r="Z713" i="6" a="1"/>
  <c r="Z713" i="6" s="1"/>
  <c r="Z714" i="6" a="1"/>
  <c r="Z714" i="6" s="1"/>
  <c r="Z715" i="6" a="1"/>
  <c r="Z715" i="6" s="1"/>
  <c r="Z716" i="6" a="1"/>
  <c r="Z716" i="6" s="1"/>
  <c r="Z717" i="6" a="1"/>
  <c r="Z717" i="6" s="1"/>
  <c r="Z718" i="6" a="1"/>
  <c r="Z718" i="6" s="1"/>
  <c r="Z719" i="6" a="1"/>
  <c r="Z719" i="6" s="1"/>
  <c r="Z720" i="6" a="1"/>
  <c r="Z720" i="6" s="1"/>
  <c r="Z721" i="6" a="1"/>
  <c r="Z721" i="6" s="1"/>
  <c r="Z722" i="6" a="1"/>
  <c r="Z722" i="6" s="1"/>
  <c r="Z723" i="6" a="1"/>
  <c r="Z723" i="6" s="1"/>
  <c r="Z724" i="6" a="1"/>
  <c r="Z724" i="6" s="1"/>
  <c r="Z725" i="6" a="1"/>
  <c r="Z725" i="6" s="1"/>
  <c r="Z726" i="6" a="1"/>
  <c r="Z726" i="6" s="1"/>
  <c r="Z727" i="6" a="1"/>
  <c r="Z727" i="6" s="1"/>
  <c r="Z728" i="6" a="1"/>
  <c r="Z728" i="6" s="1"/>
  <c r="Z729" i="6" a="1"/>
  <c r="Z729" i="6" s="1"/>
  <c r="Z730" i="6" a="1"/>
  <c r="Z730" i="6" s="1"/>
  <c r="Z731" i="6" a="1"/>
  <c r="Z731" i="6" s="1"/>
  <c r="Z732" i="6" a="1"/>
  <c r="Z732" i="6" s="1"/>
  <c r="Z733" i="6" a="1"/>
  <c r="Z733" i="6" s="1"/>
  <c r="Z734" i="6" a="1"/>
  <c r="Z734" i="6" s="1"/>
  <c r="Z735" i="6" a="1"/>
  <c r="Z735" i="6" s="1"/>
  <c r="Z736" i="6" a="1"/>
  <c r="Z736" i="6" s="1"/>
  <c r="Z737" i="6" a="1"/>
  <c r="Z737" i="6" s="1"/>
  <c r="Z738" i="6" a="1"/>
  <c r="Z738" i="6" s="1"/>
  <c r="Z739" i="6" a="1"/>
  <c r="Z739" i="6" s="1"/>
  <c r="Z740" i="6" a="1"/>
  <c r="Z740" i="6" s="1"/>
  <c r="Z741" i="6" a="1"/>
  <c r="Z741" i="6" s="1"/>
  <c r="Z742" i="6" a="1"/>
  <c r="Z742" i="6" s="1"/>
  <c r="Z743" i="6" a="1"/>
  <c r="Z743" i="6" s="1"/>
  <c r="Z744" i="6" a="1"/>
  <c r="Z744" i="6" s="1"/>
  <c r="Z745" i="6" a="1"/>
  <c r="Z745" i="6" s="1"/>
  <c r="Z746" i="6" a="1"/>
  <c r="Z746" i="6" s="1"/>
  <c r="Z747" i="6" a="1"/>
  <c r="Z747" i="6" s="1"/>
  <c r="Z748" i="6" a="1"/>
  <c r="Z748" i="6" s="1"/>
  <c r="Z749" i="6" a="1"/>
  <c r="Z749" i="6" s="1"/>
  <c r="Z750" i="6" a="1"/>
  <c r="Z750" i="6" s="1"/>
  <c r="Z751" i="6" a="1"/>
  <c r="Z751" i="6" s="1"/>
  <c r="Z752" i="6" a="1"/>
  <c r="Z752" i="6" s="1"/>
  <c r="Z753" i="6" a="1"/>
  <c r="Z753" i="6" s="1"/>
  <c r="Z754" i="6" a="1"/>
  <c r="Z754" i="6" s="1"/>
  <c r="Z755" i="6" a="1"/>
  <c r="Z755" i="6" s="1"/>
  <c r="Z756" i="6" a="1"/>
  <c r="Z756" i="6" s="1"/>
  <c r="Z757" i="6" a="1"/>
  <c r="Z757" i="6" s="1"/>
  <c r="Z758" i="6" a="1"/>
  <c r="Z758" i="6" s="1"/>
  <c r="Z759" i="6" a="1"/>
  <c r="Z759" i="6" s="1"/>
  <c r="Z760" i="6" a="1"/>
  <c r="Z760" i="6" s="1"/>
  <c r="Z761" i="6" a="1"/>
  <c r="Z761" i="6" s="1"/>
  <c r="Z762" i="6" a="1"/>
  <c r="Z762" i="6" s="1"/>
  <c r="Z763" i="6" a="1"/>
  <c r="Z763" i="6" s="1"/>
  <c r="Z764" i="6" a="1"/>
  <c r="Z764" i="6" s="1"/>
  <c r="Z765" i="6" a="1"/>
  <c r="Z765" i="6" s="1"/>
  <c r="Z766" i="6" a="1"/>
  <c r="Z766" i="6" s="1"/>
  <c r="Z767" i="6" a="1"/>
  <c r="Z767" i="6" s="1"/>
  <c r="Z768" i="6" a="1"/>
  <c r="Z768" i="6" s="1"/>
  <c r="Z769" i="6" a="1"/>
  <c r="Z769" i="6" s="1"/>
  <c r="Z770" i="6" a="1"/>
  <c r="Z770" i="6" s="1"/>
  <c r="Z771" i="6" a="1"/>
  <c r="Z771" i="6" s="1"/>
  <c r="Z772" i="6" a="1"/>
  <c r="Z772" i="6" s="1"/>
  <c r="Z773" i="6" a="1"/>
  <c r="Z773" i="6" s="1"/>
  <c r="Z774" i="6" a="1"/>
  <c r="Z774" i="6" s="1"/>
  <c r="Z775" i="6" a="1"/>
  <c r="Z775" i="6" s="1"/>
  <c r="Z776" i="6" a="1"/>
  <c r="Z776" i="6" s="1"/>
  <c r="Z777" i="6" a="1"/>
  <c r="Z777" i="6" s="1"/>
  <c r="Z778" i="6" a="1"/>
  <c r="Z778" i="6" s="1"/>
  <c r="Z779" i="6" a="1"/>
  <c r="Z779" i="6" s="1"/>
  <c r="Z780" i="6" a="1"/>
  <c r="Z780" i="6" s="1"/>
  <c r="Z781" i="6" a="1"/>
  <c r="Z781" i="6" s="1"/>
  <c r="Z782" i="6" a="1"/>
  <c r="Z782" i="6" s="1"/>
  <c r="Z783" i="6" a="1"/>
  <c r="Z783" i="6" s="1"/>
  <c r="Z784" i="6" a="1"/>
  <c r="Z784" i="6" s="1"/>
  <c r="Z785" i="6" a="1"/>
  <c r="Z785" i="6" s="1"/>
  <c r="Z786" i="6" a="1"/>
  <c r="Z786" i="6" s="1"/>
  <c r="Z787" i="6" a="1"/>
  <c r="Z787" i="6" s="1"/>
  <c r="Z788" i="6" a="1"/>
  <c r="Z788" i="6" s="1"/>
  <c r="Z789" i="6" a="1"/>
  <c r="Z789" i="6" s="1"/>
  <c r="Z790" i="6" a="1"/>
  <c r="Z790" i="6" s="1"/>
  <c r="Z791" i="6" a="1"/>
  <c r="Z791" i="6" s="1"/>
  <c r="Z792" i="6" a="1"/>
  <c r="Z792" i="6" s="1"/>
  <c r="Z793" i="6" a="1"/>
  <c r="Z793" i="6" s="1"/>
  <c r="Z794" i="6" a="1"/>
  <c r="Z794" i="6" s="1"/>
  <c r="Z795" i="6" a="1"/>
  <c r="Z795" i="6" s="1"/>
  <c r="Z796" i="6" a="1"/>
  <c r="Z796" i="6" s="1"/>
  <c r="Z797" i="6" a="1"/>
  <c r="Z797" i="6" s="1"/>
  <c r="Z798" i="6" a="1"/>
  <c r="Z798" i="6" s="1"/>
  <c r="Z799" i="6" a="1"/>
  <c r="Z799" i="6" s="1"/>
  <c r="Z800" i="6" a="1"/>
  <c r="Z800" i="6" s="1"/>
  <c r="Z801" i="6" a="1"/>
  <c r="Z801" i="6" s="1"/>
  <c r="Z802" i="6" a="1"/>
  <c r="Z802" i="6" s="1"/>
  <c r="Z803" i="6" a="1"/>
  <c r="Z803" i="6" s="1"/>
  <c r="Z804" i="6" a="1"/>
  <c r="Z804" i="6" s="1"/>
  <c r="Z805" i="6" a="1"/>
  <c r="Z805" i="6" s="1"/>
  <c r="Z806" i="6" a="1"/>
  <c r="Z806" i="6" s="1"/>
  <c r="Z807" i="6" a="1"/>
  <c r="Z807" i="6" s="1"/>
  <c r="Z808" i="6" a="1"/>
  <c r="Z808" i="6" s="1"/>
  <c r="Z809" i="6" a="1"/>
  <c r="Z809" i="6" s="1"/>
  <c r="Z810" i="6" a="1"/>
  <c r="Z810" i="6" s="1"/>
  <c r="Z811" i="6" a="1"/>
  <c r="Z811" i="6" s="1"/>
  <c r="Z812" i="6" a="1"/>
  <c r="Z812" i="6" s="1"/>
  <c r="Z813" i="6" a="1"/>
  <c r="Z813" i="6" s="1"/>
  <c r="Z814" i="6" a="1"/>
  <c r="Z814" i="6" s="1"/>
  <c r="Z815" i="6" a="1"/>
  <c r="Z815" i="6" s="1"/>
  <c r="Z816" i="6" a="1"/>
  <c r="Z816" i="6" s="1"/>
  <c r="Z817" i="6" a="1"/>
  <c r="Z817" i="6" s="1"/>
  <c r="Z818" i="6" a="1"/>
  <c r="Z818" i="6" s="1"/>
  <c r="Z819" i="6" a="1"/>
  <c r="Z819" i="6" s="1"/>
  <c r="Z820" i="6" a="1"/>
  <c r="Z820" i="6" s="1"/>
  <c r="Z821" i="6" a="1"/>
  <c r="Z821" i="6" s="1"/>
  <c r="Z822" i="6" a="1"/>
  <c r="Z822" i="6" s="1"/>
  <c r="Z823" i="6" a="1"/>
  <c r="Z823" i="6" s="1"/>
  <c r="Z824" i="6" a="1"/>
  <c r="Z824" i="6" s="1"/>
  <c r="Z825" i="6" a="1"/>
  <c r="Z825" i="6" s="1"/>
  <c r="Z826" i="6" a="1"/>
  <c r="Z826" i="6" s="1"/>
  <c r="Z827" i="6" a="1"/>
  <c r="Z827" i="6" s="1"/>
  <c r="Z828" i="6" a="1"/>
  <c r="Z828" i="6" s="1"/>
  <c r="Z829" i="6" a="1"/>
  <c r="Z829" i="6" s="1"/>
  <c r="Z830" i="6" a="1"/>
  <c r="Z830" i="6" s="1"/>
  <c r="Z831" i="6" a="1"/>
  <c r="Z831" i="6" s="1"/>
  <c r="Z832" i="6" a="1"/>
  <c r="Z832" i="6" s="1"/>
  <c r="Z833" i="6" a="1"/>
  <c r="Z833" i="6" s="1"/>
  <c r="Z834" i="6" a="1"/>
  <c r="Z834" i="6" s="1"/>
  <c r="Z835" i="6" a="1"/>
  <c r="Z835" i="6" s="1"/>
  <c r="Z836" i="6" a="1"/>
  <c r="Z836" i="6" s="1"/>
  <c r="Z837" i="6" a="1"/>
  <c r="Z837" i="6" s="1"/>
  <c r="Z838" i="6" a="1"/>
  <c r="Z838" i="6" s="1"/>
  <c r="Z839" i="6" a="1"/>
  <c r="Z839" i="6" s="1"/>
  <c r="Z840" i="6" a="1"/>
  <c r="Z840" i="6" s="1"/>
  <c r="Z841" i="6" a="1"/>
  <c r="Z841" i="6" s="1"/>
  <c r="Z842" i="6" a="1"/>
  <c r="Z842" i="6" s="1"/>
  <c r="Z843" i="6" a="1"/>
  <c r="Z843" i="6" s="1"/>
  <c r="Z844" i="6" a="1"/>
  <c r="Z844" i="6" s="1"/>
  <c r="Z845" i="6" a="1"/>
  <c r="Z845" i="6" s="1"/>
  <c r="Z846" i="6" a="1"/>
  <c r="Z846" i="6" s="1"/>
  <c r="Z847" i="6" a="1"/>
  <c r="Z847" i="6" s="1"/>
  <c r="Z848" i="6" a="1"/>
  <c r="Z848" i="6" s="1"/>
  <c r="Z849" i="6" a="1"/>
  <c r="Z849" i="6" s="1"/>
  <c r="Z850" i="6" a="1"/>
  <c r="Z850" i="6" s="1"/>
  <c r="Z851" i="6" a="1"/>
  <c r="Z851" i="6" s="1"/>
  <c r="Z852" i="6" a="1"/>
  <c r="Z852" i="6" s="1"/>
  <c r="Z853" i="6" a="1"/>
  <c r="Z853" i="6" s="1"/>
  <c r="Z854" i="6" a="1"/>
  <c r="Z854" i="6" s="1"/>
  <c r="Z855" i="6" a="1"/>
  <c r="Z855" i="6" s="1"/>
  <c r="Z856" i="6" a="1"/>
  <c r="Z856" i="6" s="1"/>
  <c r="Z857" i="6" a="1"/>
  <c r="Z857" i="6" s="1"/>
  <c r="Z858" i="6" a="1"/>
  <c r="Z858" i="6" s="1"/>
  <c r="Z859" i="6" a="1"/>
  <c r="Z859" i="6" s="1"/>
  <c r="Z860" i="6" a="1"/>
  <c r="Z860" i="6" s="1"/>
  <c r="Z861" i="6" a="1"/>
  <c r="Z861" i="6" s="1"/>
  <c r="Z862" i="6" a="1"/>
  <c r="Z862" i="6" s="1"/>
  <c r="Z863" i="6" a="1"/>
  <c r="Z863" i="6" s="1"/>
  <c r="Z864" i="6" a="1"/>
  <c r="Z864" i="6" s="1"/>
  <c r="Z865" i="6" a="1"/>
  <c r="Z865" i="6" s="1"/>
  <c r="Z866" i="6" a="1"/>
  <c r="Z866" i="6" s="1"/>
  <c r="Z867" i="6" a="1"/>
  <c r="Z867" i="6" s="1"/>
  <c r="Z868" i="6" a="1"/>
  <c r="Z868" i="6" s="1"/>
  <c r="Z869" i="6" a="1"/>
  <c r="Z869" i="6" s="1"/>
  <c r="Z870" i="6" a="1"/>
  <c r="Z870" i="6" s="1"/>
  <c r="Z871" i="6" a="1"/>
  <c r="Z871" i="6" s="1"/>
  <c r="Z872" i="6" a="1"/>
  <c r="Z872" i="6" s="1"/>
  <c r="Z873" i="6" a="1"/>
  <c r="Z873" i="6" s="1"/>
  <c r="Z874" i="6" a="1"/>
  <c r="Z874" i="6" s="1"/>
  <c r="Z875" i="6" a="1"/>
  <c r="Z875" i="6" s="1"/>
  <c r="Z876" i="6" a="1"/>
  <c r="Z876" i="6" s="1"/>
  <c r="Z877" i="6" a="1"/>
  <c r="Z877" i="6" s="1"/>
  <c r="Z878" i="6" a="1"/>
  <c r="Z878" i="6" s="1"/>
  <c r="Z879" i="6" a="1"/>
  <c r="Z879" i="6" s="1"/>
  <c r="Z880" i="6" a="1"/>
  <c r="Z880" i="6" s="1"/>
  <c r="Z881" i="6" a="1"/>
  <c r="Z881" i="6" s="1"/>
  <c r="Z882" i="6" a="1"/>
  <c r="Z882" i="6" s="1"/>
  <c r="Z883" i="6" a="1"/>
  <c r="Z883" i="6" s="1"/>
  <c r="Z884" i="6" a="1"/>
  <c r="Z884" i="6" s="1"/>
  <c r="Z885" i="6" a="1"/>
  <c r="Z885" i="6" s="1"/>
  <c r="Z886" i="6" a="1"/>
  <c r="Z886" i="6" s="1"/>
  <c r="Z887" i="6" a="1"/>
  <c r="Z887" i="6" s="1"/>
  <c r="Z888" i="6" a="1"/>
  <c r="Z888" i="6" s="1"/>
  <c r="Z889" i="6" a="1"/>
  <c r="Z889" i="6" s="1"/>
  <c r="Z890" i="6" a="1"/>
  <c r="Z890" i="6" s="1"/>
  <c r="Z891" i="6" a="1"/>
  <c r="Z891" i="6" s="1"/>
  <c r="Z892" i="6" a="1"/>
  <c r="Z892" i="6" s="1"/>
  <c r="Z893" i="6" a="1"/>
  <c r="Z893" i="6" s="1"/>
  <c r="Z894" i="6" a="1"/>
  <c r="Z894" i="6" s="1"/>
  <c r="Z895" i="6" a="1"/>
  <c r="Z895" i="6" s="1"/>
  <c r="Z896" i="6" a="1"/>
  <c r="Z896" i="6" s="1"/>
  <c r="Z897" i="6" a="1"/>
  <c r="Z897" i="6" s="1"/>
  <c r="Z898" i="6" a="1"/>
  <c r="Z898" i="6" s="1"/>
  <c r="Z899" i="6" a="1"/>
  <c r="Z899" i="6" s="1"/>
  <c r="Z900" i="6" a="1"/>
  <c r="Z900" i="6" s="1"/>
  <c r="Z901" i="6" a="1"/>
  <c r="Z901" i="6" s="1"/>
  <c r="Z902" i="6" a="1"/>
  <c r="Z902" i="6" s="1"/>
  <c r="Z903" i="6" a="1"/>
  <c r="Z903" i="6" s="1"/>
  <c r="Z904" i="6" a="1"/>
  <c r="Z904" i="6"/>
  <c r="Z905" i="6" a="1"/>
  <c r="Z905" i="6" s="1"/>
  <c r="Z906" i="6" a="1"/>
  <c r="Z906" i="6" s="1"/>
  <c r="Z907" i="6" a="1"/>
  <c r="Z907" i="6" s="1"/>
  <c r="Z908" i="6" a="1"/>
  <c r="Z908" i="6" s="1"/>
  <c r="Z909" i="6" a="1"/>
  <c r="Z909" i="6" s="1"/>
  <c r="Z910" i="6" a="1"/>
  <c r="Z910" i="6" s="1"/>
  <c r="Z911" i="6" a="1"/>
  <c r="Z911" i="6" s="1"/>
  <c r="Z912" i="6" a="1"/>
  <c r="Z912" i="6" s="1"/>
  <c r="Z913" i="6" a="1"/>
  <c r="Z913" i="6" s="1"/>
  <c r="Z914" i="6" a="1"/>
  <c r="Z914" i="6" s="1"/>
  <c r="Z915" i="6" a="1"/>
  <c r="Z915" i="6" s="1"/>
  <c r="Z916" i="6" a="1"/>
  <c r="Z916" i="6" s="1"/>
  <c r="Z917" i="6" a="1"/>
  <c r="Z917" i="6" s="1"/>
  <c r="Z918" i="6" a="1"/>
  <c r="Z918" i="6" s="1"/>
  <c r="Z919" i="6" a="1"/>
  <c r="Z919" i="6" s="1"/>
  <c r="Z920" i="6" a="1"/>
  <c r="Z920" i="6" s="1"/>
  <c r="Z921" i="6" a="1"/>
  <c r="Z921" i="6" s="1"/>
  <c r="Z922" i="6" a="1"/>
  <c r="Z922" i="6" s="1"/>
  <c r="Z923" i="6" a="1"/>
  <c r="Z923" i="6" s="1"/>
  <c r="Z924" i="6" a="1"/>
  <c r="Z924" i="6" s="1"/>
  <c r="Z925" i="6" a="1"/>
  <c r="Z925" i="6" s="1"/>
  <c r="Z926" i="6" a="1"/>
  <c r="Z926" i="6" s="1"/>
  <c r="Z927" i="6" a="1"/>
  <c r="Z927" i="6" s="1"/>
  <c r="Z928" i="6" a="1"/>
  <c r="Z928" i="6" s="1"/>
  <c r="Z929" i="6" a="1"/>
  <c r="Z929" i="6" s="1"/>
  <c r="Z930" i="6" a="1"/>
  <c r="Z930" i="6" s="1"/>
  <c r="Z931" i="6" a="1"/>
  <c r="Z931" i="6" s="1"/>
  <c r="Z932" i="6" a="1"/>
  <c r="Z932" i="6" s="1"/>
  <c r="Z933" i="6" a="1"/>
  <c r="Z933" i="6" s="1"/>
  <c r="Z934" i="6" a="1"/>
  <c r="Z934" i="6" s="1"/>
  <c r="Z935" i="6" a="1"/>
  <c r="Z935" i="6" s="1"/>
  <c r="Z936" i="6" a="1"/>
  <c r="Z936" i="6" s="1"/>
  <c r="Z937" i="6" a="1"/>
  <c r="Z937" i="6" s="1"/>
  <c r="Z938" i="6" a="1"/>
  <c r="Z938" i="6" s="1"/>
  <c r="Z939" i="6" a="1"/>
  <c r="Z939" i="6" s="1"/>
  <c r="Z940" i="6" a="1"/>
  <c r="Z940" i="6" s="1"/>
  <c r="Z941" i="6" a="1"/>
  <c r="Z941" i="6" s="1"/>
  <c r="Z2" i="6" a="1"/>
  <c r="Z2" i="6" s="1"/>
  <c r="X822" i="6"/>
  <c r="X238" i="6"/>
  <c r="X698" i="6"/>
  <c r="X496" i="6"/>
  <c r="X640" i="6"/>
  <c r="X2" i="6"/>
  <c r="X378" i="6"/>
  <c r="X699" i="6"/>
  <c r="X300" i="6"/>
  <c r="X912" i="6"/>
  <c r="X527" i="6"/>
  <c r="X239" i="6"/>
  <c r="X240" i="6"/>
  <c r="X95" i="6"/>
  <c r="X207" i="6"/>
  <c r="X528" i="6"/>
  <c r="X700" i="6"/>
  <c r="X241" i="6"/>
  <c r="X913" i="6"/>
  <c r="X208" i="6"/>
  <c r="X96" i="6"/>
  <c r="X64" i="6"/>
  <c r="X242" i="6"/>
  <c r="X301" i="6"/>
  <c r="X791" i="6"/>
  <c r="X823" i="6"/>
  <c r="X852" i="6"/>
  <c r="X824" i="6"/>
  <c r="X97" i="6"/>
  <c r="X914" i="6"/>
  <c r="X98" i="6"/>
  <c r="X302" i="6"/>
  <c r="X701" i="6"/>
  <c r="X792" i="6"/>
  <c r="X379" i="6"/>
  <c r="X702" i="6"/>
  <c r="X703" i="6"/>
  <c r="X825" i="6"/>
  <c r="X704" i="6"/>
  <c r="X440" i="6"/>
  <c r="X529" i="6"/>
  <c r="X303" i="6"/>
  <c r="X497" i="6"/>
  <c r="X441" i="6"/>
  <c r="X705" i="6"/>
  <c r="X99" i="6"/>
  <c r="X609" i="6"/>
  <c r="X530" i="6"/>
  <c r="X442" i="6"/>
  <c r="X347" i="6"/>
  <c r="X706" i="6"/>
  <c r="X304" i="6"/>
  <c r="X305" i="6"/>
  <c r="X589" i="6"/>
  <c r="X145" i="6"/>
  <c r="X100" i="6"/>
  <c r="X707" i="6"/>
  <c r="X915" i="6"/>
  <c r="X916" i="6"/>
  <c r="X641" i="6"/>
  <c r="X610" i="6"/>
  <c r="X853" i="6"/>
  <c r="X826" i="6"/>
  <c r="X917" i="6"/>
  <c r="X883" i="6"/>
  <c r="X306" i="6"/>
  <c r="X708" i="6"/>
  <c r="X590" i="6"/>
  <c r="X642" i="6"/>
  <c r="X243" i="6"/>
  <c r="X443" i="6"/>
  <c r="X380" i="6"/>
  <c r="X244" i="6"/>
  <c r="X444" i="6"/>
  <c r="X611" i="6"/>
  <c r="X643" i="6"/>
  <c r="X3" i="6"/>
  <c r="X209" i="6"/>
  <c r="X793" i="6"/>
  <c r="X146" i="6"/>
  <c r="X827" i="6"/>
  <c r="X147" i="6"/>
  <c r="X65" i="6"/>
  <c r="X245" i="6"/>
  <c r="X445" i="6"/>
  <c r="X4" i="6"/>
  <c r="X918" i="6"/>
  <c r="X591" i="6"/>
  <c r="X612" i="6"/>
  <c r="X210" i="6"/>
  <c r="X592" i="6"/>
  <c r="X794" i="6"/>
  <c r="X709" i="6"/>
  <c r="X5" i="6"/>
  <c r="X710" i="6"/>
  <c r="X211" i="6"/>
  <c r="X381" i="6"/>
  <c r="X666" i="6"/>
  <c r="X884" i="6"/>
  <c r="X593" i="6"/>
  <c r="X382" i="6"/>
  <c r="X66" i="6"/>
  <c r="X212" i="6"/>
  <c r="X498" i="6"/>
  <c r="X307" i="6"/>
  <c r="X854" i="6"/>
  <c r="X246" i="6"/>
  <c r="X499" i="6"/>
  <c r="X828" i="6"/>
  <c r="X101" i="6"/>
  <c r="X213" i="6"/>
  <c r="X446" i="6"/>
  <c r="X348" i="6"/>
  <c r="X855" i="6"/>
  <c r="X6" i="6"/>
  <c r="X247" i="6"/>
  <c r="X349" i="6"/>
  <c r="X613" i="6"/>
  <c r="X531" i="6"/>
  <c r="X383" i="6"/>
  <c r="X856" i="6"/>
  <c r="X447" i="6"/>
  <c r="X711" i="6"/>
  <c r="X712" i="6"/>
  <c r="X350" i="6"/>
  <c r="X308" i="6"/>
  <c r="X448" i="6"/>
  <c r="X102" i="6"/>
  <c r="X384" i="6"/>
  <c r="X885" i="6"/>
  <c r="X857" i="6"/>
  <c r="X385" i="6"/>
  <c r="X795" i="6"/>
  <c r="X532" i="6"/>
  <c r="X449" i="6"/>
  <c r="X919" i="6"/>
  <c r="X248" i="6"/>
  <c r="X148" i="6"/>
  <c r="X594" i="6"/>
  <c r="X713" i="6"/>
  <c r="X533" i="6"/>
  <c r="X7" i="6"/>
  <c r="X614" i="6"/>
  <c r="X615" i="6"/>
  <c r="X386" i="6"/>
  <c r="X149" i="6"/>
  <c r="X500" i="6"/>
  <c r="X829" i="6"/>
  <c r="X309" i="6"/>
  <c r="X8" i="6"/>
  <c r="X667" i="6"/>
  <c r="X150" i="6"/>
  <c r="X714" i="6"/>
  <c r="X616" i="6"/>
  <c r="X501" i="6"/>
  <c r="X830" i="6"/>
  <c r="X249" i="6"/>
  <c r="X796" i="6"/>
  <c r="X797" i="6"/>
  <c r="X617" i="6"/>
  <c r="X886" i="6"/>
  <c r="X387" i="6"/>
  <c r="X920" i="6"/>
  <c r="X9" i="6"/>
  <c r="X798" i="6"/>
  <c r="X310" i="6"/>
  <c r="X67" i="6"/>
  <c r="X214" i="6"/>
  <c r="X450" i="6"/>
  <c r="X10" i="6"/>
  <c r="X388" i="6"/>
  <c r="X250" i="6"/>
  <c r="X595" i="6"/>
  <c r="X151" i="6"/>
  <c r="X644" i="6"/>
  <c r="X152" i="6"/>
  <c r="X68" i="6"/>
  <c r="X69" i="6"/>
  <c r="X153" i="6"/>
  <c r="X502" i="6"/>
  <c r="X389" i="6"/>
  <c r="X645" i="6"/>
  <c r="X390" i="6"/>
  <c r="X715" i="6"/>
  <c r="X831" i="6"/>
  <c r="X858" i="6"/>
  <c r="X351" i="6"/>
  <c r="X832" i="6"/>
  <c r="X154" i="6"/>
  <c r="X352" i="6"/>
  <c r="X155" i="6"/>
  <c r="X534" i="6"/>
  <c r="X535" i="6"/>
  <c r="X716" i="6"/>
  <c r="X353" i="6"/>
  <c r="X156" i="6"/>
  <c r="X618" i="6"/>
  <c r="X536" i="6"/>
  <c r="X70" i="6"/>
  <c r="X503" i="6"/>
  <c r="X717" i="6"/>
  <c r="X619" i="6"/>
  <c r="X103" i="6"/>
  <c r="X718" i="6"/>
  <c r="X668" i="6"/>
  <c r="X311" i="6"/>
  <c r="X859" i="6"/>
  <c r="X451" i="6"/>
  <c r="X887" i="6"/>
  <c r="X391" i="6"/>
  <c r="X392" i="6"/>
  <c r="X537" i="6"/>
  <c r="X833" i="6"/>
  <c r="X538" i="6"/>
  <c r="X799" i="6"/>
  <c r="X921" i="6"/>
  <c r="X504" i="6"/>
  <c r="X251" i="6"/>
  <c r="X505" i="6"/>
  <c r="X719" i="6"/>
  <c r="X539" i="6"/>
  <c r="X922" i="6"/>
  <c r="X540" i="6"/>
  <c r="X71" i="6"/>
  <c r="X720" i="6"/>
  <c r="X923" i="6"/>
  <c r="X888" i="6"/>
  <c r="X393" i="6"/>
  <c r="X860" i="6"/>
  <c r="X541" i="6"/>
  <c r="X834" i="6"/>
  <c r="X394" i="6"/>
  <c r="X11" i="6"/>
  <c r="X452" i="6"/>
  <c r="X395" i="6"/>
  <c r="X396" i="6"/>
  <c r="X721" i="6"/>
  <c r="X861" i="6"/>
  <c r="X862" i="6"/>
  <c r="X889" i="6"/>
  <c r="X646" i="6"/>
  <c r="X596" i="6"/>
  <c r="X890" i="6"/>
  <c r="X157" i="6"/>
  <c r="X12" i="6"/>
  <c r="X13" i="6"/>
  <c r="X104" i="6"/>
  <c r="X506" i="6"/>
  <c r="X215" i="6"/>
  <c r="X397" i="6"/>
  <c r="X158" i="6"/>
  <c r="X72" i="6"/>
  <c r="X252" i="6"/>
  <c r="X597" i="6"/>
  <c r="X647" i="6"/>
  <c r="X542" i="6"/>
  <c r="X669" i="6"/>
  <c r="X543" i="6"/>
  <c r="X105" i="6"/>
  <c r="X507" i="6"/>
  <c r="X354" i="6"/>
  <c r="X620" i="6"/>
  <c r="X453" i="6"/>
  <c r="X621" i="6"/>
  <c r="X159" i="6"/>
  <c r="X355" i="6"/>
  <c r="X891" i="6"/>
  <c r="X800" i="6"/>
  <c r="X892" i="6"/>
  <c r="X160" i="6"/>
  <c r="X722" i="6"/>
  <c r="X544" i="6"/>
  <c r="X723" i="6"/>
  <c r="X14" i="6"/>
  <c r="X598" i="6"/>
  <c r="X216" i="6"/>
  <c r="X863" i="6"/>
  <c r="X835" i="6"/>
  <c r="X253" i="6"/>
  <c r="X924" i="6"/>
  <c r="X161" i="6"/>
  <c r="X599" i="6"/>
  <c r="X508" i="6"/>
  <c r="X600" i="6"/>
  <c r="X254" i="6"/>
  <c r="X622" i="6"/>
  <c r="X454" i="6"/>
  <c r="X724" i="6"/>
  <c r="X623" i="6"/>
  <c r="X648" i="6"/>
  <c r="X545" i="6"/>
  <c r="X312" i="6"/>
  <c r="X162" i="6"/>
  <c r="X15" i="6"/>
  <c r="X925" i="6"/>
  <c r="X106" i="6"/>
  <c r="X670" i="6"/>
  <c r="X398" i="6"/>
  <c r="X801" i="6"/>
  <c r="X399" i="6"/>
  <c r="X836" i="6"/>
  <c r="X893" i="6"/>
  <c r="X107" i="6"/>
  <c r="X400" i="6"/>
  <c r="X401" i="6"/>
  <c r="X837" i="6"/>
  <c r="X402" i="6"/>
  <c r="X255" i="6"/>
  <c r="X601" i="6"/>
  <c r="X802" i="6"/>
  <c r="X256" i="6"/>
  <c r="X257" i="6"/>
  <c r="X108" i="6"/>
  <c r="X546" i="6"/>
  <c r="X624" i="6"/>
  <c r="X864" i="6"/>
  <c r="X725" i="6"/>
  <c r="X726" i="6"/>
  <c r="X109" i="6"/>
  <c r="X509" i="6"/>
  <c r="X258" i="6"/>
  <c r="X110" i="6"/>
  <c r="X547" i="6"/>
  <c r="X727" i="6"/>
  <c r="X671" i="6"/>
  <c r="X838" i="6"/>
  <c r="X649" i="6"/>
  <c r="X455" i="6"/>
  <c r="X163" i="6"/>
  <c r="X259" i="6"/>
  <c r="X356" i="6"/>
  <c r="X16" i="6"/>
  <c r="X17" i="6"/>
  <c r="X164" i="6"/>
  <c r="X510" i="6"/>
  <c r="X260" i="6"/>
  <c r="X625" i="6"/>
  <c r="X803" i="6"/>
  <c r="X865" i="6"/>
  <c r="X73" i="6"/>
  <c r="X111" i="6"/>
  <c r="X728" i="6"/>
  <c r="X729" i="6"/>
  <c r="X74" i="6"/>
  <c r="X804" i="6"/>
  <c r="X18" i="6"/>
  <c r="X626" i="6"/>
  <c r="X548" i="6"/>
  <c r="X19" i="6"/>
  <c r="X894" i="6"/>
  <c r="X261" i="6"/>
  <c r="X926" i="6"/>
  <c r="X75" i="6"/>
  <c r="X262" i="6"/>
  <c r="X549" i="6"/>
  <c r="X456" i="6"/>
  <c r="X313" i="6"/>
  <c r="X672" i="6"/>
  <c r="X650" i="6"/>
  <c r="X730" i="6"/>
  <c r="X217" i="6"/>
  <c r="X550" i="6"/>
  <c r="X218" i="6"/>
  <c r="X627" i="6"/>
  <c r="X357" i="6"/>
  <c r="X839" i="6"/>
  <c r="X76" i="6"/>
  <c r="X403" i="6"/>
  <c r="X404" i="6"/>
  <c r="X805" i="6"/>
  <c r="X806" i="6"/>
  <c r="X731" i="6"/>
  <c r="X405" i="6"/>
  <c r="X551" i="6"/>
  <c r="X112" i="6"/>
  <c r="X807" i="6"/>
  <c r="X511" i="6"/>
  <c r="X457" i="6"/>
  <c r="X20" i="6"/>
  <c r="X165" i="6"/>
  <c r="X651" i="6"/>
  <c r="X512" i="6"/>
  <c r="X458" i="6"/>
  <c r="X459" i="6"/>
  <c r="X460" i="6"/>
  <c r="X113" i="6"/>
  <c r="X314" i="6"/>
  <c r="X166" i="6"/>
  <c r="X732" i="6"/>
  <c r="X114" i="6"/>
  <c r="X315" i="6"/>
  <c r="X461" i="6"/>
  <c r="X406" i="6"/>
  <c r="X808" i="6"/>
  <c r="X840" i="6"/>
  <c r="X733" i="6"/>
  <c r="X628" i="6"/>
  <c r="X167" i="6"/>
  <c r="X21" i="6"/>
  <c r="X734" i="6"/>
  <c r="X735" i="6"/>
  <c r="X22" i="6"/>
  <c r="X736" i="6"/>
  <c r="X629" i="6"/>
  <c r="X841" i="6"/>
  <c r="X927" i="6"/>
  <c r="X168" i="6"/>
  <c r="X552" i="6"/>
  <c r="X553" i="6"/>
  <c r="X462" i="6"/>
  <c r="X169" i="6"/>
  <c r="X463" i="6"/>
  <c r="X737" i="6"/>
  <c r="X554" i="6"/>
  <c r="X23" i="6"/>
  <c r="X263" i="6"/>
  <c r="X77" i="6"/>
  <c r="X78" i="6"/>
  <c r="X928" i="6"/>
  <c r="X115" i="6"/>
  <c r="X555" i="6"/>
  <c r="X556" i="6"/>
  <c r="X170" i="6"/>
  <c r="X557" i="6"/>
  <c r="X738" i="6"/>
  <c r="X116" i="6"/>
  <c r="X513" i="6"/>
  <c r="X464" i="6"/>
  <c r="X407" i="6"/>
  <c r="X739" i="6"/>
  <c r="X117" i="6"/>
  <c r="X171" i="6"/>
  <c r="X316" i="6"/>
  <c r="X358" i="6"/>
  <c r="X408" i="6"/>
  <c r="X24" i="6"/>
  <c r="X317" i="6"/>
  <c r="X409" i="6"/>
  <c r="X929" i="6"/>
  <c r="X465" i="6"/>
  <c r="X558" i="6"/>
  <c r="X559" i="6"/>
  <c r="X560" i="6"/>
  <c r="X318" i="6"/>
  <c r="X219" i="6"/>
  <c r="X466" i="6"/>
  <c r="X467" i="6"/>
  <c r="X740" i="6"/>
  <c r="X25" i="6"/>
  <c r="X26" i="6"/>
  <c r="X118" i="6"/>
  <c r="X895" i="6"/>
  <c r="X652" i="6"/>
  <c r="X930" i="6"/>
  <c r="X172" i="6"/>
  <c r="X561" i="6"/>
  <c r="X319" i="6"/>
  <c r="X562" i="6"/>
  <c r="X809" i="6"/>
  <c r="X27" i="6"/>
  <c r="X320" i="6"/>
  <c r="X119" i="6"/>
  <c r="X173" i="6"/>
  <c r="X174" i="6"/>
  <c r="X931" i="6"/>
  <c r="X514" i="6"/>
  <c r="X896" i="6"/>
  <c r="X175" i="6"/>
  <c r="X866" i="6"/>
  <c r="X468" i="6"/>
  <c r="X741" i="6"/>
  <c r="X28" i="6"/>
  <c r="X742" i="6"/>
  <c r="X630" i="6"/>
  <c r="X176" i="6"/>
  <c r="X469" i="6"/>
  <c r="X673" i="6"/>
  <c r="X410" i="6"/>
  <c r="X120" i="6"/>
  <c r="X359" i="6"/>
  <c r="X515" i="6"/>
  <c r="X321" i="6"/>
  <c r="X264" i="6"/>
  <c r="X842" i="6"/>
  <c r="X743" i="6"/>
  <c r="X897" i="6"/>
  <c r="X121" i="6"/>
  <c r="X411" i="6"/>
  <c r="X843" i="6"/>
  <c r="X744" i="6"/>
  <c r="X470" i="6"/>
  <c r="X265" i="6"/>
  <c r="X867" i="6"/>
  <c r="X412" i="6"/>
  <c r="X220" i="6"/>
  <c r="X745" i="6"/>
  <c r="X29" i="6"/>
  <c r="X266" i="6"/>
  <c r="X844" i="6"/>
  <c r="X674" i="6"/>
  <c r="X746" i="6"/>
  <c r="X267" i="6"/>
  <c r="X675" i="6"/>
  <c r="X413" i="6"/>
  <c r="X30" i="6"/>
  <c r="X563" i="6"/>
  <c r="X177" i="6"/>
  <c r="X471" i="6"/>
  <c r="X898" i="6"/>
  <c r="X268" i="6"/>
  <c r="X31" i="6"/>
  <c r="X360" i="6"/>
  <c r="X269" i="6"/>
  <c r="X747" i="6"/>
  <c r="X748" i="6"/>
  <c r="X322" i="6"/>
  <c r="X79" i="6"/>
  <c r="X361" i="6"/>
  <c r="X564" i="6"/>
  <c r="X810" i="6"/>
  <c r="X414" i="6"/>
  <c r="X80" i="6"/>
  <c r="X811" i="6"/>
  <c r="X868" i="6"/>
  <c r="X178" i="6"/>
  <c r="X676" i="6"/>
  <c r="X677" i="6"/>
  <c r="X323" i="6"/>
  <c r="X749" i="6"/>
  <c r="X324" i="6"/>
  <c r="X602" i="6"/>
  <c r="X932" i="6"/>
  <c r="X899" i="6"/>
  <c r="X270" i="6"/>
  <c r="X271" i="6"/>
  <c r="X678" i="6"/>
  <c r="X81" i="6"/>
  <c r="X812" i="6"/>
  <c r="X565" i="6"/>
  <c r="X272" i="6"/>
  <c r="X750" i="6"/>
  <c r="X32" i="6"/>
  <c r="X325" i="6"/>
  <c r="X933" i="6"/>
  <c r="X566" i="6"/>
  <c r="X362" i="6"/>
  <c r="X567" i="6"/>
  <c r="X363" i="6"/>
  <c r="X33" i="6"/>
  <c r="X179" i="6"/>
  <c r="X472" i="6"/>
  <c r="X82" i="6"/>
  <c r="X122" i="6"/>
  <c r="X34" i="6"/>
  <c r="X679" i="6"/>
  <c r="X326" i="6"/>
  <c r="X221" i="6"/>
  <c r="X180" i="6"/>
  <c r="X123" i="6"/>
  <c r="X415" i="6"/>
  <c r="X181" i="6"/>
  <c r="X568" i="6"/>
  <c r="X273" i="6"/>
  <c r="X934" i="6"/>
  <c r="X327" i="6"/>
  <c r="X751" i="6"/>
  <c r="X900" i="6"/>
  <c r="X869" i="6"/>
  <c r="X752" i="6"/>
  <c r="X364" i="6"/>
  <c r="X124" i="6"/>
  <c r="X603" i="6"/>
  <c r="X473" i="6"/>
  <c r="X653" i="6"/>
  <c r="X654" i="6"/>
  <c r="X680" i="6"/>
  <c r="X753" i="6"/>
  <c r="X631" i="6"/>
  <c r="X182" i="6"/>
  <c r="X83" i="6"/>
  <c r="X569" i="6"/>
  <c r="X125" i="6"/>
  <c r="X222" i="6"/>
  <c r="X126" i="6"/>
  <c r="X570" i="6"/>
  <c r="X632" i="6"/>
  <c r="X84" i="6"/>
  <c r="X183" i="6"/>
  <c r="X681" i="6"/>
  <c r="X633" i="6"/>
  <c r="X328" i="6"/>
  <c r="X274" i="6"/>
  <c r="X416" i="6"/>
  <c r="X754" i="6"/>
  <c r="X35" i="6"/>
  <c r="X571" i="6"/>
  <c r="X474" i="6"/>
  <c r="X516" i="6"/>
  <c r="X901" i="6"/>
  <c r="X813" i="6"/>
  <c r="X36" i="6"/>
  <c r="X85" i="6"/>
  <c r="X902" i="6"/>
  <c r="X814" i="6"/>
  <c r="X755" i="6"/>
  <c r="X903" i="6"/>
  <c r="X682" i="6"/>
  <c r="X365" i="6"/>
  <c r="X870" i="6"/>
  <c r="X127" i="6"/>
  <c r="X128" i="6"/>
  <c r="X275" i="6"/>
  <c r="X184" i="6"/>
  <c r="X129" i="6"/>
  <c r="X475" i="6"/>
  <c r="X185" i="6"/>
  <c r="X130" i="6"/>
  <c r="X655" i="6"/>
  <c r="X276" i="6"/>
  <c r="X329" i="6"/>
  <c r="X656" i="6"/>
  <c r="X223" i="6"/>
  <c r="X756" i="6"/>
  <c r="X37" i="6"/>
  <c r="X330" i="6"/>
  <c r="X757" i="6"/>
  <c r="X517" i="6"/>
  <c r="X518" i="6"/>
  <c r="X224" i="6"/>
  <c r="X476" i="6"/>
  <c r="X477" i="6"/>
  <c r="X758" i="6"/>
  <c r="X86" i="6"/>
  <c r="X277" i="6"/>
  <c r="X38" i="6"/>
  <c r="X904" i="6"/>
  <c r="X871" i="6"/>
  <c r="X683" i="6"/>
  <c r="X478" i="6"/>
  <c r="X572" i="6"/>
  <c r="X366" i="6"/>
  <c r="X87" i="6"/>
  <c r="X759" i="6"/>
  <c r="X331" i="6"/>
  <c r="X604" i="6"/>
  <c r="X905" i="6"/>
  <c r="X479" i="6"/>
  <c r="X760" i="6"/>
  <c r="X657" i="6"/>
  <c r="X658" i="6"/>
  <c r="X332" i="6"/>
  <c r="X761" i="6"/>
  <c r="X605" i="6"/>
  <c r="X519" i="6"/>
  <c r="X278" i="6"/>
  <c r="X367" i="6"/>
  <c r="X333" i="6"/>
  <c r="X417" i="6"/>
  <c r="X186" i="6"/>
  <c r="X368" i="6"/>
  <c r="X279" i="6"/>
  <c r="X280" i="6"/>
  <c r="X281" i="6"/>
  <c r="X418" i="6"/>
  <c r="X573" i="6"/>
  <c r="X225" i="6"/>
  <c r="X659" i="6"/>
  <c r="X815" i="6"/>
  <c r="X762" i="6"/>
  <c r="X935" i="6"/>
  <c r="X872" i="6"/>
  <c r="X282" i="6"/>
  <c r="X131" i="6"/>
  <c r="X763" i="6"/>
  <c r="X283" i="6"/>
  <c r="X906" i="6"/>
  <c r="X873" i="6"/>
  <c r="X764" i="6"/>
  <c r="X419" i="6"/>
  <c r="X420" i="6"/>
  <c r="X39" i="6"/>
  <c r="X765" i="6"/>
  <c r="X132" i="6"/>
  <c r="X874" i="6"/>
  <c r="X520" i="6"/>
  <c r="X40" i="6"/>
  <c r="X521" i="6"/>
  <c r="X480" i="6"/>
  <c r="X481" i="6"/>
  <c r="X421" i="6"/>
  <c r="X284" i="6"/>
  <c r="X334" i="6"/>
  <c r="X41" i="6"/>
  <c r="X482" i="6"/>
  <c r="X483" i="6"/>
  <c r="X907" i="6"/>
  <c r="X42" i="6"/>
  <c r="X335" i="6"/>
  <c r="X574" i="6"/>
  <c r="X226" i="6"/>
  <c r="X369" i="6"/>
  <c r="X575" i="6"/>
  <c r="X766" i="6"/>
  <c r="X684" i="6"/>
  <c r="X484" i="6"/>
  <c r="X43" i="6"/>
  <c r="X187" i="6"/>
  <c r="X634" i="6"/>
  <c r="X422" i="6"/>
  <c r="X188" i="6"/>
  <c r="X522" i="6"/>
  <c r="X285" i="6"/>
  <c r="X767" i="6"/>
  <c r="X227" i="6"/>
  <c r="X44" i="6"/>
  <c r="X133" i="6"/>
  <c r="X768" i="6"/>
  <c r="X660" i="6"/>
  <c r="X816" i="6"/>
  <c r="X189" i="6"/>
  <c r="X908" i="6"/>
  <c r="X45" i="6"/>
  <c r="X370" i="6"/>
  <c r="X661" i="6"/>
  <c r="X936" i="6"/>
  <c r="X336" i="6"/>
  <c r="X46" i="6"/>
  <c r="X423" i="6"/>
  <c r="X228" i="6"/>
  <c r="X817" i="6"/>
  <c r="X337" i="6"/>
  <c r="X338" i="6"/>
  <c r="X339" i="6"/>
  <c r="X424" i="6"/>
  <c r="X818" i="6"/>
  <c r="X47" i="6"/>
  <c r="X48" i="6"/>
  <c r="X909" i="6"/>
  <c r="X371" i="6"/>
  <c r="X769" i="6"/>
  <c r="X819" i="6"/>
  <c r="X635" i="6"/>
  <c r="X340" i="6"/>
  <c r="X190" i="6"/>
  <c r="X576" i="6"/>
  <c r="X425" i="6"/>
  <c r="X770" i="6"/>
  <c r="X134" i="6"/>
  <c r="X341" i="6"/>
  <c r="X685" i="6"/>
  <c r="X191" i="6"/>
  <c r="X910" i="6"/>
  <c r="X485" i="6"/>
  <c r="X845" i="6"/>
  <c r="X49" i="6"/>
  <c r="X229" i="6"/>
  <c r="X135" i="6"/>
  <c r="X636" i="6"/>
  <c r="X88" i="6"/>
  <c r="X192" i="6"/>
  <c r="X136" i="6"/>
  <c r="X662" i="6"/>
  <c r="X426" i="6"/>
  <c r="X137" i="6"/>
  <c r="X686" i="6"/>
  <c r="X911" i="6"/>
  <c r="X486" i="6"/>
  <c r="X771" i="6"/>
  <c r="X193" i="6"/>
  <c r="X50" i="6"/>
  <c r="X372" i="6"/>
  <c r="X487" i="6"/>
  <c r="X230" i="6"/>
  <c r="X772" i="6"/>
  <c r="X194" i="6"/>
  <c r="X427" i="6"/>
  <c r="X875" i="6"/>
  <c r="X51" i="6"/>
  <c r="X52" i="6"/>
  <c r="X373" i="6"/>
  <c r="X687" i="6"/>
  <c r="X53" i="6"/>
  <c r="X577" i="6"/>
  <c r="X688" i="6"/>
  <c r="X342" i="6"/>
  <c r="X428" i="6"/>
  <c r="X773" i="6"/>
  <c r="X374" i="6"/>
  <c r="X195" i="6"/>
  <c r="X488" i="6"/>
  <c r="X231" i="6"/>
  <c r="X774" i="6"/>
  <c r="X489" i="6"/>
  <c r="X490" i="6"/>
  <c r="X54" i="6"/>
  <c r="X286" i="6"/>
  <c r="X89" i="6"/>
  <c r="X90" i="6"/>
  <c r="X689" i="6"/>
  <c r="X876" i="6"/>
  <c r="X287" i="6"/>
  <c r="X578" i="6"/>
  <c r="X429" i="6"/>
  <c r="X55" i="6"/>
  <c r="X288" i="6"/>
  <c r="X690" i="6"/>
  <c r="X775" i="6"/>
  <c r="X430" i="6"/>
  <c r="X523" i="6"/>
  <c r="X663" i="6"/>
  <c r="X56" i="6"/>
  <c r="X491" i="6"/>
  <c r="X289" i="6"/>
  <c r="X290" i="6"/>
  <c r="X846" i="6"/>
  <c r="X776" i="6"/>
  <c r="X343" i="6"/>
  <c r="X291" i="6"/>
  <c r="X196" i="6"/>
  <c r="X637" i="6"/>
  <c r="X847" i="6"/>
  <c r="X138" i="6"/>
  <c r="X579" i="6"/>
  <c r="X139" i="6"/>
  <c r="X91" i="6"/>
  <c r="X292" i="6"/>
  <c r="X777" i="6"/>
  <c r="X877" i="6"/>
  <c r="X375" i="6"/>
  <c r="X57" i="6"/>
  <c r="X691" i="6"/>
  <c r="X92" i="6"/>
  <c r="X937" i="6"/>
  <c r="X376" i="6"/>
  <c r="X492" i="6"/>
  <c r="X493" i="6"/>
  <c r="X431" i="6"/>
  <c r="X232" i="6"/>
  <c r="X344" i="6"/>
  <c r="X494" i="6"/>
  <c r="X778" i="6"/>
  <c r="X779" i="6"/>
  <c r="X197" i="6"/>
  <c r="X140" i="6"/>
  <c r="X432" i="6"/>
  <c r="X878" i="6"/>
  <c r="X141" i="6"/>
  <c r="X198" i="6"/>
  <c r="X495" i="6"/>
  <c r="X58" i="6"/>
  <c r="X233" i="6"/>
  <c r="X293" i="6"/>
  <c r="X433" i="6"/>
  <c r="X692" i="6"/>
  <c r="X780" i="6"/>
  <c r="X199" i="6"/>
  <c r="X59" i="6"/>
  <c r="X580" i="6"/>
  <c r="X581" i="6"/>
  <c r="X200" i="6"/>
  <c r="X848" i="6"/>
  <c r="X879" i="6"/>
  <c r="X93" i="6"/>
  <c r="X693" i="6"/>
  <c r="X638" i="6"/>
  <c r="X524" i="6"/>
  <c r="X781" i="6"/>
  <c r="X820" i="6"/>
  <c r="X849" i="6"/>
  <c r="X938" i="6"/>
  <c r="X201" i="6"/>
  <c r="X939" i="6"/>
  <c r="X694" i="6"/>
  <c r="X60" i="6"/>
  <c r="X582" i="6"/>
  <c r="X606" i="6"/>
  <c r="X782" i="6"/>
  <c r="X61" i="6"/>
  <c r="X434" i="6"/>
  <c r="X142" i="6"/>
  <c r="X435" i="6"/>
  <c r="X202" i="6"/>
  <c r="X345" i="6"/>
  <c r="X436" i="6"/>
  <c r="X294" i="6"/>
  <c r="X203" i="6"/>
  <c r="X295" i="6"/>
  <c r="X437" i="6"/>
  <c r="X62" i="6"/>
  <c r="X204" i="6"/>
  <c r="X583" i="6"/>
  <c r="X205" i="6"/>
  <c r="X234" i="6"/>
  <c r="X880" i="6"/>
  <c r="X695" i="6"/>
  <c r="X235" i="6"/>
  <c r="X296" i="6"/>
  <c r="X236" i="6"/>
  <c r="X639" i="6"/>
  <c r="X94" i="6"/>
  <c r="X297" i="6"/>
  <c r="X206" i="6"/>
  <c r="X584" i="6"/>
  <c r="X377" i="6"/>
  <c r="X346" i="6"/>
  <c r="X585" i="6"/>
  <c r="X607" i="6"/>
  <c r="X783" i="6"/>
  <c r="X143" i="6"/>
  <c r="X438" i="6"/>
  <c r="X881" i="6"/>
  <c r="X63" i="6"/>
  <c r="X144" i="6"/>
  <c r="X525" i="6"/>
  <c r="X298" i="6"/>
  <c r="X940" i="6"/>
  <c r="X696" i="6"/>
  <c r="X608" i="6"/>
  <c r="X664" i="6"/>
  <c r="X299" i="6"/>
  <c r="X665" i="6"/>
  <c r="X586" i="6"/>
  <c r="X784" i="6"/>
  <c r="X821" i="6"/>
  <c r="X850" i="6"/>
  <c r="X785" i="6"/>
  <c r="X941" i="6"/>
  <c r="X882" i="6"/>
  <c r="X786" i="6"/>
  <c r="X787" i="6"/>
  <c r="X788" i="6"/>
  <c r="X587" i="6"/>
  <c r="X237" i="6"/>
  <c r="X851" i="6"/>
  <c r="X789" i="6"/>
  <c r="X439" i="6"/>
  <c r="X588" i="6"/>
  <c r="X526" i="6"/>
  <c r="X790" i="6"/>
  <c r="X697" i="6"/>
  <c r="AC2" i="6"/>
  <c r="F697" i="6"/>
  <c r="F822" i="6"/>
  <c r="F238" i="6"/>
  <c r="F698" i="6"/>
  <c r="F496" i="6"/>
  <c r="F640" i="6"/>
  <c r="F2" i="6"/>
  <c r="F378" i="6"/>
  <c r="F699" i="6"/>
  <c r="F300" i="6"/>
  <c r="F912" i="6"/>
  <c r="F527" i="6"/>
  <c r="F239" i="6"/>
  <c r="F240" i="6"/>
  <c r="F95" i="6"/>
  <c r="F207" i="6"/>
  <c r="F528" i="6"/>
  <c r="F700" i="6"/>
  <c r="F241" i="6"/>
  <c r="F913" i="6"/>
  <c r="F208" i="6"/>
  <c r="F96" i="6"/>
  <c r="F64" i="6"/>
  <c r="F242" i="6"/>
  <c r="F301" i="6"/>
  <c r="F791" i="6"/>
  <c r="F823" i="6"/>
  <c r="F852" i="6"/>
  <c r="F824" i="6"/>
  <c r="F97" i="6"/>
  <c r="F914" i="6"/>
  <c r="F98" i="6"/>
  <c r="F302" i="6"/>
  <c r="F701" i="6"/>
  <c r="F792" i="6"/>
  <c r="F379" i="6"/>
  <c r="F702" i="6"/>
  <c r="F703" i="6"/>
  <c r="F825" i="6"/>
  <c r="F704" i="6"/>
  <c r="F440" i="6"/>
  <c r="F529" i="6"/>
  <c r="F303" i="6"/>
  <c r="F497" i="6"/>
  <c r="F441" i="6"/>
  <c r="F705" i="6"/>
  <c r="F99" i="6"/>
  <c r="F609" i="6"/>
  <c r="F530" i="6"/>
  <c r="F442" i="6"/>
  <c r="F347" i="6"/>
  <c r="F706" i="6"/>
  <c r="F304" i="6"/>
  <c r="F305" i="6"/>
  <c r="F589" i="6"/>
  <c r="F145" i="6"/>
  <c r="F100" i="6"/>
  <c r="F707" i="6"/>
  <c r="F915" i="6"/>
  <c r="F916" i="6"/>
  <c r="F641" i="6"/>
  <c r="F610" i="6"/>
  <c r="F853" i="6"/>
  <c r="F826" i="6"/>
  <c r="F917" i="6"/>
  <c r="F883" i="6"/>
  <c r="F306" i="6"/>
  <c r="F708" i="6"/>
  <c r="F590" i="6"/>
  <c r="F642" i="6"/>
  <c r="F243" i="6"/>
  <c r="F443" i="6"/>
  <c r="F380" i="6"/>
  <c r="F244" i="6"/>
  <c r="F444" i="6"/>
  <c r="F611" i="6"/>
  <c r="F643" i="6"/>
  <c r="F3" i="6"/>
  <c r="F209" i="6"/>
  <c r="F793" i="6"/>
  <c r="F146" i="6"/>
  <c r="F827" i="6"/>
  <c r="F147" i="6"/>
  <c r="F65" i="6"/>
  <c r="F245" i="6"/>
  <c r="F445" i="6"/>
  <c r="F4" i="6"/>
  <c r="F918" i="6"/>
  <c r="F591" i="6"/>
  <c r="F612" i="6"/>
  <c r="F210" i="6"/>
  <c r="F592" i="6"/>
  <c r="F794" i="6"/>
  <c r="F709" i="6"/>
  <c r="F5" i="6"/>
  <c r="F710" i="6"/>
  <c r="F211" i="6"/>
  <c r="F381" i="6"/>
  <c r="F666" i="6"/>
  <c r="F884" i="6"/>
  <c r="F593" i="6"/>
  <c r="F382" i="6"/>
  <c r="F66" i="6"/>
  <c r="F212" i="6"/>
  <c r="F498" i="6"/>
  <c r="F307" i="6"/>
  <c r="F854" i="6"/>
  <c r="F246" i="6"/>
  <c r="F499" i="6"/>
  <c r="F828" i="6"/>
  <c r="F101" i="6"/>
  <c r="F213" i="6"/>
  <c r="F446" i="6"/>
  <c r="F348" i="6"/>
  <c r="F855" i="6"/>
  <c r="F6" i="6"/>
  <c r="F247" i="6"/>
  <c r="F349" i="6"/>
  <c r="F613" i="6"/>
  <c r="F531" i="6"/>
  <c r="F383" i="6"/>
  <c r="F856" i="6"/>
  <c r="F447" i="6"/>
  <c r="F711" i="6"/>
  <c r="F712" i="6"/>
  <c r="F350" i="6"/>
  <c r="F308" i="6"/>
  <c r="F448" i="6"/>
  <c r="F102" i="6"/>
  <c r="F384" i="6"/>
  <c r="F885" i="6"/>
  <c r="F857" i="6"/>
  <c r="F385" i="6"/>
  <c r="F795" i="6"/>
  <c r="F532" i="6"/>
  <c r="F449" i="6"/>
  <c r="F919" i="6"/>
  <c r="F248" i="6"/>
  <c r="F148" i="6"/>
  <c r="F594" i="6"/>
  <c r="F713" i="6"/>
  <c r="F533" i="6"/>
  <c r="F7" i="6"/>
  <c r="F614" i="6"/>
  <c r="F615" i="6"/>
  <c r="F386" i="6"/>
  <c r="F149" i="6"/>
  <c r="F500" i="6"/>
  <c r="F829" i="6"/>
  <c r="F309" i="6"/>
  <c r="F8" i="6"/>
  <c r="F667" i="6"/>
  <c r="F150" i="6"/>
  <c r="F714" i="6"/>
  <c r="F616" i="6"/>
  <c r="F501" i="6"/>
  <c r="F830" i="6"/>
  <c r="F249" i="6"/>
  <c r="F796" i="6"/>
  <c r="F797" i="6"/>
  <c r="F617" i="6"/>
  <c r="F886" i="6"/>
  <c r="F387" i="6"/>
  <c r="F920" i="6"/>
  <c r="F9" i="6"/>
  <c r="F798" i="6"/>
  <c r="F310" i="6"/>
  <c r="F67" i="6"/>
  <c r="F214" i="6"/>
  <c r="F450" i="6"/>
  <c r="F10" i="6"/>
  <c r="F388" i="6"/>
  <c r="F250" i="6"/>
  <c r="F595" i="6"/>
  <c r="F151" i="6"/>
  <c r="F644" i="6"/>
  <c r="F152" i="6"/>
  <c r="F68" i="6"/>
  <c r="F69" i="6"/>
  <c r="F153" i="6"/>
  <c r="F502" i="6"/>
  <c r="F389" i="6"/>
  <c r="F645" i="6"/>
  <c r="F390" i="6"/>
  <c r="F715" i="6"/>
  <c r="F831" i="6"/>
  <c r="F858" i="6"/>
  <c r="F351" i="6"/>
  <c r="F832" i="6"/>
  <c r="F154" i="6"/>
  <c r="F352" i="6"/>
  <c r="F155" i="6"/>
  <c r="F534" i="6"/>
  <c r="F535" i="6"/>
  <c r="F716" i="6"/>
  <c r="F353" i="6"/>
  <c r="F156" i="6"/>
  <c r="F618" i="6"/>
  <c r="F536" i="6"/>
  <c r="F70" i="6"/>
  <c r="F503" i="6"/>
  <c r="F717" i="6"/>
  <c r="F619" i="6"/>
  <c r="F103" i="6"/>
  <c r="F718" i="6"/>
  <c r="F668" i="6"/>
  <c r="F311" i="6"/>
  <c r="F859" i="6"/>
  <c r="F451" i="6"/>
  <c r="F887" i="6"/>
  <c r="F391" i="6"/>
  <c r="F392" i="6"/>
  <c r="F537" i="6"/>
  <c r="F833" i="6"/>
  <c r="F538" i="6"/>
  <c r="F799" i="6"/>
  <c r="F921" i="6"/>
  <c r="F504" i="6"/>
  <c r="F251" i="6"/>
  <c r="F505" i="6"/>
  <c r="F719" i="6"/>
  <c r="F539" i="6"/>
  <c r="F922" i="6"/>
  <c r="F540" i="6"/>
  <c r="F71" i="6"/>
  <c r="F720" i="6"/>
  <c r="F923" i="6"/>
  <c r="F888" i="6"/>
  <c r="F393" i="6"/>
  <c r="F860" i="6"/>
  <c r="F541" i="6"/>
  <c r="F834" i="6"/>
  <c r="F394" i="6"/>
  <c r="F11" i="6"/>
  <c r="F452" i="6"/>
  <c r="F395" i="6"/>
  <c r="F396" i="6"/>
  <c r="F721" i="6"/>
  <c r="F861" i="6"/>
  <c r="F862" i="6"/>
  <c r="F889" i="6"/>
  <c r="F646" i="6"/>
  <c r="F596" i="6"/>
  <c r="F890" i="6"/>
  <c r="F157" i="6"/>
  <c r="F12" i="6"/>
  <c r="F13" i="6"/>
  <c r="F104" i="6"/>
  <c r="F506" i="6"/>
  <c r="F215" i="6"/>
  <c r="F397" i="6"/>
  <c r="F158" i="6"/>
  <c r="F72" i="6"/>
  <c r="F252" i="6"/>
  <c r="F597" i="6"/>
  <c r="F647" i="6"/>
  <c r="F542" i="6"/>
  <c r="F669" i="6"/>
  <c r="F543" i="6"/>
  <c r="F105" i="6"/>
  <c r="F507" i="6"/>
  <c r="F354" i="6"/>
  <c r="F620" i="6"/>
  <c r="F453" i="6"/>
  <c r="F621" i="6"/>
  <c r="F159" i="6"/>
  <c r="F355" i="6"/>
  <c r="F891" i="6"/>
  <c r="F800" i="6"/>
  <c r="F892" i="6"/>
  <c r="F160" i="6"/>
  <c r="F722" i="6"/>
  <c r="F544" i="6"/>
  <c r="F723" i="6"/>
  <c r="F14" i="6"/>
  <c r="F598" i="6"/>
  <c r="F216" i="6"/>
  <c r="F863" i="6"/>
  <c r="F835" i="6"/>
  <c r="F253" i="6"/>
  <c r="F924" i="6"/>
  <c r="F161" i="6"/>
  <c r="F599" i="6"/>
  <c r="F508" i="6"/>
  <c r="F600" i="6"/>
  <c r="F254" i="6"/>
  <c r="F622" i="6"/>
  <c r="F454" i="6"/>
  <c r="F724" i="6"/>
  <c r="F623" i="6"/>
  <c r="F648" i="6"/>
  <c r="F545" i="6"/>
  <c r="F312" i="6"/>
  <c r="F162" i="6"/>
  <c r="F15" i="6"/>
  <c r="F925" i="6"/>
  <c r="F106" i="6"/>
  <c r="F670" i="6"/>
  <c r="F398" i="6"/>
  <c r="F801" i="6"/>
  <c r="F399" i="6"/>
  <c r="F836" i="6"/>
  <c r="F893" i="6"/>
  <c r="F107" i="6"/>
  <c r="F400" i="6"/>
  <c r="F401" i="6"/>
  <c r="F837" i="6"/>
  <c r="F402" i="6"/>
  <c r="F255" i="6"/>
  <c r="F601" i="6"/>
  <c r="F802" i="6"/>
  <c r="F256" i="6"/>
  <c r="F257" i="6"/>
  <c r="F108" i="6"/>
  <c r="F546" i="6"/>
  <c r="F624" i="6"/>
  <c r="F864" i="6"/>
  <c r="F725" i="6"/>
  <c r="F726" i="6"/>
  <c r="F109" i="6"/>
  <c r="F509" i="6"/>
  <c r="F258" i="6"/>
  <c r="F110" i="6"/>
  <c r="F547" i="6"/>
  <c r="F727" i="6"/>
  <c r="F671" i="6"/>
  <c r="F838" i="6"/>
  <c r="F649" i="6"/>
  <c r="F455" i="6"/>
  <c r="F163" i="6"/>
  <c r="F259" i="6"/>
  <c r="F356" i="6"/>
  <c r="F16" i="6"/>
  <c r="F17" i="6"/>
  <c r="F164" i="6"/>
  <c r="F510" i="6"/>
  <c r="F260" i="6"/>
  <c r="F625" i="6"/>
  <c r="F803" i="6"/>
  <c r="F865" i="6"/>
  <c r="F73" i="6"/>
  <c r="F111" i="6"/>
  <c r="F728" i="6"/>
  <c r="F729" i="6"/>
  <c r="F74" i="6"/>
  <c r="F804" i="6"/>
  <c r="F18" i="6"/>
  <c r="F626" i="6"/>
  <c r="F548" i="6"/>
  <c r="F19" i="6"/>
  <c r="F894" i="6"/>
  <c r="F261" i="6"/>
  <c r="F926" i="6"/>
  <c r="F75" i="6"/>
  <c r="F262" i="6"/>
  <c r="F549" i="6"/>
  <c r="F456" i="6"/>
  <c r="F313" i="6"/>
  <c r="F672" i="6"/>
  <c r="F650" i="6"/>
  <c r="F730" i="6"/>
  <c r="F217" i="6"/>
  <c r="F550" i="6"/>
  <c r="F218" i="6"/>
  <c r="F627" i="6"/>
  <c r="F357" i="6"/>
  <c r="F839" i="6"/>
  <c r="F76" i="6"/>
  <c r="F403" i="6"/>
  <c r="F404" i="6"/>
  <c r="F805" i="6"/>
  <c r="F806" i="6"/>
  <c r="F731" i="6"/>
  <c r="F405" i="6"/>
  <c r="F551" i="6"/>
  <c r="F112" i="6"/>
  <c r="F807" i="6"/>
  <c r="F511" i="6"/>
  <c r="F457" i="6"/>
  <c r="F20" i="6"/>
  <c r="F165" i="6"/>
  <c r="F651" i="6"/>
  <c r="F512" i="6"/>
  <c r="F458" i="6"/>
  <c r="F459" i="6"/>
  <c r="F460" i="6"/>
  <c r="F113" i="6"/>
  <c r="F314" i="6"/>
  <c r="F166" i="6"/>
  <c r="F732" i="6"/>
  <c r="F114" i="6"/>
  <c r="F315" i="6"/>
  <c r="F461" i="6"/>
  <c r="F406" i="6"/>
  <c r="F808" i="6"/>
  <c r="F840" i="6"/>
  <c r="F733" i="6"/>
  <c r="F628" i="6"/>
  <c r="F167" i="6"/>
  <c r="F21" i="6"/>
  <c r="F734" i="6"/>
  <c r="F735" i="6"/>
  <c r="F22" i="6"/>
  <c r="F736" i="6"/>
  <c r="F629" i="6"/>
  <c r="F841" i="6"/>
  <c r="F927" i="6"/>
  <c r="F168" i="6"/>
  <c r="F552" i="6"/>
  <c r="F553" i="6"/>
  <c r="F462" i="6"/>
  <c r="F169" i="6"/>
  <c r="F463" i="6"/>
  <c r="F737" i="6"/>
  <c r="F554" i="6"/>
  <c r="F23" i="6"/>
  <c r="F263" i="6"/>
  <c r="F77" i="6"/>
  <c r="F78" i="6"/>
  <c r="F928" i="6"/>
  <c r="F115" i="6"/>
  <c r="F555" i="6"/>
  <c r="F556" i="6"/>
  <c r="F170" i="6"/>
  <c r="F557" i="6"/>
  <c r="F738" i="6"/>
  <c r="F116" i="6"/>
  <c r="F513" i="6"/>
  <c r="F464" i="6"/>
  <c r="F407" i="6"/>
  <c r="F739" i="6"/>
  <c r="F117" i="6"/>
  <c r="F171" i="6"/>
  <c r="F316" i="6"/>
  <c r="F358" i="6"/>
  <c r="F408" i="6"/>
  <c r="F24" i="6"/>
  <c r="F317" i="6"/>
  <c r="F409" i="6"/>
  <c r="F929" i="6"/>
  <c r="F465" i="6"/>
  <c r="F558" i="6"/>
  <c r="F559" i="6"/>
  <c r="F560" i="6"/>
  <c r="F318" i="6"/>
  <c r="F219" i="6"/>
  <c r="F466" i="6"/>
  <c r="F467" i="6"/>
  <c r="F740" i="6"/>
  <c r="F25" i="6"/>
  <c r="F26" i="6"/>
  <c r="F118" i="6"/>
  <c r="F895" i="6"/>
  <c r="F652" i="6"/>
  <c r="F930" i="6"/>
  <c r="F172" i="6"/>
  <c r="F561" i="6"/>
  <c r="F319" i="6"/>
  <c r="F562" i="6"/>
  <c r="F809" i="6"/>
  <c r="F27" i="6"/>
  <c r="F320" i="6"/>
  <c r="F119" i="6"/>
  <c r="F173" i="6"/>
  <c r="F174" i="6"/>
  <c r="F931" i="6"/>
  <c r="F514" i="6"/>
  <c r="F896" i="6"/>
  <c r="F175" i="6"/>
  <c r="F866" i="6"/>
  <c r="F468" i="6"/>
  <c r="F741" i="6"/>
  <c r="F28" i="6"/>
  <c r="F742" i="6"/>
  <c r="F630" i="6"/>
  <c r="F176" i="6"/>
  <c r="F469" i="6"/>
  <c r="F673" i="6"/>
  <c r="F410" i="6"/>
  <c r="F120" i="6"/>
  <c r="F359" i="6"/>
  <c r="F515" i="6"/>
  <c r="F321" i="6"/>
  <c r="F264" i="6"/>
  <c r="F842" i="6"/>
  <c r="F743" i="6"/>
  <c r="F897" i="6"/>
  <c r="F121" i="6"/>
  <c r="F411" i="6"/>
  <c r="F843" i="6"/>
  <c r="F744" i="6"/>
  <c r="F470" i="6"/>
  <c r="F265" i="6"/>
  <c r="F867" i="6"/>
  <c r="F412" i="6"/>
  <c r="F220" i="6"/>
  <c r="F745" i="6"/>
  <c r="F29" i="6"/>
  <c r="F266" i="6"/>
  <c r="F844" i="6"/>
  <c r="F674" i="6"/>
  <c r="F746" i="6"/>
  <c r="F267" i="6"/>
  <c r="F675" i="6"/>
  <c r="F413" i="6"/>
  <c r="F30" i="6"/>
  <c r="F563" i="6"/>
  <c r="F177" i="6"/>
  <c r="F471" i="6"/>
  <c r="F898" i="6"/>
  <c r="F268" i="6"/>
  <c r="F31" i="6"/>
  <c r="F360" i="6"/>
  <c r="F269" i="6"/>
  <c r="F747" i="6"/>
  <c r="F748" i="6"/>
  <c r="F322" i="6"/>
  <c r="F79" i="6"/>
  <c r="F361" i="6"/>
  <c r="F564" i="6"/>
  <c r="F810" i="6"/>
  <c r="F414" i="6"/>
  <c r="F80" i="6"/>
  <c r="F811" i="6"/>
  <c r="F868" i="6"/>
  <c r="F178" i="6"/>
  <c r="F676" i="6"/>
  <c r="F677" i="6"/>
  <c r="F323" i="6"/>
  <c r="F749" i="6"/>
  <c r="F324" i="6"/>
  <c r="F602" i="6"/>
  <c r="F932" i="6"/>
  <c r="F899" i="6"/>
  <c r="F270" i="6"/>
  <c r="F271" i="6"/>
  <c r="F678" i="6"/>
  <c r="F81" i="6"/>
  <c r="F812" i="6"/>
  <c r="F565" i="6"/>
  <c r="F272" i="6"/>
  <c r="F750" i="6"/>
  <c r="F32" i="6"/>
  <c r="F325" i="6"/>
  <c r="F933" i="6"/>
  <c r="F566" i="6"/>
  <c r="F362" i="6"/>
  <c r="F567" i="6"/>
  <c r="F363" i="6"/>
  <c r="F33" i="6"/>
  <c r="F179" i="6"/>
  <c r="F472" i="6"/>
  <c r="F82" i="6"/>
  <c r="F122" i="6"/>
  <c r="F34" i="6"/>
  <c r="F679" i="6"/>
  <c r="F326" i="6"/>
  <c r="F221" i="6"/>
  <c r="F180" i="6"/>
  <c r="F123" i="6"/>
  <c r="F415" i="6"/>
  <c r="F181" i="6"/>
  <c r="F568" i="6"/>
  <c r="F273" i="6"/>
  <c r="F934" i="6"/>
  <c r="F327" i="6"/>
  <c r="F751" i="6"/>
  <c r="F900" i="6"/>
  <c r="F869" i="6"/>
  <c r="F752" i="6"/>
  <c r="F364" i="6"/>
  <c r="F124" i="6"/>
  <c r="F603" i="6"/>
  <c r="F473" i="6"/>
  <c r="F653" i="6"/>
  <c r="F654" i="6"/>
  <c r="F680" i="6"/>
  <c r="F753" i="6"/>
  <c r="F631" i="6"/>
  <c r="F182" i="6"/>
  <c r="F83" i="6"/>
  <c r="F569" i="6"/>
  <c r="F125" i="6"/>
  <c r="F222" i="6"/>
  <c r="F126" i="6"/>
  <c r="F570" i="6"/>
  <c r="F632" i="6"/>
  <c r="F84" i="6"/>
  <c r="F183" i="6"/>
  <c r="F681" i="6"/>
  <c r="F633" i="6"/>
  <c r="F328" i="6"/>
  <c r="F274" i="6"/>
  <c r="F416" i="6"/>
  <c r="F754" i="6"/>
  <c r="F35" i="6"/>
  <c r="F571" i="6"/>
  <c r="F474" i="6"/>
  <c r="F516" i="6"/>
  <c r="F901" i="6"/>
  <c r="F813" i="6"/>
  <c r="F36" i="6"/>
  <c r="F85" i="6"/>
  <c r="F902" i="6"/>
  <c r="F814" i="6"/>
  <c r="F755" i="6"/>
  <c r="F903" i="6"/>
  <c r="F682" i="6"/>
  <c r="F365" i="6"/>
  <c r="F870" i="6"/>
  <c r="F127" i="6"/>
  <c r="F128" i="6"/>
  <c r="F275" i="6"/>
  <c r="F184" i="6"/>
  <c r="F129" i="6"/>
  <c r="F475" i="6"/>
  <c r="F185" i="6"/>
  <c r="F130" i="6"/>
  <c r="F655" i="6"/>
  <c r="F276" i="6"/>
  <c r="F329" i="6"/>
  <c r="F656" i="6"/>
  <c r="F223" i="6"/>
  <c r="F756" i="6"/>
  <c r="F37" i="6"/>
  <c r="F330" i="6"/>
  <c r="F757" i="6"/>
  <c r="F517" i="6"/>
  <c r="F518" i="6"/>
  <c r="F224" i="6"/>
  <c r="F476" i="6"/>
  <c r="F477" i="6"/>
  <c r="F758" i="6"/>
  <c r="F86" i="6"/>
  <c r="F277" i="6"/>
  <c r="F38" i="6"/>
  <c r="F904" i="6"/>
  <c r="F871" i="6"/>
  <c r="F683" i="6"/>
  <c r="F478" i="6"/>
  <c r="F572" i="6"/>
  <c r="F366" i="6"/>
  <c r="F87" i="6"/>
  <c r="F759" i="6"/>
  <c r="F331" i="6"/>
  <c r="F604" i="6"/>
  <c r="F905" i="6"/>
  <c r="F479" i="6"/>
  <c r="F760" i="6"/>
  <c r="F657" i="6"/>
  <c r="F658" i="6"/>
  <c r="F332" i="6"/>
  <c r="F761" i="6"/>
  <c r="F605" i="6"/>
  <c r="F519" i="6"/>
  <c r="F278" i="6"/>
  <c r="F367" i="6"/>
  <c r="F333" i="6"/>
  <c r="F417" i="6"/>
  <c r="F186" i="6"/>
  <c r="F368" i="6"/>
  <c r="F279" i="6"/>
  <c r="F280" i="6"/>
  <c r="F281" i="6"/>
  <c r="F418" i="6"/>
  <c r="F573" i="6"/>
  <c r="F225" i="6"/>
  <c r="F659" i="6"/>
  <c r="F815" i="6"/>
  <c r="F762" i="6"/>
  <c r="F935" i="6"/>
  <c r="F872" i="6"/>
  <c r="F282" i="6"/>
  <c r="F131" i="6"/>
  <c r="F763" i="6"/>
  <c r="F283" i="6"/>
  <c r="F906" i="6"/>
  <c r="F873" i="6"/>
  <c r="F764" i="6"/>
  <c r="F419" i="6"/>
  <c r="F420" i="6"/>
  <c r="F39" i="6"/>
  <c r="F765" i="6"/>
  <c r="F132" i="6"/>
  <c r="F874" i="6"/>
  <c r="F520" i="6"/>
  <c r="F40" i="6"/>
  <c r="F521" i="6"/>
  <c r="F480" i="6"/>
  <c r="F481" i="6"/>
  <c r="F421" i="6"/>
  <c r="F284" i="6"/>
  <c r="F334" i="6"/>
  <c r="F41" i="6"/>
  <c r="F482" i="6"/>
  <c r="F483" i="6"/>
  <c r="F907" i="6"/>
  <c r="F42" i="6"/>
  <c r="F335" i="6"/>
  <c r="F574" i="6"/>
  <c r="F226" i="6"/>
  <c r="F369" i="6"/>
  <c r="F575" i="6"/>
  <c r="F766" i="6"/>
  <c r="F684" i="6"/>
  <c r="F484" i="6"/>
  <c r="F43" i="6"/>
  <c r="F187" i="6"/>
  <c r="F634" i="6"/>
  <c r="F422" i="6"/>
  <c r="F188" i="6"/>
  <c r="F522" i="6"/>
  <c r="F285" i="6"/>
  <c r="F767" i="6"/>
  <c r="F227" i="6"/>
  <c r="F44" i="6"/>
  <c r="F133" i="6"/>
  <c r="F768" i="6"/>
  <c r="F660" i="6"/>
  <c r="F816" i="6"/>
  <c r="F189" i="6"/>
  <c r="F908" i="6"/>
  <c r="F45" i="6"/>
  <c r="F370" i="6"/>
  <c r="F661" i="6"/>
  <c r="F936" i="6"/>
  <c r="F336" i="6"/>
  <c r="F46" i="6"/>
  <c r="F423" i="6"/>
  <c r="F228" i="6"/>
  <c r="F817" i="6"/>
  <c r="F337" i="6"/>
  <c r="F338" i="6"/>
  <c r="F339" i="6"/>
  <c r="F424" i="6"/>
  <c r="F818" i="6"/>
  <c r="F47" i="6"/>
  <c r="F48" i="6"/>
  <c r="F909" i="6"/>
  <c r="F371" i="6"/>
  <c r="F769" i="6"/>
  <c r="F819" i="6"/>
  <c r="F635" i="6"/>
  <c r="F340" i="6"/>
  <c r="F190" i="6"/>
  <c r="F576" i="6"/>
  <c r="F425" i="6"/>
  <c r="F770" i="6"/>
  <c r="F134" i="6"/>
  <c r="F341" i="6"/>
  <c r="F685" i="6"/>
  <c r="F191" i="6"/>
  <c r="F910" i="6"/>
  <c r="F485" i="6"/>
  <c r="F845" i="6"/>
  <c r="F49" i="6"/>
  <c r="F229" i="6"/>
  <c r="F135" i="6"/>
  <c r="F636" i="6"/>
  <c r="F88" i="6"/>
  <c r="F192" i="6"/>
  <c r="F136" i="6"/>
  <c r="F662" i="6"/>
  <c r="F426" i="6"/>
  <c r="F137" i="6"/>
  <c r="F686" i="6"/>
  <c r="F911" i="6"/>
  <c r="F486" i="6"/>
  <c r="F771" i="6"/>
  <c r="F193" i="6"/>
  <c r="F50" i="6"/>
  <c r="F372" i="6"/>
  <c r="F487" i="6"/>
  <c r="F230" i="6"/>
  <c r="F772" i="6"/>
  <c r="F194" i="6"/>
  <c r="F427" i="6"/>
  <c r="F875" i="6"/>
  <c r="F51" i="6"/>
  <c r="F52" i="6"/>
  <c r="F373" i="6"/>
  <c r="F687" i="6"/>
  <c r="F53" i="6"/>
  <c r="F577" i="6"/>
  <c r="F688" i="6"/>
  <c r="F342" i="6"/>
  <c r="F428" i="6"/>
  <c r="F773" i="6"/>
  <c r="F374" i="6"/>
  <c r="F195" i="6"/>
  <c r="F488" i="6"/>
  <c r="F231" i="6"/>
  <c r="F774" i="6"/>
  <c r="F489" i="6"/>
  <c r="F490" i="6"/>
  <c r="F54" i="6"/>
  <c r="F286" i="6"/>
  <c r="F89" i="6"/>
  <c r="F90" i="6"/>
  <c r="F689" i="6"/>
  <c r="F876" i="6"/>
  <c r="F287" i="6"/>
  <c r="F578" i="6"/>
  <c r="F429" i="6"/>
  <c r="F55" i="6"/>
  <c r="F288" i="6"/>
  <c r="F690" i="6"/>
  <c r="F775" i="6"/>
  <c r="F430" i="6"/>
  <c r="F523" i="6"/>
  <c r="F663" i="6"/>
  <c r="F56" i="6"/>
  <c r="F491" i="6"/>
  <c r="F289" i="6"/>
  <c r="F290" i="6"/>
  <c r="F846" i="6"/>
  <c r="F776" i="6"/>
  <c r="F343" i="6"/>
  <c r="F291" i="6"/>
  <c r="F196" i="6"/>
  <c r="F637" i="6"/>
  <c r="F847" i="6"/>
  <c r="F138" i="6"/>
  <c r="F579" i="6"/>
  <c r="F139" i="6"/>
  <c r="F91" i="6"/>
  <c r="F292" i="6"/>
  <c r="F777" i="6"/>
  <c r="F877" i="6"/>
  <c r="F375" i="6"/>
  <c r="F57" i="6"/>
  <c r="F691" i="6"/>
  <c r="F92" i="6"/>
  <c r="F937" i="6"/>
  <c r="F376" i="6"/>
  <c r="F492" i="6"/>
  <c r="F493" i="6"/>
  <c r="F431" i="6"/>
  <c r="F232" i="6"/>
  <c r="F344" i="6"/>
  <c r="F494" i="6"/>
  <c r="F778" i="6"/>
  <c r="F779" i="6"/>
  <c r="F197" i="6"/>
  <c r="F140" i="6"/>
  <c r="F432" i="6"/>
  <c r="F878" i="6"/>
  <c r="F141" i="6"/>
  <c r="F198" i="6"/>
  <c r="F495" i="6"/>
  <c r="F58" i="6"/>
  <c r="F233" i="6"/>
  <c r="F293" i="6"/>
  <c r="F433" i="6"/>
  <c r="F692" i="6"/>
  <c r="F780" i="6"/>
  <c r="F199" i="6"/>
  <c r="F59" i="6"/>
  <c r="F580" i="6"/>
  <c r="F581" i="6"/>
  <c r="F200" i="6"/>
  <c r="F848" i="6"/>
  <c r="F879" i="6"/>
  <c r="F93" i="6"/>
  <c r="F693" i="6"/>
  <c r="F638" i="6"/>
  <c r="F524" i="6"/>
  <c r="F781" i="6"/>
  <c r="F820" i="6"/>
  <c r="F849" i="6"/>
  <c r="F938" i="6"/>
  <c r="F201" i="6"/>
  <c r="F939" i="6"/>
  <c r="F694" i="6"/>
  <c r="F60" i="6"/>
  <c r="F582" i="6"/>
  <c r="F606" i="6"/>
  <c r="F782" i="6"/>
  <c r="F61" i="6"/>
  <c r="F434" i="6"/>
  <c r="F142" i="6"/>
  <c r="F435" i="6"/>
  <c r="F202" i="6"/>
  <c r="F345" i="6"/>
  <c r="F436" i="6"/>
  <c r="F294" i="6"/>
  <c r="F203" i="6"/>
  <c r="F295" i="6"/>
  <c r="F437" i="6"/>
  <c r="F62" i="6"/>
  <c r="F204" i="6"/>
  <c r="F583" i="6"/>
  <c r="F205" i="6"/>
  <c r="F234" i="6"/>
  <c r="F880" i="6"/>
  <c r="F695" i="6"/>
  <c r="F235" i="6"/>
  <c r="F296" i="6"/>
  <c r="F236" i="6"/>
  <c r="F639" i="6"/>
  <c r="F94" i="6"/>
  <c r="F297" i="6"/>
  <c r="F206" i="6"/>
  <c r="F584" i="6"/>
  <c r="F377" i="6"/>
  <c r="F346" i="6"/>
  <c r="F585" i="6"/>
  <c r="F607" i="6"/>
  <c r="F783" i="6"/>
  <c r="F143" i="6"/>
  <c r="F438" i="6"/>
  <c r="F881" i="6"/>
  <c r="F63" i="6"/>
  <c r="F144" i="6"/>
  <c r="F525" i="6"/>
  <c r="F298" i="6"/>
  <c r="F940" i="6"/>
  <c r="F696" i="6"/>
  <c r="F608" i="6"/>
  <c r="F664" i="6"/>
  <c r="F299" i="6"/>
  <c r="F665" i="6"/>
  <c r="F586" i="6"/>
  <c r="F784" i="6"/>
  <c r="F821" i="6"/>
  <c r="F850" i="6"/>
  <c r="F785" i="6"/>
  <c r="F941" i="6"/>
  <c r="F882" i="6"/>
  <c r="F786" i="6"/>
  <c r="F787" i="6"/>
  <c r="F788" i="6"/>
  <c r="F587" i="6"/>
  <c r="F237" i="6"/>
  <c r="F851" i="6"/>
  <c r="F789" i="6"/>
  <c r="F439" i="6"/>
  <c r="F588" i="6"/>
  <c r="F526" i="6"/>
  <c r="F790" i="6"/>
  <c r="E822" i="6"/>
  <c r="E238" i="6"/>
  <c r="E698" i="6"/>
  <c r="E496" i="6"/>
  <c r="E640" i="6"/>
  <c r="E2" i="6"/>
  <c r="E378" i="6"/>
  <c r="E699" i="6"/>
  <c r="E300" i="6"/>
  <c r="E912" i="6"/>
  <c r="E527" i="6"/>
  <c r="E239" i="6"/>
  <c r="E240" i="6"/>
  <c r="E95" i="6"/>
  <c r="E207" i="6"/>
  <c r="E528" i="6"/>
  <c r="E700" i="6"/>
  <c r="E241" i="6"/>
  <c r="E913" i="6"/>
  <c r="E208" i="6"/>
  <c r="E96" i="6"/>
  <c r="E64" i="6"/>
  <c r="E242" i="6"/>
  <c r="E301" i="6"/>
  <c r="E791" i="6"/>
  <c r="E823" i="6"/>
  <c r="E852" i="6"/>
  <c r="E824" i="6"/>
  <c r="E97" i="6"/>
  <c r="E914" i="6"/>
  <c r="E98" i="6"/>
  <c r="E302" i="6"/>
  <c r="E701" i="6"/>
  <c r="E792" i="6"/>
  <c r="E379" i="6"/>
  <c r="E702" i="6"/>
  <c r="E703" i="6"/>
  <c r="E825" i="6"/>
  <c r="E704" i="6"/>
  <c r="E440" i="6"/>
  <c r="E529" i="6"/>
  <c r="E303" i="6"/>
  <c r="E497" i="6"/>
  <c r="E441" i="6"/>
  <c r="E705" i="6"/>
  <c r="E99" i="6"/>
  <c r="E609" i="6"/>
  <c r="E530" i="6"/>
  <c r="E442" i="6"/>
  <c r="E347" i="6"/>
  <c r="E706" i="6"/>
  <c r="E304" i="6"/>
  <c r="E305" i="6"/>
  <c r="E589" i="6"/>
  <c r="E145" i="6"/>
  <c r="E100" i="6"/>
  <c r="E707" i="6"/>
  <c r="E915" i="6"/>
  <c r="E916" i="6"/>
  <c r="E641" i="6"/>
  <c r="E610" i="6"/>
  <c r="E853" i="6"/>
  <c r="E826" i="6"/>
  <c r="E917" i="6"/>
  <c r="E883" i="6"/>
  <c r="E306" i="6"/>
  <c r="E708" i="6"/>
  <c r="E590" i="6"/>
  <c r="E642" i="6"/>
  <c r="E243" i="6"/>
  <c r="E443" i="6"/>
  <c r="E380" i="6"/>
  <c r="E244" i="6"/>
  <c r="E444" i="6"/>
  <c r="E611" i="6"/>
  <c r="E643" i="6"/>
  <c r="E3" i="6"/>
  <c r="E209" i="6"/>
  <c r="E793" i="6"/>
  <c r="E146" i="6"/>
  <c r="E827" i="6"/>
  <c r="E147" i="6"/>
  <c r="E65" i="6"/>
  <c r="E245" i="6"/>
  <c r="E445" i="6"/>
  <c r="E4" i="6"/>
  <c r="E918" i="6"/>
  <c r="E591" i="6"/>
  <c r="E612" i="6"/>
  <c r="E210" i="6"/>
  <c r="E592" i="6"/>
  <c r="E794" i="6"/>
  <c r="E709" i="6"/>
  <c r="E5" i="6"/>
  <c r="E710" i="6"/>
  <c r="E211" i="6"/>
  <c r="E381" i="6"/>
  <c r="E666" i="6"/>
  <c r="E884" i="6"/>
  <c r="E593" i="6"/>
  <c r="E382" i="6"/>
  <c r="E66" i="6"/>
  <c r="E212" i="6"/>
  <c r="E498" i="6"/>
  <c r="E307" i="6"/>
  <c r="E854" i="6"/>
  <c r="E246" i="6"/>
  <c r="E499" i="6"/>
  <c r="E828" i="6"/>
  <c r="E101" i="6"/>
  <c r="E213" i="6"/>
  <c r="E446" i="6"/>
  <c r="E348" i="6"/>
  <c r="E855" i="6"/>
  <c r="E6" i="6"/>
  <c r="E247" i="6"/>
  <c r="E349" i="6"/>
  <c r="E613" i="6"/>
  <c r="E531" i="6"/>
  <c r="E383" i="6"/>
  <c r="E856" i="6"/>
  <c r="E447" i="6"/>
  <c r="E711" i="6"/>
  <c r="E712" i="6"/>
  <c r="E350" i="6"/>
  <c r="E308" i="6"/>
  <c r="E448" i="6"/>
  <c r="E102" i="6"/>
  <c r="E384" i="6"/>
  <c r="E885" i="6"/>
  <c r="E857" i="6"/>
  <c r="E385" i="6"/>
  <c r="E795" i="6"/>
  <c r="E532" i="6"/>
  <c r="E449" i="6"/>
  <c r="E919" i="6"/>
  <c r="E248" i="6"/>
  <c r="E148" i="6"/>
  <c r="E594" i="6"/>
  <c r="E713" i="6"/>
  <c r="E533" i="6"/>
  <c r="E7" i="6"/>
  <c r="E614" i="6"/>
  <c r="E615" i="6"/>
  <c r="E386" i="6"/>
  <c r="E149" i="6"/>
  <c r="E500" i="6"/>
  <c r="E829" i="6"/>
  <c r="E309" i="6"/>
  <c r="E8" i="6"/>
  <c r="E667" i="6"/>
  <c r="E150" i="6"/>
  <c r="E714" i="6"/>
  <c r="E616" i="6"/>
  <c r="E501" i="6"/>
  <c r="E830" i="6"/>
  <c r="E249" i="6"/>
  <c r="E796" i="6"/>
  <c r="E797" i="6"/>
  <c r="E617" i="6"/>
  <c r="E886" i="6"/>
  <c r="E387" i="6"/>
  <c r="E920" i="6"/>
  <c r="E9" i="6"/>
  <c r="E798" i="6"/>
  <c r="E310" i="6"/>
  <c r="E67" i="6"/>
  <c r="E214" i="6"/>
  <c r="E450" i="6"/>
  <c r="E10" i="6"/>
  <c r="E388" i="6"/>
  <c r="E250" i="6"/>
  <c r="E595" i="6"/>
  <c r="E151" i="6"/>
  <c r="E644" i="6"/>
  <c r="E152" i="6"/>
  <c r="E68" i="6"/>
  <c r="E69" i="6"/>
  <c r="E153" i="6"/>
  <c r="E502" i="6"/>
  <c r="E389" i="6"/>
  <c r="E645" i="6"/>
  <c r="E390" i="6"/>
  <c r="E715" i="6"/>
  <c r="E831" i="6"/>
  <c r="E858" i="6"/>
  <c r="E351" i="6"/>
  <c r="E832" i="6"/>
  <c r="E154" i="6"/>
  <c r="E352" i="6"/>
  <c r="E155" i="6"/>
  <c r="E534" i="6"/>
  <c r="E535" i="6"/>
  <c r="E716" i="6"/>
  <c r="E353" i="6"/>
  <c r="E156" i="6"/>
  <c r="E618" i="6"/>
  <c r="E536" i="6"/>
  <c r="E70" i="6"/>
  <c r="E503" i="6"/>
  <c r="E717" i="6"/>
  <c r="E619" i="6"/>
  <c r="E103" i="6"/>
  <c r="E718" i="6"/>
  <c r="E668" i="6"/>
  <c r="E311" i="6"/>
  <c r="E859" i="6"/>
  <c r="E451" i="6"/>
  <c r="E887" i="6"/>
  <c r="E391" i="6"/>
  <c r="E392" i="6"/>
  <c r="E537" i="6"/>
  <c r="E833" i="6"/>
  <c r="E538" i="6"/>
  <c r="E799" i="6"/>
  <c r="E921" i="6"/>
  <c r="E504" i="6"/>
  <c r="E251" i="6"/>
  <c r="E505" i="6"/>
  <c r="E719" i="6"/>
  <c r="E539" i="6"/>
  <c r="E922" i="6"/>
  <c r="E540" i="6"/>
  <c r="E71" i="6"/>
  <c r="E720" i="6"/>
  <c r="E923" i="6"/>
  <c r="E888" i="6"/>
  <c r="E393" i="6"/>
  <c r="E860" i="6"/>
  <c r="E541" i="6"/>
  <c r="E834" i="6"/>
  <c r="E394" i="6"/>
  <c r="E11" i="6"/>
  <c r="E452" i="6"/>
  <c r="E395" i="6"/>
  <c r="E396" i="6"/>
  <c r="E721" i="6"/>
  <c r="E861" i="6"/>
  <c r="E862" i="6"/>
  <c r="E889" i="6"/>
  <c r="E646" i="6"/>
  <c r="E596" i="6"/>
  <c r="E890" i="6"/>
  <c r="E157" i="6"/>
  <c r="E12" i="6"/>
  <c r="E13" i="6"/>
  <c r="E104" i="6"/>
  <c r="E506" i="6"/>
  <c r="E215" i="6"/>
  <c r="E397" i="6"/>
  <c r="E158" i="6"/>
  <c r="E72" i="6"/>
  <c r="E252" i="6"/>
  <c r="E597" i="6"/>
  <c r="E647" i="6"/>
  <c r="E542" i="6"/>
  <c r="E669" i="6"/>
  <c r="E543" i="6"/>
  <c r="E105" i="6"/>
  <c r="E507" i="6"/>
  <c r="E354" i="6"/>
  <c r="E620" i="6"/>
  <c r="E453" i="6"/>
  <c r="E621" i="6"/>
  <c r="E159" i="6"/>
  <c r="E355" i="6"/>
  <c r="E891" i="6"/>
  <c r="E800" i="6"/>
  <c r="E892" i="6"/>
  <c r="E160" i="6"/>
  <c r="E722" i="6"/>
  <c r="E544" i="6"/>
  <c r="E723" i="6"/>
  <c r="E14" i="6"/>
  <c r="E598" i="6"/>
  <c r="E216" i="6"/>
  <c r="E863" i="6"/>
  <c r="E835" i="6"/>
  <c r="E253" i="6"/>
  <c r="E924" i="6"/>
  <c r="E161" i="6"/>
  <c r="E599" i="6"/>
  <c r="E508" i="6"/>
  <c r="E600" i="6"/>
  <c r="E254" i="6"/>
  <c r="E622" i="6"/>
  <c r="E454" i="6"/>
  <c r="E724" i="6"/>
  <c r="E623" i="6"/>
  <c r="E648" i="6"/>
  <c r="E545" i="6"/>
  <c r="E312" i="6"/>
  <c r="E162" i="6"/>
  <c r="E15" i="6"/>
  <c r="E925" i="6"/>
  <c r="E106" i="6"/>
  <c r="E670" i="6"/>
  <c r="E398" i="6"/>
  <c r="E801" i="6"/>
  <c r="E399" i="6"/>
  <c r="E836" i="6"/>
  <c r="E893" i="6"/>
  <c r="E107" i="6"/>
  <c r="E400" i="6"/>
  <c r="E401" i="6"/>
  <c r="E837" i="6"/>
  <c r="E402" i="6"/>
  <c r="E255" i="6"/>
  <c r="E601" i="6"/>
  <c r="E802" i="6"/>
  <c r="E256" i="6"/>
  <c r="E257" i="6"/>
  <c r="E108" i="6"/>
  <c r="E546" i="6"/>
  <c r="E624" i="6"/>
  <c r="E864" i="6"/>
  <c r="E725" i="6"/>
  <c r="E726" i="6"/>
  <c r="E109" i="6"/>
  <c r="E509" i="6"/>
  <c r="E258" i="6"/>
  <c r="E110" i="6"/>
  <c r="E547" i="6"/>
  <c r="E727" i="6"/>
  <c r="E671" i="6"/>
  <c r="E838" i="6"/>
  <c r="E649" i="6"/>
  <c r="E455" i="6"/>
  <c r="E163" i="6"/>
  <c r="E259" i="6"/>
  <c r="E356" i="6"/>
  <c r="E16" i="6"/>
  <c r="E17" i="6"/>
  <c r="E164" i="6"/>
  <c r="E510" i="6"/>
  <c r="E260" i="6"/>
  <c r="E625" i="6"/>
  <c r="E803" i="6"/>
  <c r="E865" i="6"/>
  <c r="E73" i="6"/>
  <c r="E111" i="6"/>
  <c r="E728" i="6"/>
  <c r="E729" i="6"/>
  <c r="E74" i="6"/>
  <c r="E804" i="6"/>
  <c r="E18" i="6"/>
  <c r="E626" i="6"/>
  <c r="E548" i="6"/>
  <c r="E19" i="6"/>
  <c r="E894" i="6"/>
  <c r="E261" i="6"/>
  <c r="E926" i="6"/>
  <c r="E75" i="6"/>
  <c r="E262" i="6"/>
  <c r="E549" i="6"/>
  <c r="E456" i="6"/>
  <c r="E313" i="6"/>
  <c r="E672" i="6"/>
  <c r="E650" i="6"/>
  <c r="E730" i="6"/>
  <c r="E217" i="6"/>
  <c r="E550" i="6"/>
  <c r="E218" i="6"/>
  <c r="E627" i="6"/>
  <c r="E357" i="6"/>
  <c r="E839" i="6"/>
  <c r="E76" i="6"/>
  <c r="E403" i="6"/>
  <c r="E404" i="6"/>
  <c r="E805" i="6"/>
  <c r="E806" i="6"/>
  <c r="E731" i="6"/>
  <c r="E405" i="6"/>
  <c r="E551" i="6"/>
  <c r="E112" i="6"/>
  <c r="E807" i="6"/>
  <c r="E511" i="6"/>
  <c r="E457" i="6"/>
  <c r="E20" i="6"/>
  <c r="E165" i="6"/>
  <c r="E651" i="6"/>
  <c r="E512" i="6"/>
  <c r="E458" i="6"/>
  <c r="E459" i="6"/>
  <c r="E460" i="6"/>
  <c r="E113" i="6"/>
  <c r="E314" i="6"/>
  <c r="E166" i="6"/>
  <c r="E732" i="6"/>
  <c r="E114" i="6"/>
  <c r="E315" i="6"/>
  <c r="E461" i="6"/>
  <c r="E406" i="6"/>
  <c r="E808" i="6"/>
  <c r="E840" i="6"/>
  <c r="E733" i="6"/>
  <c r="E628" i="6"/>
  <c r="E167" i="6"/>
  <c r="E21" i="6"/>
  <c r="E734" i="6"/>
  <c r="E735" i="6"/>
  <c r="E22" i="6"/>
  <c r="E736" i="6"/>
  <c r="E629" i="6"/>
  <c r="E841" i="6"/>
  <c r="E927" i="6"/>
  <c r="E168" i="6"/>
  <c r="E552" i="6"/>
  <c r="E553" i="6"/>
  <c r="E462" i="6"/>
  <c r="E169" i="6"/>
  <c r="E463" i="6"/>
  <c r="E737" i="6"/>
  <c r="E554" i="6"/>
  <c r="E23" i="6"/>
  <c r="E263" i="6"/>
  <c r="E77" i="6"/>
  <c r="E78" i="6"/>
  <c r="E928" i="6"/>
  <c r="E115" i="6"/>
  <c r="E555" i="6"/>
  <c r="E556" i="6"/>
  <c r="E170" i="6"/>
  <c r="E557" i="6"/>
  <c r="E738" i="6"/>
  <c r="E116" i="6"/>
  <c r="E513" i="6"/>
  <c r="E464" i="6"/>
  <c r="E407" i="6"/>
  <c r="E739" i="6"/>
  <c r="E117" i="6"/>
  <c r="E171" i="6"/>
  <c r="E316" i="6"/>
  <c r="E358" i="6"/>
  <c r="E408" i="6"/>
  <c r="E24" i="6"/>
  <c r="E317" i="6"/>
  <c r="E409" i="6"/>
  <c r="E929" i="6"/>
  <c r="E465" i="6"/>
  <c r="E558" i="6"/>
  <c r="E559" i="6"/>
  <c r="E560" i="6"/>
  <c r="E318" i="6"/>
  <c r="E219" i="6"/>
  <c r="E466" i="6"/>
  <c r="E467" i="6"/>
  <c r="E740" i="6"/>
  <c r="E25" i="6"/>
  <c r="E26" i="6"/>
  <c r="E118" i="6"/>
  <c r="E895" i="6"/>
  <c r="E652" i="6"/>
  <c r="E930" i="6"/>
  <c r="E172" i="6"/>
  <c r="E561" i="6"/>
  <c r="E319" i="6"/>
  <c r="E562" i="6"/>
  <c r="E809" i="6"/>
  <c r="E27" i="6"/>
  <c r="E320" i="6"/>
  <c r="E119" i="6"/>
  <c r="E173" i="6"/>
  <c r="E174" i="6"/>
  <c r="E931" i="6"/>
  <c r="E514" i="6"/>
  <c r="E896" i="6"/>
  <c r="E175" i="6"/>
  <c r="E866" i="6"/>
  <c r="E468" i="6"/>
  <c r="E741" i="6"/>
  <c r="E28" i="6"/>
  <c r="E742" i="6"/>
  <c r="E630" i="6"/>
  <c r="E176" i="6"/>
  <c r="E469" i="6"/>
  <c r="E673" i="6"/>
  <c r="E410" i="6"/>
  <c r="E120" i="6"/>
  <c r="E359" i="6"/>
  <c r="E515" i="6"/>
  <c r="E321" i="6"/>
  <c r="E264" i="6"/>
  <c r="E842" i="6"/>
  <c r="E743" i="6"/>
  <c r="E897" i="6"/>
  <c r="E121" i="6"/>
  <c r="E411" i="6"/>
  <c r="E843" i="6"/>
  <c r="E744" i="6"/>
  <c r="E470" i="6"/>
  <c r="E265" i="6"/>
  <c r="E867" i="6"/>
  <c r="E412" i="6"/>
  <c r="E220" i="6"/>
  <c r="E745" i="6"/>
  <c r="E29" i="6"/>
  <c r="E266" i="6"/>
  <c r="E844" i="6"/>
  <c r="E674" i="6"/>
  <c r="E746" i="6"/>
  <c r="E267" i="6"/>
  <c r="E675" i="6"/>
  <c r="E413" i="6"/>
  <c r="E30" i="6"/>
  <c r="E563" i="6"/>
  <c r="E177" i="6"/>
  <c r="E471" i="6"/>
  <c r="E898" i="6"/>
  <c r="E268" i="6"/>
  <c r="E31" i="6"/>
  <c r="E360" i="6"/>
  <c r="E269" i="6"/>
  <c r="E747" i="6"/>
  <c r="E748" i="6"/>
  <c r="E322" i="6"/>
  <c r="E79" i="6"/>
  <c r="E361" i="6"/>
  <c r="E564" i="6"/>
  <c r="E810" i="6"/>
  <c r="E414" i="6"/>
  <c r="E80" i="6"/>
  <c r="E811" i="6"/>
  <c r="E868" i="6"/>
  <c r="E178" i="6"/>
  <c r="E676" i="6"/>
  <c r="E677" i="6"/>
  <c r="E323" i="6"/>
  <c r="E749" i="6"/>
  <c r="E324" i="6"/>
  <c r="E602" i="6"/>
  <c r="E932" i="6"/>
  <c r="E899" i="6"/>
  <c r="E270" i="6"/>
  <c r="E271" i="6"/>
  <c r="E678" i="6"/>
  <c r="E81" i="6"/>
  <c r="E812" i="6"/>
  <c r="E565" i="6"/>
  <c r="E272" i="6"/>
  <c r="E750" i="6"/>
  <c r="E32" i="6"/>
  <c r="E325" i="6"/>
  <c r="E933" i="6"/>
  <c r="E566" i="6"/>
  <c r="E362" i="6"/>
  <c r="E567" i="6"/>
  <c r="E363" i="6"/>
  <c r="E33" i="6"/>
  <c r="E179" i="6"/>
  <c r="E472" i="6"/>
  <c r="E82" i="6"/>
  <c r="E122" i="6"/>
  <c r="E34" i="6"/>
  <c r="E679" i="6"/>
  <c r="E326" i="6"/>
  <c r="E221" i="6"/>
  <c r="E180" i="6"/>
  <c r="E123" i="6"/>
  <c r="E415" i="6"/>
  <c r="E181" i="6"/>
  <c r="E568" i="6"/>
  <c r="E273" i="6"/>
  <c r="E934" i="6"/>
  <c r="E327" i="6"/>
  <c r="E751" i="6"/>
  <c r="E900" i="6"/>
  <c r="E869" i="6"/>
  <c r="E752" i="6"/>
  <c r="E364" i="6"/>
  <c r="E124" i="6"/>
  <c r="E603" i="6"/>
  <c r="E473" i="6"/>
  <c r="E653" i="6"/>
  <c r="E654" i="6"/>
  <c r="E680" i="6"/>
  <c r="E753" i="6"/>
  <c r="E631" i="6"/>
  <c r="E182" i="6"/>
  <c r="E83" i="6"/>
  <c r="E569" i="6"/>
  <c r="E125" i="6"/>
  <c r="E222" i="6"/>
  <c r="E126" i="6"/>
  <c r="E570" i="6"/>
  <c r="E632" i="6"/>
  <c r="E84" i="6"/>
  <c r="E183" i="6"/>
  <c r="E681" i="6"/>
  <c r="E633" i="6"/>
  <c r="E328" i="6"/>
  <c r="E274" i="6"/>
  <c r="E416" i="6"/>
  <c r="E754" i="6"/>
  <c r="E35" i="6"/>
  <c r="E571" i="6"/>
  <c r="E474" i="6"/>
  <c r="E516" i="6"/>
  <c r="E901" i="6"/>
  <c r="E813" i="6"/>
  <c r="E36" i="6"/>
  <c r="E85" i="6"/>
  <c r="E902" i="6"/>
  <c r="E814" i="6"/>
  <c r="E755" i="6"/>
  <c r="E903" i="6"/>
  <c r="E682" i="6"/>
  <c r="E365" i="6"/>
  <c r="E870" i="6"/>
  <c r="E127" i="6"/>
  <c r="E128" i="6"/>
  <c r="E275" i="6"/>
  <c r="E184" i="6"/>
  <c r="E129" i="6"/>
  <c r="E475" i="6"/>
  <c r="E185" i="6"/>
  <c r="E130" i="6"/>
  <c r="E655" i="6"/>
  <c r="E276" i="6"/>
  <c r="E329" i="6"/>
  <c r="E656" i="6"/>
  <c r="E223" i="6"/>
  <c r="E756" i="6"/>
  <c r="E37" i="6"/>
  <c r="E330" i="6"/>
  <c r="E757" i="6"/>
  <c r="E517" i="6"/>
  <c r="E518" i="6"/>
  <c r="E224" i="6"/>
  <c r="E476" i="6"/>
  <c r="E477" i="6"/>
  <c r="E758" i="6"/>
  <c r="E86" i="6"/>
  <c r="E277" i="6"/>
  <c r="E38" i="6"/>
  <c r="E904" i="6"/>
  <c r="E871" i="6"/>
  <c r="E683" i="6"/>
  <c r="E478" i="6"/>
  <c r="E572" i="6"/>
  <c r="E366" i="6"/>
  <c r="E87" i="6"/>
  <c r="E759" i="6"/>
  <c r="E331" i="6"/>
  <c r="E604" i="6"/>
  <c r="E905" i="6"/>
  <c r="E479" i="6"/>
  <c r="E760" i="6"/>
  <c r="E657" i="6"/>
  <c r="E658" i="6"/>
  <c r="E332" i="6"/>
  <c r="E761" i="6"/>
  <c r="E605" i="6"/>
  <c r="E519" i="6"/>
  <c r="E278" i="6"/>
  <c r="E367" i="6"/>
  <c r="E333" i="6"/>
  <c r="E417" i="6"/>
  <c r="E186" i="6"/>
  <c r="E368" i="6"/>
  <c r="E279" i="6"/>
  <c r="E280" i="6"/>
  <c r="E281" i="6"/>
  <c r="E418" i="6"/>
  <c r="E573" i="6"/>
  <c r="E225" i="6"/>
  <c r="E659" i="6"/>
  <c r="E815" i="6"/>
  <c r="E762" i="6"/>
  <c r="E935" i="6"/>
  <c r="E872" i="6"/>
  <c r="E282" i="6"/>
  <c r="E131" i="6"/>
  <c r="E763" i="6"/>
  <c r="E283" i="6"/>
  <c r="E906" i="6"/>
  <c r="E873" i="6"/>
  <c r="E764" i="6"/>
  <c r="E419" i="6"/>
  <c r="E420" i="6"/>
  <c r="E39" i="6"/>
  <c r="E765" i="6"/>
  <c r="E132" i="6"/>
  <c r="E874" i="6"/>
  <c r="E520" i="6"/>
  <c r="E40" i="6"/>
  <c r="E521" i="6"/>
  <c r="E480" i="6"/>
  <c r="E481" i="6"/>
  <c r="E421" i="6"/>
  <c r="E284" i="6"/>
  <c r="E334" i="6"/>
  <c r="E41" i="6"/>
  <c r="E482" i="6"/>
  <c r="E483" i="6"/>
  <c r="E907" i="6"/>
  <c r="E42" i="6"/>
  <c r="E335" i="6"/>
  <c r="E574" i="6"/>
  <c r="E226" i="6"/>
  <c r="E369" i="6"/>
  <c r="E575" i="6"/>
  <c r="E766" i="6"/>
  <c r="E684" i="6"/>
  <c r="E484" i="6"/>
  <c r="E43" i="6"/>
  <c r="E187" i="6"/>
  <c r="E634" i="6"/>
  <c r="E422" i="6"/>
  <c r="E188" i="6"/>
  <c r="E522" i="6"/>
  <c r="E285" i="6"/>
  <c r="E767" i="6"/>
  <c r="E227" i="6"/>
  <c r="E44" i="6"/>
  <c r="E133" i="6"/>
  <c r="E768" i="6"/>
  <c r="E660" i="6"/>
  <c r="E816" i="6"/>
  <c r="E189" i="6"/>
  <c r="E908" i="6"/>
  <c r="E45" i="6"/>
  <c r="E370" i="6"/>
  <c r="E661" i="6"/>
  <c r="E936" i="6"/>
  <c r="E336" i="6"/>
  <c r="E46" i="6"/>
  <c r="E423" i="6"/>
  <c r="E228" i="6"/>
  <c r="E817" i="6"/>
  <c r="E337" i="6"/>
  <c r="E338" i="6"/>
  <c r="E339" i="6"/>
  <c r="E424" i="6"/>
  <c r="E818" i="6"/>
  <c r="E47" i="6"/>
  <c r="E48" i="6"/>
  <c r="E909" i="6"/>
  <c r="E371" i="6"/>
  <c r="E769" i="6"/>
  <c r="E819" i="6"/>
  <c r="E635" i="6"/>
  <c r="E340" i="6"/>
  <c r="E190" i="6"/>
  <c r="E576" i="6"/>
  <c r="E425" i="6"/>
  <c r="E770" i="6"/>
  <c r="E134" i="6"/>
  <c r="E341" i="6"/>
  <c r="E685" i="6"/>
  <c r="E191" i="6"/>
  <c r="E910" i="6"/>
  <c r="E485" i="6"/>
  <c r="E845" i="6"/>
  <c r="E49" i="6"/>
  <c r="E229" i="6"/>
  <c r="E135" i="6"/>
  <c r="E636" i="6"/>
  <c r="E88" i="6"/>
  <c r="E192" i="6"/>
  <c r="E136" i="6"/>
  <c r="E662" i="6"/>
  <c r="E426" i="6"/>
  <c r="E137" i="6"/>
  <c r="E686" i="6"/>
  <c r="E911" i="6"/>
  <c r="E486" i="6"/>
  <c r="E771" i="6"/>
  <c r="E193" i="6"/>
  <c r="E50" i="6"/>
  <c r="E372" i="6"/>
  <c r="E487" i="6"/>
  <c r="E230" i="6"/>
  <c r="E772" i="6"/>
  <c r="E194" i="6"/>
  <c r="E427" i="6"/>
  <c r="E875" i="6"/>
  <c r="E51" i="6"/>
  <c r="E52" i="6"/>
  <c r="E373" i="6"/>
  <c r="E687" i="6"/>
  <c r="E53" i="6"/>
  <c r="E577" i="6"/>
  <c r="E688" i="6"/>
  <c r="E342" i="6"/>
  <c r="E428" i="6"/>
  <c r="E773" i="6"/>
  <c r="E374" i="6"/>
  <c r="E195" i="6"/>
  <c r="E488" i="6"/>
  <c r="E231" i="6"/>
  <c r="E774" i="6"/>
  <c r="E489" i="6"/>
  <c r="E490" i="6"/>
  <c r="E54" i="6"/>
  <c r="E286" i="6"/>
  <c r="E89" i="6"/>
  <c r="E90" i="6"/>
  <c r="E689" i="6"/>
  <c r="E876" i="6"/>
  <c r="E287" i="6"/>
  <c r="E578" i="6"/>
  <c r="E429" i="6"/>
  <c r="E55" i="6"/>
  <c r="E288" i="6"/>
  <c r="E690" i="6"/>
  <c r="E775" i="6"/>
  <c r="E430" i="6"/>
  <c r="E523" i="6"/>
  <c r="E663" i="6"/>
  <c r="E56" i="6"/>
  <c r="E491" i="6"/>
  <c r="E289" i="6"/>
  <c r="E290" i="6"/>
  <c r="E846" i="6"/>
  <c r="E776" i="6"/>
  <c r="E343" i="6"/>
  <c r="E291" i="6"/>
  <c r="E196" i="6"/>
  <c r="E637" i="6"/>
  <c r="E847" i="6"/>
  <c r="E138" i="6"/>
  <c r="E579" i="6"/>
  <c r="E139" i="6"/>
  <c r="E91" i="6"/>
  <c r="E292" i="6"/>
  <c r="E777" i="6"/>
  <c r="E877" i="6"/>
  <c r="E375" i="6"/>
  <c r="E57" i="6"/>
  <c r="E691" i="6"/>
  <c r="E92" i="6"/>
  <c r="E937" i="6"/>
  <c r="E376" i="6"/>
  <c r="E492" i="6"/>
  <c r="E493" i="6"/>
  <c r="E431" i="6"/>
  <c r="E232" i="6"/>
  <c r="E344" i="6"/>
  <c r="E494" i="6"/>
  <c r="E778" i="6"/>
  <c r="E779" i="6"/>
  <c r="E197" i="6"/>
  <c r="E140" i="6"/>
  <c r="E432" i="6"/>
  <c r="E878" i="6"/>
  <c r="E141" i="6"/>
  <c r="E198" i="6"/>
  <c r="E495" i="6"/>
  <c r="E58" i="6"/>
  <c r="E233" i="6"/>
  <c r="E293" i="6"/>
  <c r="E433" i="6"/>
  <c r="E692" i="6"/>
  <c r="E780" i="6"/>
  <c r="E199" i="6"/>
  <c r="E59" i="6"/>
  <c r="E580" i="6"/>
  <c r="E581" i="6"/>
  <c r="E200" i="6"/>
  <c r="E848" i="6"/>
  <c r="E879" i="6"/>
  <c r="E93" i="6"/>
  <c r="E693" i="6"/>
  <c r="E638" i="6"/>
  <c r="E524" i="6"/>
  <c r="E781" i="6"/>
  <c r="E820" i="6"/>
  <c r="E849" i="6"/>
  <c r="E938" i="6"/>
  <c r="E201" i="6"/>
  <c r="E939" i="6"/>
  <c r="E694" i="6"/>
  <c r="E60" i="6"/>
  <c r="E582" i="6"/>
  <c r="E606" i="6"/>
  <c r="E782" i="6"/>
  <c r="E61" i="6"/>
  <c r="E434" i="6"/>
  <c r="E142" i="6"/>
  <c r="E435" i="6"/>
  <c r="E202" i="6"/>
  <c r="E345" i="6"/>
  <c r="E436" i="6"/>
  <c r="E294" i="6"/>
  <c r="E203" i="6"/>
  <c r="E295" i="6"/>
  <c r="E437" i="6"/>
  <c r="E62" i="6"/>
  <c r="E204" i="6"/>
  <c r="E583" i="6"/>
  <c r="E205" i="6"/>
  <c r="E234" i="6"/>
  <c r="E880" i="6"/>
  <c r="E695" i="6"/>
  <c r="E235" i="6"/>
  <c r="E296" i="6"/>
  <c r="E236" i="6"/>
  <c r="E639" i="6"/>
  <c r="E94" i="6"/>
  <c r="E297" i="6"/>
  <c r="E206" i="6"/>
  <c r="E584" i="6"/>
  <c r="E377" i="6"/>
  <c r="E346" i="6"/>
  <c r="E585" i="6"/>
  <c r="E607" i="6"/>
  <c r="E783" i="6"/>
  <c r="E143" i="6"/>
  <c r="E438" i="6"/>
  <c r="E881" i="6"/>
  <c r="E63" i="6"/>
  <c r="E144" i="6"/>
  <c r="E525" i="6"/>
  <c r="E298" i="6"/>
  <c r="E940" i="6"/>
  <c r="E696" i="6"/>
  <c r="E608" i="6"/>
  <c r="E664" i="6"/>
  <c r="E299" i="6"/>
  <c r="E665" i="6"/>
  <c r="E586" i="6"/>
  <c r="E784" i="6"/>
  <c r="E821" i="6"/>
  <c r="E850" i="6"/>
  <c r="E785" i="6"/>
  <c r="E941" i="6"/>
  <c r="E882" i="6"/>
  <c r="E786" i="6"/>
  <c r="E787" i="6"/>
  <c r="E788" i="6"/>
  <c r="E587" i="6"/>
  <c r="E237" i="6"/>
  <c r="E851" i="6"/>
  <c r="E789" i="6"/>
  <c r="E439" i="6"/>
  <c r="E588" i="6"/>
  <c r="E526" i="6"/>
  <c r="E790" i="6"/>
  <c r="C822" i="6"/>
  <c r="D822" i="6" s="1" a="1"/>
  <c r="D822" i="6" s="1"/>
  <c r="C238" i="6"/>
  <c r="D238" i="6" s="1" a="1"/>
  <c r="D238" i="6" s="1"/>
  <c r="C698" i="6"/>
  <c r="D698" i="6" s="1" a="1"/>
  <c r="D698" i="6" s="1"/>
  <c r="C496" i="6"/>
  <c r="D496" i="6" s="1" a="1"/>
  <c r="D496" i="6" s="1"/>
  <c r="C640" i="6"/>
  <c r="D640" i="6" s="1" a="1"/>
  <c r="D640" i="6" s="1"/>
  <c r="C2" i="6"/>
  <c r="D2" i="6" s="1" a="1"/>
  <c r="D2" i="6" s="1"/>
  <c r="C378" i="6"/>
  <c r="D378" i="6" s="1" a="1"/>
  <c r="D378" i="6" s="1"/>
  <c r="C699" i="6"/>
  <c r="D699" i="6" s="1" a="1"/>
  <c r="D699" i="6" s="1"/>
  <c r="C300" i="6"/>
  <c r="D300" i="6" s="1" a="1"/>
  <c r="D300" i="6" s="1"/>
  <c r="C912" i="6"/>
  <c r="D912" i="6" s="1" a="1"/>
  <c r="D912" i="6" s="1"/>
  <c r="C527" i="6"/>
  <c r="D527" i="6" s="1" a="1"/>
  <c r="D527" i="6" s="1"/>
  <c r="C239" i="6"/>
  <c r="D239" i="6" s="1" a="1"/>
  <c r="D239" i="6" s="1"/>
  <c r="C240" i="6"/>
  <c r="D240" i="6" s="1" a="1"/>
  <c r="D240" i="6" s="1"/>
  <c r="C95" i="6"/>
  <c r="D95" i="6" s="1" a="1"/>
  <c r="D95" i="6" s="1"/>
  <c r="C207" i="6"/>
  <c r="D207" i="6" s="1" a="1"/>
  <c r="D207" i="6" s="1"/>
  <c r="C528" i="6"/>
  <c r="D528" i="6" s="1" a="1"/>
  <c r="D528" i="6" s="1"/>
  <c r="C700" i="6"/>
  <c r="D700" i="6" s="1" a="1"/>
  <c r="D700" i="6" s="1"/>
  <c r="C241" i="6"/>
  <c r="D241" i="6" s="1" a="1"/>
  <c r="D241" i="6" s="1"/>
  <c r="C913" i="6"/>
  <c r="D913" i="6" s="1" a="1"/>
  <c r="D913" i="6" s="1"/>
  <c r="C208" i="6"/>
  <c r="D208" i="6" s="1" a="1"/>
  <c r="D208" i="6" s="1"/>
  <c r="C96" i="6"/>
  <c r="D96" i="6" s="1" a="1"/>
  <c r="D96" i="6" s="1"/>
  <c r="C64" i="6"/>
  <c r="D64" i="6" s="1" a="1"/>
  <c r="D64" i="6" s="1"/>
  <c r="C242" i="6"/>
  <c r="D242" i="6" s="1" a="1"/>
  <c r="D242" i="6" s="1"/>
  <c r="C301" i="6"/>
  <c r="D301" i="6" s="1" a="1"/>
  <c r="D301" i="6" s="1"/>
  <c r="C791" i="6"/>
  <c r="D791" i="6" s="1" a="1"/>
  <c r="D791" i="6" s="1"/>
  <c r="C823" i="6"/>
  <c r="D823" i="6" s="1" a="1"/>
  <c r="D823" i="6" s="1"/>
  <c r="C852" i="6"/>
  <c r="D852" i="6" s="1" a="1"/>
  <c r="D852" i="6" s="1"/>
  <c r="C824" i="6"/>
  <c r="D824" i="6" s="1" a="1"/>
  <c r="D824" i="6" s="1"/>
  <c r="C97" i="6"/>
  <c r="D97" i="6" s="1" a="1"/>
  <c r="D97" i="6" s="1"/>
  <c r="C914" i="6"/>
  <c r="D914" i="6" s="1" a="1"/>
  <c r="D914" i="6" s="1"/>
  <c r="C98" i="6"/>
  <c r="D98" i="6" s="1" a="1"/>
  <c r="D98" i="6" s="1"/>
  <c r="C302" i="6"/>
  <c r="D302" i="6" s="1" a="1"/>
  <c r="D302" i="6" s="1"/>
  <c r="C701" i="6"/>
  <c r="D701" i="6" s="1" a="1"/>
  <c r="D701" i="6" s="1"/>
  <c r="C792" i="6"/>
  <c r="D792" i="6" s="1" a="1"/>
  <c r="D792" i="6" s="1"/>
  <c r="C379" i="6"/>
  <c r="D379" i="6" s="1" a="1"/>
  <c r="D379" i="6" s="1"/>
  <c r="C702" i="6"/>
  <c r="D702" i="6" s="1" a="1"/>
  <c r="D702" i="6" s="1"/>
  <c r="C703" i="6"/>
  <c r="D703" i="6" s="1" a="1"/>
  <c r="D703" i="6" s="1"/>
  <c r="C825" i="6"/>
  <c r="D825" i="6" s="1" a="1"/>
  <c r="D825" i="6" s="1"/>
  <c r="C704" i="6"/>
  <c r="D704" i="6" s="1" a="1"/>
  <c r="D704" i="6" s="1"/>
  <c r="C440" i="6"/>
  <c r="D440" i="6" s="1" a="1"/>
  <c r="D440" i="6" s="1"/>
  <c r="C529" i="6"/>
  <c r="D529" i="6" s="1" a="1"/>
  <c r="D529" i="6" s="1"/>
  <c r="C303" i="6"/>
  <c r="D303" i="6" s="1" a="1"/>
  <c r="D303" i="6" s="1"/>
  <c r="C497" i="6"/>
  <c r="D497" i="6" s="1" a="1"/>
  <c r="D497" i="6" s="1"/>
  <c r="C441" i="6"/>
  <c r="D441" i="6" s="1" a="1"/>
  <c r="D441" i="6" s="1"/>
  <c r="C705" i="6"/>
  <c r="D705" i="6" s="1" a="1"/>
  <c r="D705" i="6" s="1"/>
  <c r="C99" i="6"/>
  <c r="D99" i="6" s="1" a="1"/>
  <c r="D99" i="6" s="1"/>
  <c r="C609" i="6"/>
  <c r="D609" i="6" s="1" a="1"/>
  <c r="D609" i="6" s="1"/>
  <c r="C530" i="6"/>
  <c r="D530" i="6" s="1" a="1"/>
  <c r="D530" i="6" s="1"/>
  <c r="C442" i="6"/>
  <c r="D442" i="6" s="1" a="1"/>
  <c r="D442" i="6" s="1"/>
  <c r="C347" i="6"/>
  <c r="D347" i="6" s="1" a="1"/>
  <c r="D347" i="6" s="1"/>
  <c r="C706" i="6"/>
  <c r="D706" i="6" s="1" a="1"/>
  <c r="D706" i="6" s="1"/>
  <c r="C304" i="6"/>
  <c r="D304" i="6" s="1" a="1"/>
  <c r="D304" i="6" s="1"/>
  <c r="C305" i="6"/>
  <c r="D305" i="6" s="1" a="1"/>
  <c r="D305" i="6" s="1"/>
  <c r="C589" i="6"/>
  <c r="D589" i="6" s="1" a="1"/>
  <c r="D589" i="6" s="1"/>
  <c r="C145" i="6"/>
  <c r="D145" i="6" s="1" a="1"/>
  <c r="D145" i="6" s="1"/>
  <c r="C100" i="6"/>
  <c r="D100" i="6" s="1" a="1"/>
  <c r="D100" i="6" s="1"/>
  <c r="C707" i="6"/>
  <c r="D707" i="6" s="1" a="1"/>
  <c r="D707" i="6" s="1"/>
  <c r="C915" i="6"/>
  <c r="D915" i="6" s="1" a="1"/>
  <c r="D915" i="6" s="1"/>
  <c r="C916" i="6"/>
  <c r="D916" i="6" s="1" a="1"/>
  <c r="D916" i="6" s="1"/>
  <c r="C641" i="6"/>
  <c r="D641" i="6" s="1" a="1"/>
  <c r="D641" i="6" s="1"/>
  <c r="C610" i="6"/>
  <c r="D610" i="6" s="1" a="1"/>
  <c r="D610" i="6" s="1"/>
  <c r="C853" i="6"/>
  <c r="D853" i="6" s="1" a="1"/>
  <c r="D853" i="6" s="1"/>
  <c r="C826" i="6"/>
  <c r="D826" i="6" s="1" a="1"/>
  <c r="D826" i="6" s="1"/>
  <c r="C917" i="6"/>
  <c r="D917" i="6" s="1" a="1"/>
  <c r="D917" i="6" s="1"/>
  <c r="C883" i="6"/>
  <c r="D883" i="6" s="1" a="1"/>
  <c r="D883" i="6" s="1"/>
  <c r="C306" i="6"/>
  <c r="D306" i="6" s="1" a="1"/>
  <c r="D306" i="6" s="1"/>
  <c r="C708" i="6"/>
  <c r="D708" i="6" s="1" a="1"/>
  <c r="D708" i="6" s="1"/>
  <c r="C590" i="6"/>
  <c r="D590" i="6" s="1" a="1"/>
  <c r="D590" i="6" s="1"/>
  <c r="C642" i="6"/>
  <c r="D642" i="6" s="1" a="1"/>
  <c r="D642" i="6" s="1"/>
  <c r="C243" i="6"/>
  <c r="D243" i="6" s="1" a="1"/>
  <c r="D243" i="6" s="1"/>
  <c r="C443" i="6"/>
  <c r="D443" i="6" s="1" a="1"/>
  <c r="D443" i="6" s="1"/>
  <c r="C380" i="6"/>
  <c r="D380" i="6" s="1" a="1"/>
  <c r="D380" i="6" s="1"/>
  <c r="C244" i="6"/>
  <c r="D244" i="6" s="1" a="1"/>
  <c r="D244" i="6" s="1"/>
  <c r="C444" i="6"/>
  <c r="D444" i="6" s="1" a="1"/>
  <c r="D444" i="6" s="1"/>
  <c r="C611" i="6"/>
  <c r="D611" i="6" s="1" a="1"/>
  <c r="D611" i="6" s="1"/>
  <c r="C643" i="6"/>
  <c r="D643" i="6" s="1" a="1"/>
  <c r="D643" i="6" s="1"/>
  <c r="C3" i="6"/>
  <c r="D3" i="6" s="1" a="1"/>
  <c r="D3" i="6" s="1"/>
  <c r="C209" i="6"/>
  <c r="D209" i="6" s="1" a="1"/>
  <c r="D209" i="6" s="1"/>
  <c r="C793" i="6"/>
  <c r="D793" i="6" s="1" a="1"/>
  <c r="D793" i="6" s="1"/>
  <c r="C146" i="6"/>
  <c r="D146" i="6" s="1" a="1"/>
  <c r="D146" i="6" s="1"/>
  <c r="C827" i="6"/>
  <c r="D827" i="6" s="1" a="1"/>
  <c r="D827" i="6" s="1"/>
  <c r="C147" i="6"/>
  <c r="D147" i="6" s="1" a="1"/>
  <c r="D147" i="6" s="1"/>
  <c r="C65" i="6"/>
  <c r="D65" i="6" s="1" a="1"/>
  <c r="D65" i="6" s="1"/>
  <c r="C245" i="6"/>
  <c r="D245" i="6" s="1" a="1"/>
  <c r="D245" i="6" s="1"/>
  <c r="C445" i="6"/>
  <c r="D445" i="6" s="1" a="1"/>
  <c r="D445" i="6" s="1"/>
  <c r="C4" i="6"/>
  <c r="C918" i="6"/>
  <c r="D918" i="6" s="1" a="1"/>
  <c r="D918" i="6" s="1"/>
  <c r="C591" i="6"/>
  <c r="D591" i="6" s="1" a="1"/>
  <c r="D591" i="6" s="1"/>
  <c r="C612" i="6"/>
  <c r="D612" i="6" s="1" a="1"/>
  <c r="D612" i="6" s="1"/>
  <c r="C210" i="6"/>
  <c r="D210" i="6" s="1" a="1"/>
  <c r="D210" i="6" s="1"/>
  <c r="C592" i="6"/>
  <c r="D592" i="6" s="1" a="1"/>
  <c r="D592" i="6" s="1"/>
  <c r="C794" i="6"/>
  <c r="D794" i="6" s="1" a="1"/>
  <c r="D794" i="6" s="1"/>
  <c r="C709" i="6"/>
  <c r="D709" i="6" s="1" a="1"/>
  <c r="D709" i="6" s="1"/>
  <c r="C5" i="6"/>
  <c r="D5" i="6" s="1" a="1"/>
  <c r="D5" i="6" s="1"/>
  <c r="C710" i="6"/>
  <c r="D710" i="6" s="1" a="1"/>
  <c r="D710" i="6" s="1"/>
  <c r="C211" i="6"/>
  <c r="D211" i="6" s="1" a="1"/>
  <c r="D211" i="6" s="1"/>
  <c r="C381" i="6"/>
  <c r="D381" i="6" s="1" a="1"/>
  <c r="D381" i="6" s="1"/>
  <c r="C666" i="6"/>
  <c r="D666" i="6" s="1" a="1"/>
  <c r="D666" i="6" s="1"/>
  <c r="C884" i="6"/>
  <c r="D884" i="6" s="1" a="1"/>
  <c r="D884" i="6" s="1"/>
  <c r="C593" i="6"/>
  <c r="D593" i="6" s="1" a="1"/>
  <c r="D593" i="6" s="1"/>
  <c r="C382" i="6"/>
  <c r="D382" i="6" s="1" a="1"/>
  <c r="D382" i="6" s="1"/>
  <c r="C66" i="6"/>
  <c r="D66" i="6" s="1" a="1"/>
  <c r="D66" i="6" s="1"/>
  <c r="C212" i="6"/>
  <c r="D212" i="6" s="1" a="1"/>
  <c r="D212" i="6" s="1"/>
  <c r="C498" i="6"/>
  <c r="D498" i="6" s="1" a="1"/>
  <c r="D498" i="6" s="1"/>
  <c r="C307" i="6"/>
  <c r="D307" i="6" s="1" a="1"/>
  <c r="D307" i="6" s="1"/>
  <c r="C854" i="6"/>
  <c r="D854" i="6" s="1" a="1"/>
  <c r="D854" i="6" s="1"/>
  <c r="C246" i="6"/>
  <c r="D246" i="6" s="1" a="1"/>
  <c r="D246" i="6" s="1"/>
  <c r="C499" i="6"/>
  <c r="D499" i="6" s="1" a="1"/>
  <c r="D499" i="6" s="1"/>
  <c r="C828" i="6"/>
  <c r="D828" i="6" s="1" a="1"/>
  <c r="D828" i="6" s="1"/>
  <c r="C101" i="6"/>
  <c r="D101" i="6" s="1" a="1"/>
  <c r="D101" i="6" s="1"/>
  <c r="C213" i="6"/>
  <c r="D213" i="6" s="1" a="1"/>
  <c r="D213" i="6" s="1"/>
  <c r="C446" i="6"/>
  <c r="D446" i="6" s="1" a="1"/>
  <c r="D446" i="6" s="1"/>
  <c r="C348" i="6"/>
  <c r="D348" i="6" s="1" a="1"/>
  <c r="D348" i="6" s="1"/>
  <c r="C855" i="6"/>
  <c r="D855" i="6" s="1" a="1"/>
  <c r="D855" i="6" s="1"/>
  <c r="C6" i="6"/>
  <c r="D6" i="6" s="1" a="1"/>
  <c r="D6" i="6" s="1"/>
  <c r="C247" i="6"/>
  <c r="D247" i="6" s="1" a="1"/>
  <c r="D247" i="6" s="1"/>
  <c r="C349" i="6"/>
  <c r="D349" i="6" s="1" a="1"/>
  <c r="D349" i="6" s="1"/>
  <c r="C613" i="6"/>
  <c r="D613" i="6" s="1" a="1"/>
  <c r="D613" i="6" s="1"/>
  <c r="C531" i="6"/>
  <c r="D531" i="6" s="1" a="1"/>
  <c r="D531" i="6" s="1"/>
  <c r="C383" i="6"/>
  <c r="D383" i="6" s="1" a="1"/>
  <c r="D383" i="6" s="1"/>
  <c r="C856" i="6"/>
  <c r="D856" i="6" s="1" a="1"/>
  <c r="D856" i="6" s="1"/>
  <c r="C447" i="6"/>
  <c r="D447" i="6" s="1" a="1"/>
  <c r="D447" i="6" s="1"/>
  <c r="C711" i="6"/>
  <c r="D711" i="6" s="1" a="1"/>
  <c r="D711" i="6" s="1"/>
  <c r="C712" i="6"/>
  <c r="D712" i="6" s="1" a="1"/>
  <c r="D712" i="6" s="1"/>
  <c r="C350" i="6"/>
  <c r="D350" i="6" s="1" a="1"/>
  <c r="D350" i="6" s="1"/>
  <c r="C308" i="6"/>
  <c r="D308" i="6" s="1" a="1"/>
  <c r="D308" i="6" s="1"/>
  <c r="C448" i="6"/>
  <c r="D448" i="6" s="1" a="1"/>
  <c r="D448" i="6" s="1"/>
  <c r="C102" i="6"/>
  <c r="D102" i="6" s="1" a="1"/>
  <c r="D102" i="6" s="1"/>
  <c r="C384" i="6"/>
  <c r="D384" i="6" s="1" a="1"/>
  <c r="D384" i="6" s="1"/>
  <c r="C885" i="6"/>
  <c r="D885" i="6" s="1" a="1"/>
  <c r="D885" i="6" s="1"/>
  <c r="C857" i="6"/>
  <c r="D857" i="6" s="1" a="1"/>
  <c r="D857" i="6" s="1"/>
  <c r="C385" i="6"/>
  <c r="D385" i="6" s="1" a="1"/>
  <c r="D385" i="6" s="1"/>
  <c r="C795" i="6"/>
  <c r="D795" i="6" s="1" a="1"/>
  <c r="D795" i="6" s="1"/>
  <c r="C532" i="6"/>
  <c r="D532" i="6" s="1" a="1"/>
  <c r="D532" i="6" s="1"/>
  <c r="C449" i="6"/>
  <c r="D449" i="6" s="1" a="1"/>
  <c r="D449" i="6" s="1"/>
  <c r="C919" i="6"/>
  <c r="D919" i="6" s="1" a="1"/>
  <c r="D919" i="6" s="1"/>
  <c r="C248" i="6"/>
  <c r="D248" i="6" s="1" a="1"/>
  <c r="D248" i="6" s="1"/>
  <c r="C148" i="6"/>
  <c r="D148" i="6" s="1" a="1"/>
  <c r="D148" i="6" s="1"/>
  <c r="C594" i="6"/>
  <c r="D594" i="6" s="1" a="1"/>
  <c r="D594" i="6" s="1"/>
  <c r="C713" i="6"/>
  <c r="D713" i="6" s="1" a="1"/>
  <c r="D713" i="6" s="1"/>
  <c r="C533" i="6"/>
  <c r="D533" i="6" s="1" a="1"/>
  <c r="D533" i="6" s="1"/>
  <c r="C7" i="6"/>
  <c r="D7" i="6" s="1" a="1"/>
  <c r="D7" i="6" s="1"/>
  <c r="C614" i="6"/>
  <c r="D614" i="6" s="1" a="1"/>
  <c r="D614" i="6" s="1"/>
  <c r="C615" i="6"/>
  <c r="D615" i="6" s="1" a="1"/>
  <c r="D615" i="6" s="1"/>
  <c r="C386" i="6"/>
  <c r="D386" i="6" s="1" a="1"/>
  <c r="D386" i="6" s="1"/>
  <c r="C149" i="6"/>
  <c r="D149" i="6" s="1" a="1"/>
  <c r="D149" i="6" s="1"/>
  <c r="C500" i="6"/>
  <c r="D500" i="6" s="1" a="1"/>
  <c r="D500" i="6" s="1"/>
  <c r="C829" i="6"/>
  <c r="D829" i="6" s="1" a="1"/>
  <c r="D829" i="6" s="1"/>
  <c r="C309" i="6"/>
  <c r="D309" i="6" s="1" a="1"/>
  <c r="D309" i="6" s="1"/>
  <c r="C8" i="6"/>
  <c r="D8" i="6" s="1" a="1"/>
  <c r="D8" i="6" s="1"/>
  <c r="C667" i="6"/>
  <c r="D667" i="6" s="1" a="1"/>
  <c r="D667" i="6" s="1"/>
  <c r="C150" i="6"/>
  <c r="D150" i="6" s="1" a="1"/>
  <c r="D150" i="6" s="1"/>
  <c r="C714" i="6"/>
  <c r="D714" i="6" s="1" a="1"/>
  <c r="D714" i="6" s="1"/>
  <c r="C616" i="6"/>
  <c r="D616" i="6" s="1" a="1"/>
  <c r="D616" i="6" s="1"/>
  <c r="C501" i="6"/>
  <c r="D501" i="6" s="1" a="1"/>
  <c r="D501" i="6" s="1"/>
  <c r="C830" i="6"/>
  <c r="D830" i="6" s="1" a="1"/>
  <c r="D830" i="6" s="1"/>
  <c r="C249" i="6"/>
  <c r="D249" i="6" s="1" a="1"/>
  <c r="D249" i="6" s="1"/>
  <c r="C796" i="6"/>
  <c r="D796" i="6" s="1" a="1"/>
  <c r="D796" i="6" s="1"/>
  <c r="C797" i="6"/>
  <c r="D797" i="6" s="1" a="1"/>
  <c r="D797" i="6" s="1"/>
  <c r="C617" i="6"/>
  <c r="D617" i="6" s="1" a="1"/>
  <c r="D617" i="6" s="1"/>
  <c r="C886" i="6"/>
  <c r="D886" i="6" s="1" a="1"/>
  <c r="D886" i="6" s="1"/>
  <c r="C387" i="6"/>
  <c r="D387" i="6" s="1" a="1"/>
  <c r="D387" i="6" s="1"/>
  <c r="C920" i="6"/>
  <c r="D920" i="6" s="1" a="1"/>
  <c r="D920" i="6" s="1"/>
  <c r="C9" i="6"/>
  <c r="D9" i="6" s="1" a="1"/>
  <c r="D9" i="6" s="1"/>
  <c r="C798" i="6"/>
  <c r="D798" i="6" s="1" a="1"/>
  <c r="D798" i="6" s="1"/>
  <c r="C310" i="6"/>
  <c r="D310" i="6" s="1" a="1"/>
  <c r="D310" i="6" s="1"/>
  <c r="C67" i="6"/>
  <c r="D67" i="6" s="1" a="1"/>
  <c r="D67" i="6" s="1"/>
  <c r="C214" i="6"/>
  <c r="D214" i="6" s="1" a="1"/>
  <c r="D214" i="6" s="1"/>
  <c r="C450" i="6"/>
  <c r="D450" i="6" s="1" a="1"/>
  <c r="D450" i="6" s="1"/>
  <c r="C10" i="6"/>
  <c r="D10" i="6" s="1" a="1"/>
  <c r="D10" i="6" s="1"/>
  <c r="C388" i="6"/>
  <c r="D388" i="6" s="1" a="1"/>
  <c r="D388" i="6" s="1"/>
  <c r="C250" i="6"/>
  <c r="D250" i="6" s="1" a="1"/>
  <c r="D250" i="6" s="1"/>
  <c r="C595" i="6"/>
  <c r="D595" i="6" s="1" a="1"/>
  <c r="D595" i="6" s="1"/>
  <c r="C151" i="6"/>
  <c r="D151" i="6" s="1" a="1"/>
  <c r="D151" i="6" s="1"/>
  <c r="C644" i="6"/>
  <c r="D644" i="6" s="1" a="1"/>
  <c r="D644" i="6" s="1"/>
  <c r="C152" i="6"/>
  <c r="D152" i="6" s="1" a="1"/>
  <c r="D152" i="6" s="1"/>
  <c r="C68" i="6"/>
  <c r="D68" i="6" s="1" a="1"/>
  <c r="D68" i="6" s="1"/>
  <c r="C69" i="6"/>
  <c r="D69" i="6" s="1" a="1"/>
  <c r="D69" i="6" s="1"/>
  <c r="C153" i="6"/>
  <c r="D153" i="6" s="1" a="1"/>
  <c r="D153" i="6" s="1"/>
  <c r="C502" i="6"/>
  <c r="D502" i="6" s="1" a="1"/>
  <c r="D502" i="6" s="1"/>
  <c r="C389" i="6"/>
  <c r="D389" i="6" s="1" a="1"/>
  <c r="D389" i="6" s="1"/>
  <c r="C645" i="6"/>
  <c r="D645" i="6" s="1" a="1"/>
  <c r="D645" i="6" s="1"/>
  <c r="C390" i="6"/>
  <c r="D390" i="6" s="1" a="1"/>
  <c r="D390" i="6" s="1"/>
  <c r="C715" i="6"/>
  <c r="D715" i="6" s="1" a="1"/>
  <c r="D715" i="6" s="1"/>
  <c r="C831" i="6"/>
  <c r="D831" i="6" s="1" a="1"/>
  <c r="D831" i="6" s="1"/>
  <c r="C858" i="6"/>
  <c r="D858" i="6" s="1" a="1"/>
  <c r="D858" i="6" s="1"/>
  <c r="C351" i="6"/>
  <c r="D351" i="6" s="1" a="1"/>
  <c r="D351" i="6" s="1"/>
  <c r="C832" i="6"/>
  <c r="D832" i="6" s="1" a="1"/>
  <c r="D832" i="6" s="1"/>
  <c r="C154" i="6"/>
  <c r="D154" i="6" s="1" a="1"/>
  <c r="D154" i="6" s="1"/>
  <c r="C352" i="6"/>
  <c r="D352" i="6" s="1" a="1"/>
  <c r="D352" i="6" s="1"/>
  <c r="C155" i="6"/>
  <c r="D155" i="6" s="1" a="1"/>
  <c r="D155" i="6" s="1"/>
  <c r="C534" i="6"/>
  <c r="D534" i="6" s="1" a="1"/>
  <c r="D534" i="6" s="1"/>
  <c r="C535" i="6"/>
  <c r="D535" i="6" s="1" a="1"/>
  <c r="D535" i="6" s="1"/>
  <c r="C716" i="6"/>
  <c r="D716" i="6" s="1" a="1"/>
  <c r="D716" i="6" s="1"/>
  <c r="C353" i="6"/>
  <c r="D353" i="6" s="1" a="1"/>
  <c r="D353" i="6" s="1"/>
  <c r="C156" i="6"/>
  <c r="D156" i="6" s="1" a="1"/>
  <c r="D156" i="6" s="1"/>
  <c r="C618" i="6"/>
  <c r="D618" i="6" s="1" a="1"/>
  <c r="D618" i="6" s="1"/>
  <c r="C536" i="6"/>
  <c r="D536" i="6" s="1" a="1"/>
  <c r="D536" i="6" s="1"/>
  <c r="C70" i="6"/>
  <c r="D70" i="6" s="1" a="1"/>
  <c r="D70" i="6" s="1"/>
  <c r="C503" i="6"/>
  <c r="D503" i="6" s="1" a="1"/>
  <c r="D503" i="6" s="1"/>
  <c r="C717" i="6"/>
  <c r="D717" i="6" s="1" a="1"/>
  <c r="D717" i="6" s="1"/>
  <c r="C619" i="6"/>
  <c r="D619" i="6" s="1" a="1"/>
  <c r="D619" i="6" s="1"/>
  <c r="C103" i="6"/>
  <c r="D103" i="6" s="1" a="1"/>
  <c r="D103" i="6" s="1"/>
  <c r="C718" i="6"/>
  <c r="D718" i="6" s="1" a="1"/>
  <c r="D718" i="6" s="1"/>
  <c r="C668" i="6"/>
  <c r="D668" i="6" s="1" a="1"/>
  <c r="D668" i="6" s="1"/>
  <c r="C311" i="6"/>
  <c r="D311" i="6" s="1" a="1"/>
  <c r="D311" i="6" s="1"/>
  <c r="C859" i="6"/>
  <c r="D859" i="6" s="1" a="1"/>
  <c r="D859" i="6" s="1"/>
  <c r="C451" i="6"/>
  <c r="D451" i="6" s="1" a="1"/>
  <c r="D451" i="6" s="1"/>
  <c r="C887" i="6"/>
  <c r="D887" i="6" s="1" a="1"/>
  <c r="D887" i="6" s="1"/>
  <c r="C391" i="6"/>
  <c r="D391" i="6" s="1" a="1"/>
  <c r="D391" i="6" s="1"/>
  <c r="C392" i="6"/>
  <c r="D392" i="6" s="1" a="1"/>
  <c r="D392" i="6" s="1"/>
  <c r="C537" i="6"/>
  <c r="D537" i="6" s="1" a="1"/>
  <c r="D537" i="6" s="1"/>
  <c r="C833" i="6"/>
  <c r="D833" i="6" s="1" a="1"/>
  <c r="D833" i="6" s="1"/>
  <c r="C538" i="6"/>
  <c r="D538" i="6" s="1" a="1"/>
  <c r="D538" i="6" s="1"/>
  <c r="C799" i="6"/>
  <c r="D799" i="6" s="1" a="1"/>
  <c r="D799" i="6" s="1"/>
  <c r="C921" i="6"/>
  <c r="D921" i="6" s="1" a="1"/>
  <c r="D921" i="6" s="1"/>
  <c r="C504" i="6"/>
  <c r="D504" i="6" s="1" a="1"/>
  <c r="D504" i="6" s="1"/>
  <c r="C251" i="6"/>
  <c r="D251" i="6" s="1" a="1"/>
  <c r="D251" i="6" s="1"/>
  <c r="C505" i="6"/>
  <c r="D505" i="6" s="1" a="1"/>
  <c r="D505" i="6" s="1"/>
  <c r="C719" i="6"/>
  <c r="D719" i="6" s="1" a="1"/>
  <c r="D719" i="6" s="1"/>
  <c r="C539" i="6"/>
  <c r="D539" i="6" s="1" a="1"/>
  <c r="D539" i="6" s="1"/>
  <c r="C922" i="6"/>
  <c r="D922" i="6" s="1" a="1"/>
  <c r="D922" i="6" s="1"/>
  <c r="C540" i="6"/>
  <c r="D540" i="6" s="1" a="1"/>
  <c r="D540" i="6" s="1"/>
  <c r="C71" i="6"/>
  <c r="D71" i="6" s="1" a="1"/>
  <c r="D71" i="6" s="1"/>
  <c r="C720" i="6"/>
  <c r="D720" i="6" s="1" a="1"/>
  <c r="D720" i="6" s="1"/>
  <c r="C923" i="6"/>
  <c r="D923" i="6" s="1" a="1"/>
  <c r="D923" i="6" s="1"/>
  <c r="C888" i="6"/>
  <c r="D888" i="6" s="1" a="1"/>
  <c r="D888" i="6" s="1"/>
  <c r="C393" i="6"/>
  <c r="D393" i="6" s="1" a="1"/>
  <c r="D393" i="6" s="1"/>
  <c r="C860" i="6"/>
  <c r="D860" i="6" s="1" a="1"/>
  <c r="D860" i="6" s="1"/>
  <c r="C541" i="6"/>
  <c r="D541" i="6" s="1" a="1"/>
  <c r="D541" i="6" s="1"/>
  <c r="C834" i="6"/>
  <c r="D834" i="6" s="1" a="1"/>
  <c r="D834" i="6" s="1"/>
  <c r="C394" i="6"/>
  <c r="D394" i="6" s="1" a="1"/>
  <c r="D394" i="6" s="1"/>
  <c r="C11" i="6"/>
  <c r="D11" i="6" s="1" a="1"/>
  <c r="D11" i="6" s="1"/>
  <c r="C452" i="6"/>
  <c r="D452" i="6" s="1" a="1"/>
  <c r="D452" i="6" s="1"/>
  <c r="C395" i="6"/>
  <c r="D395" i="6" s="1" a="1"/>
  <c r="D395" i="6" s="1"/>
  <c r="C396" i="6"/>
  <c r="D396" i="6" s="1" a="1"/>
  <c r="D396" i="6" s="1"/>
  <c r="C721" i="6"/>
  <c r="D721" i="6" s="1" a="1"/>
  <c r="D721" i="6" s="1"/>
  <c r="C861" i="6"/>
  <c r="D861" i="6" s="1" a="1"/>
  <c r="D861" i="6" s="1"/>
  <c r="C862" i="6"/>
  <c r="D862" i="6" s="1" a="1"/>
  <c r="D862" i="6" s="1"/>
  <c r="C889" i="6"/>
  <c r="D889" i="6" s="1" a="1"/>
  <c r="D889" i="6" s="1"/>
  <c r="C646" i="6"/>
  <c r="D646" i="6" s="1" a="1"/>
  <c r="D646" i="6" s="1"/>
  <c r="C596" i="6"/>
  <c r="D596" i="6" s="1" a="1"/>
  <c r="D596" i="6" s="1"/>
  <c r="C890" i="6"/>
  <c r="D890" i="6" s="1" a="1"/>
  <c r="D890" i="6" s="1"/>
  <c r="C157" i="6"/>
  <c r="D157" i="6" s="1" a="1"/>
  <c r="D157" i="6" s="1"/>
  <c r="C12" i="6"/>
  <c r="D12" i="6" s="1" a="1"/>
  <c r="D12" i="6" s="1"/>
  <c r="C13" i="6"/>
  <c r="D13" i="6" s="1" a="1"/>
  <c r="D13" i="6" s="1"/>
  <c r="C104" i="6"/>
  <c r="D104" i="6" s="1" a="1"/>
  <c r="D104" i="6" s="1"/>
  <c r="C506" i="6"/>
  <c r="D506" i="6" s="1" a="1"/>
  <c r="D506" i="6" s="1"/>
  <c r="C215" i="6"/>
  <c r="D215" i="6" s="1" a="1"/>
  <c r="D215" i="6" s="1"/>
  <c r="C397" i="6"/>
  <c r="D397" i="6" s="1" a="1"/>
  <c r="D397" i="6" s="1"/>
  <c r="C158" i="6"/>
  <c r="D158" i="6" s="1" a="1"/>
  <c r="D158" i="6" s="1"/>
  <c r="C72" i="6"/>
  <c r="D72" i="6" s="1" a="1"/>
  <c r="D72" i="6" s="1"/>
  <c r="C252" i="6"/>
  <c r="D252" i="6" s="1" a="1"/>
  <c r="D252" i="6" s="1"/>
  <c r="C597" i="6"/>
  <c r="D597" i="6" s="1" a="1"/>
  <c r="D597" i="6" s="1"/>
  <c r="C647" i="6"/>
  <c r="D647" i="6" s="1" a="1"/>
  <c r="D647" i="6" s="1"/>
  <c r="C542" i="6"/>
  <c r="D542" i="6" s="1" a="1"/>
  <c r="D542" i="6" s="1"/>
  <c r="C669" i="6"/>
  <c r="D669" i="6" s="1" a="1"/>
  <c r="D669" i="6" s="1"/>
  <c r="C543" i="6"/>
  <c r="D543" i="6" s="1" a="1"/>
  <c r="D543" i="6" s="1"/>
  <c r="C105" i="6"/>
  <c r="D105" i="6" s="1" a="1"/>
  <c r="D105" i="6" s="1"/>
  <c r="C507" i="6"/>
  <c r="D507" i="6" s="1" a="1"/>
  <c r="D507" i="6" s="1"/>
  <c r="C354" i="6"/>
  <c r="D354" i="6" s="1" a="1"/>
  <c r="D354" i="6" s="1"/>
  <c r="C620" i="6"/>
  <c r="D620" i="6" s="1" a="1"/>
  <c r="D620" i="6" s="1"/>
  <c r="C453" i="6"/>
  <c r="D453" i="6" s="1" a="1"/>
  <c r="D453" i="6" s="1"/>
  <c r="C621" i="6"/>
  <c r="D621" i="6" s="1" a="1"/>
  <c r="D621" i="6" s="1"/>
  <c r="C159" i="6"/>
  <c r="D159" i="6" s="1" a="1"/>
  <c r="D159" i="6" s="1"/>
  <c r="C355" i="6"/>
  <c r="D355" i="6" s="1" a="1"/>
  <c r="D355" i="6" s="1"/>
  <c r="C891" i="6"/>
  <c r="D891" i="6" s="1" a="1"/>
  <c r="D891" i="6" s="1"/>
  <c r="C800" i="6"/>
  <c r="D800" i="6" s="1" a="1"/>
  <c r="D800" i="6" s="1"/>
  <c r="C892" i="6"/>
  <c r="D892" i="6" s="1" a="1"/>
  <c r="D892" i="6" s="1"/>
  <c r="C160" i="6"/>
  <c r="D160" i="6" s="1" a="1"/>
  <c r="D160" i="6" s="1"/>
  <c r="C722" i="6"/>
  <c r="D722" i="6" s="1" a="1"/>
  <c r="D722" i="6" s="1"/>
  <c r="C544" i="6"/>
  <c r="D544" i="6" s="1" a="1"/>
  <c r="D544" i="6" s="1"/>
  <c r="C723" i="6"/>
  <c r="D723" i="6" s="1" a="1"/>
  <c r="D723" i="6" s="1"/>
  <c r="C14" i="6"/>
  <c r="D14" i="6" s="1" a="1"/>
  <c r="D14" i="6" s="1"/>
  <c r="C598" i="6"/>
  <c r="D598" i="6" s="1" a="1"/>
  <c r="D598" i="6" s="1"/>
  <c r="C216" i="6"/>
  <c r="D216" i="6" s="1" a="1"/>
  <c r="D216" i="6" s="1"/>
  <c r="C863" i="6"/>
  <c r="D863" i="6" s="1" a="1"/>
  <c r="D863" i="6" s="1"/>
  <c r="C835" i="6"/>
  <c r="D835" i="6" s="1" a="1"/>
  <c r="D835" i="6" s="1"/>
  <c r="C253" i="6"/>
  <c r="D253" i="6" s="1" a="1"/>
  <c r="D253" i="6" s="1"/>
  <c r="C924" i="6"/>
  <c r="D924" i="6" s="1" a="1"/>
  <c r="D924" i="6" s="1"/>
  <c r="C161" i="6"/>
  <c r="D161" i="6" s="1" a="1"/>
  <c r="D161" i="6" s="1"/>
  <c r="C599" i="6"/>
  <c r="D599" i="6" s="1" a="1"/>
  <c r="D599" i="6" s="1"/>
  <c r="C508" i="6"/>
  <c r="D508" i="6" s="1" a="1"/>
  <c r="D508" i="6" s="1"/>
  <c r="C600" i="6"/>
  <c r="D600" i="6" s="1" a="1"/>
  <c r="D600" i="6" s="1"/>
  <c r="C254" i="6"/>
  <c r="D254" i="6" s="1" a="1"/>
  <c r="D254" i="6" s="1"/>
  <c r="C622" i="6"/>
  <c r="D622" i="6" s="1" a="1"/>
  <c r="D622" i="6" s="1"/>
  <c r="C454" i="6"/>
  <c r="D454" i="6" s="1" a="1"/>
  <c r="D454" i="6" s="1"/>
  <c r="C724" i="6"/>
  <c r="D724" i="6" s="1" a="1"/>
  <c r="D724" i="6" s="1"/>
  <c r="C623" i="6"/>
  <c r="D623" i="6" s="1" a="1"/>
  <c r="D623" i="6" s="1"/>
  <c r="C648" i="6"/>
  <c r="D648" i="6" s="1" a="1"/>
  <c r="D648" i="6" s="1"/>
  <c r="C545" i="6"/>
  <c r="D545" i="6" s="1" a="1"/>
  <c r="D545" i="6" s="1"/>
  <c r="C312" i="6"/>
  <c r="D312" i="6" s="1" a="1"/>
  <c r="D312" i="6" s="1"/>
  <c r="C162" i="6"/>
  <c r="D162" i="6" s="1" a="1"/>
  <c r="D162" i="6" s="1"/>
  <c r="C15" i="6"/>
  <c r="D15" i="6" s="1" a="1"/>
  <c r="D15" i="6" s="1"/>
  <c r="C925" i="6"/>
  <c r="D925" i="6" s="1" a="1"/>
  <c r="D925" i="6" s="1"/>
  <c r="C106" i="6"/>
  <c r="D106" i="6" s="1" a="1"/>
  <c r="D106" i="6" s="1"/>
  <c r="C670" i="6"/>
  <c r="D670" i="6" s="1" a="1"/>
  <c r="D670" i="6" s="1"/>
  <c r="C398" i="6"/>
  <c r="D398" i="6" s="1" a="1"/>
  <c r="D398" i="6" s="1"/>
  <c r="C801" i="6"/>
  <c r="D801" i="6" s="1" a="1"/>
  <c r="D801" i="6" s="1"/>
  <c r="C399" i="6"/>
  <c r="D399" i="6" s="1" a="1"/>
  <c r="D399" i="6" s="1"/>
  <c r="C836" i="6"/>
  <c r="D836" i="6" s="1" a="1"/>
  <c r="D836" i="6" s="1"/>
  <c r="C893" i="6"/>
  <c r="D893" i="6" s="1" a="1"/>
  <c r="D893" i="6" s="1"/>
  <c r="C107" i="6"/>
  <c r="D107" i="6" s="1" a="1"/>
  <c r="D107" i="6" s="1"/>
  <c r="C400" i="6"/>
  <c r="D400" i="6" s="1" a="1"/>
  <c r="D400" i="6" s="1"/>
  <c r="C401" i="6"/>
  <c r="D401" i="6" s="1" a="1"/>
  <c r="D401" i="6" s="1"/>
  <c r="C837" i="6"/>
  <c r="D837" i="6" s="1" a="1"/>
  <c r="D837" i="6" s="1"/>
  <c r="C402" i="6"/>
  <c r="D402" i="6" s="1" a="1"/>
  <c r="D402" i="6" s="1"/>
  <c r="C255" i="6"/>
  <c r="D255" i="6" s="1" a="1"/>
  <c r="D255" i="6" s="1"/>
  <c r="C601" i="6"/>
  <c r="D601" i="6" s="1" a="1"/>
  <c r="D601" i="6" s="1"/>
  <c r="C802" i="6"/>
  <c r="D802" i="6" s="1" a="1"/>
  <c r="D802" i="6" s="1"/>
  <c r="C256" i="6"/>
  <c r="D256" i="6" s="1" a="1"/>
  <c r="D256" i="6" s="1"/>
  <c r="C257" i="6"/>
  <c r="D257" i="6" s="1" a="1"/>
  <c r="D257" i="6" s="1"/>
  <c r="C108" i="6"/>
  <c r="D108" i="6" s="1" a="1"/>
  <c r="D108" i="6" s="1"/>
  <c r="C546" i="6"/>
  <c r="D546" i="6" s="1" a="1"/>
  <c r="D546" i="6" s="1"/>
  <c r="C624" i="6"/>
  <c r="D624" i="6" s="1" a="1"/>
  <c r="D624" i="6" s="1"/>
  <c r="C864" i="6"/>
  <c r="D864" i="6" s="1" a="1"/>
  <c r="D864" i="6" s="1"/>
  <c r="C725" i="6"/>
  <c r="D725" i="6" s="1" a="1"/>
  <c r="D725" i="6" s="1"/>
  <c r="C726" i="6"/>
  <c r="D726" i="6" s="1" a="1"/>
  <c r="D726" i="6" s="1"/>
  <c r="C109" i="6"/>
  <c r="D109" i="6" s="1" a="1"/>
  <c r="D109" i="6" s="1"/>
  <c r="C509" i="6"/>
  <c r="D509" i="6" s="1" a="1"/>
  <c r="D509" i="6" s="1"/>
  <c r="C258" i="6"/>
  <c r="D258" i="6" s="1" a="1"/>
  <c r="D258" i="6" s="1"/>
  <c r="C110" i="6"/>
  <c r="D110" i="6" s="1" a="1"/>
  <c r="D110" i="6" s="1"/>
  <c r="C547" i="6"/>
  <c r="D547" i="6" s="1" a="1"/>
  <c r="D547" i="6" s="1"/>
  <c r="C727" i="6"/>
  <c r="D727" i="6" s="1" a="1"/>
  <c r="D727" i="6" s="1"/>
  <c r="C671" i="6"/>
  <c r="D671" i="6" s="1" a="1"/>
  <c r="D671" i="6" s="1"/>
  <c r="C838" i="6"/>
  <c r="D838" i="6" s="1" a="1"/>
  <c r="D838" i="6" s="1"/>
  <c r="C649" i="6"/>
  <c r="D649" i="6" s="1" a="1"/>
  <c r="D649" i="6" s="1"/>
  <c r="C455" i="6"/>
  <c r="D455" i="6" s="1" a="1"/>
  <c r="D455" i="6" s="1"/>
  <c r="C163" i="6"/>
  <c r="D163" i="6" s="1" a="1"/>
  <c r="D163" i="6" s="1"/>
  <c r="C259" i="6"/>
  <c r="D259" i="6" s="1" a="1"/>
  <c r="D259" i="6" s="1"/>
  <c r="C356" i="6"/>
  <c r="D356" i="6" s="1" a="1"/>
  <c r="D356" i="6" s="1"/>
  <c r="C16" i="6"/>
  <c r="D16" i="6" s="1" a="1"/>
  <c r="D16" i="6" s="1"/>
  <c r="C17" i="6"/>
  <c r="D17" i="6" s="1" a="1"/>
  <c r="D17" i="6" s="1"/>
  <c r="C164" i="6"/>
  <c r="D164" i="6" s="1" a="1"/>
  <c r="D164" i="6" s="1"/>
  <c r="C510" i="6"/>
  <c r="D510" i="6" s="1" a="1"/>
  <c r="D510" i="6" s="1"/>
  <c r="C260" i="6"/>
  <c r="D260" i="6" s="1" a="1"/>
  <c r="D260" i="6" s="1"/>
  <c r="C625" i="6"/>
  <c r="D625" i="6" s="1" a="1"/>
  <c r="D625" i="6" s="1"/>
  <c r="C803" i="6"/>
  <c r="D803" i="6" s="1" a="1"/>
  <c r="D803" i="6" s="1"/>
  <c r="C865" i="6"/>
  <c r="D865" i="6" s="1" a="1"/>
  <c r="D865" i="6" s="1"/>
  <c r="C73" i="6"/>
  <c r="D73" i="6" s="1" a="1"/>
  <c r="D73" i="6" s="1"/>
  <c r="C111" i="6"/>
  <c r="D111" i="6" s="1" a="1"/>
  <c r="D111" i="6" s="1"/>
  <c r="C728" i="6"/>
  <c r="D728" i="6" s="1" a="1"/>
  <c r="D728" i="6" s="1"/>
  <c r="C729" i="6"/>
  <c r="D729" i="6" s="1" a="1"/>
  <c r="D729" i="6" s="1"/>
  <c r="C74" i="6"/>
  <c r="D74" i="6" s="1" a="1"/>
  <c r="D74" i="6" s="1"/>
  <c r="C804" i="6"/>
  <c r="D804" i="6" s="1" a="1"/>
  <c r="D804" i="6" s="1"/>
  <c r="C18" i="6"/>
  <c r="D18" i="6" s="1" a="1"/>
  <c r="D18" i="6" s="1"/>
  <c r="C626" i="6"/>
  <c r="D626" i="6" s="1" a="1"/>
  <c r="D626" i="6" s="1"/>
  <c r="C548" i="6"/>
  <c r="D548" i="6" s="1" a="1"/>
  <c r="D548" i="6" s="1"/>
  <c r="C19" i="6"/>
  <c r="D19" i="6" s="1" a="1"/>
  <c r="D19" i="6" s="1"/>
  <c r="C894" i="6"/>
  <c r="D894" i="6" s="1" a="1"/>
  <c r="D894" i="6" s="1"/>
  <c r="C261" i="6"/>
  <c r="D261" i="6" s="1" a="1"/>
  <c r="D261" i="6" s="1"/>
  <c r="C926" i="6"/>
  <c r="D926" i="6" s="1" a="1"/>
  <c r="D926" i="6" s="1"/>
  <c r="C75" i="6"/>
  <c r="D75" i="6" s="1" a="1"/>
  <c r="D75" i="6" s="1"/>
  <c r="C262" i="6"/>
  <c r="D262" i="6" s="1" a="1"/>
  <c r="D262" i="6" s="1"/>
  <c r="C549" i="6"/>
  <c r="D549" i="6" s="1" a="1"/>
  <c r="D549" i="6" s="1"/>
  <c r="C456" i="6"/>
  <c r="D456" i="6" s="1" a="1"/>
  <c r="D456" i="6" s="1"/>
  <c r="C313" i="6"/>
  <c r="D313" i="6" s="1" a="1"/>
  <c r="D313" i="6" s="1"/>
  <c r="C672" i="6"/>
  <c r="D672" i="6" s="1" a="1"/>
  <c r="D672" i="6" s="1"/>
  <c r="C650" i="6"/>
  <c r="D650" i="6" s="1" a="1"/>
  <c r="D650" i="6" s="1"/>
  <c r="C730" i="6"/>
  <c r="D730" i="6" s="1" a="1"/>
  <c r="D730" i="6" s="1"/>
  <c r="C217" i="6"/>
  <c r="D217" i="6" s="1" a="1"/>
  <c r="D217" i="6" s="1"/>
  <c r="C550" i="6"/>
  <c r="D550" i="6" s="1" a="1"/>
  <c r="D550" i="6" s="1"/>
  <c r="C218" i="6"/>
  <c r="D218" i="6" s="1" a="1"/>
  <c r="D218" i="6" s="1"/>
  <c r="C627" i="6"/>
  <c r="D627" i="6" s="1" a="1"/>
  <c r="D627" i="6" s="1"/>
  <c r="C357" i="6"/>
  <c r="D357" i="6" s="1" a="1"/>
  <c r="D357" i="6" s="1"/>
  <c r="C839" i="6"/>
  <c r="D839" i="6" s="1" a="1"/>
  <c r="D839" i="6" s="1"/>
  <c r="C76" i="6"/>
  <c r="D76" i="6" s="1" a="1"/>
  <c r="D76" i="6" s="1"/>
  <c r="C403" i="6"/>
  <c r="D403" i="6" s="1" a="1"/>
  <c r="D403" i="6" s="1"/>
  <c r="C404" i="6"/>
  <c r="D404" i="6" s="1" a="1"/>
  <c r="D404" i="6" s="1"/>
  <c r="C805" i="6"/>
  <c r="D805" i="6" s="1" a="1"/>
  <c r="D805" i="6" s="1"/>
  <c r="C806" i="6"/>
  <c r="D806" i="6" s="1" a="1"/>
  <c r="D806" i="6" s="1"/>
  <c r="C731" i="6"/>
  <c r="D731" i="6" s="1" a="1"/>
  <c r="D731" i="6" s="1"/>
  <c r="C405" i="6"/>
  <c r="D405" i="6" s="1" a="1"/>
  <c r="D405" i="6" s="1"/>
  <c r="C551" i="6"/>
  <c r="D551" i="6" s="1" a="1"/>
  <c r="D551" i="6" s="1"/>
  <c r="C112" i="6"/>
  <c r="D112" i="6" s="1" a="1"/>
  <c r="D112" i="6" s="1"/>
  <c r="C807" i="6"/>
  <c r="D807" i="6" s="1" a="1"/>
  <c r="D807" i="6" s="1"/>
  <c r="C511" i="6"/>
  <c r="D511" i="6" s="1" a="1"/>
  <c r="D511" i="6" s="1"/>
  <c r="C457" i="6"/>
  <c r="D457" i="6" s="1" a="1"/>
  <c r="D457" i="6" s="1"/>
  <c r="C20" i="6"/>
  <c r="D20" i="6" s="1" a="1"/>
  <c r="D20" i="6" s="1"/>
  <c r="C165" i="6"/>
  <c r="D165" i="6" s="1" a="1"/>
  <c r="D165" i="6" s="1"/>
  <c r="C651" i="6"/>
  <c r="D651" i="6" s="1" a="1"/>
  <c r="D651" i="6" s="1"/>
  <c r="C512" i="6"/>
  <c r="D512" i="6" s="1" a="1"/>
  <c r="D512" i="6" s="1"/>
  <c r="C458" i="6"/>
  <c r="D458" i="6" s="1" a="1"/>
  <c r="D458" i="6" s="1"/>
  <c r="C459" i="6"/>
  <c r="D459" i="6" s="1" a="1"/>
  <c r="D459" i="6" s="1"/>
  <c r="C460" i="6"/>
  <c r="D460" i="6" s="1" a="1"/>
  <c r="D460" i="6" s="1"/>
  <c r="C113" i="6"/>
  <c r="D113" i="6" s="1" a="1"/>
  <c r="D113" i="6" s="1"/>
  <c r="C314" i="6"/>
  <c r="D314" i="6" s="1" a="1"/>
  <c r="D314" i="6" s="1"/>
  <c r="C166" i="6"/>
  <c r="D166" i="6" s="1" a="1"/>
  <c r="D166" i="6" s="1"/>
  <c r="C732" i="6"/>
  <c r="D732" i="6" s="1" a="1"/>
  <c r="D732" i="6" s="1"/>
  <c r="C114" i="6"/>
  <c r="D114" i="6" s="1" a="1"/>
  <c r="D114" i="6" s="1"/>
  <c r="C315" i="6"/>
  <c r="D315" i="6" s="1" a="1"/>
  <c r="D315" i="6" s="1"/>
  <c r="C461" i="6"/>
  <c r="D461" i="6" s="1" a="1"/>
  <c r="D461" i="6" s="1"/>
  <c r="C406" i="6"/>
  <c r="D406" i="6" s="1" a="1"/>
  <c r="D406" i="6" s="1"/>
  <c r="C808" i="6"/>
  <c r="D808" i="6" s="1" a="1"/>
  <c r="D808" i="6" s="1"/>
  <c r="C840" i="6"/>
  <c r="D840" i="6" s="1" a="1"/>
  <c r="D840" i="6" s="1"/>
  <c r="C733" i="6"/>
  <c r="D733" i="6" s="1" a="1"/>
  <c r="D733" i="6" s="1"/>
  <c r="C628" i="6"/>
  <c r="D628" i="6" s="1" a="1"/>
  <c r="D628" i="6" s="1"/>
  <c r="C167" i="6"/>
  <c r="D167" i="6" s="1" a="1"/>
  <c r="D167" i="6" s="1"/>
  <c r="C21" i="6"/>
  <c r="D21" i="6" s="1" a="1"/>
  <c r="D21" i="6" s="1"/>
  <c r="C734" i="6"/>
  <c r="D734" i="6" s="1" a="1"/>
  <c r="D734" i="6" s="1"/>
  <c r="C735" i="6"/>
  <c r="D735" i="6" s="1" a="1"/>
  <c r="D735" i="6" s="1"/>
  <c r="C22" i="6"/>
  <c r="D22" i="6" s="1" a="1"/>
  <c r="D22" i="6" s="1"/>
  <c r="C736" i="6"/>
  <c r="D736" i="6" s="1" a="1"/>
  <c r="D736" i="6" s="1"/>
  <c r="C629" i="6"/>
  <c r="D629" i="6" s="1" a="1"/>
  <c r="D629" i="6" s="1"/>
  <c r="C841" i="6"/>
  <c r="D841" i="6" s="1" a="1"/>
  <c r="D841" i="6" s="1"/>
  <c r="C927" i="6"/>
  <c r="D927" i="6" s="1" a="1"/>
  <c r="D927" i="6" s="1"/>
  <c r="C168" i="6"/>
  <c r="D168" i="6" s="1" a="1"/>
  <c r="D168" i="6" s="1"/>
  <c r="C552" i="6"/>
  <c r="D552" i="6" s="1" a="1"/>
  <c r="D552" i="6" s="1"/>
  <c r="C553" i="6"/>
  <c r="D553" i="6" s="1" a="1"/>
  <c r="D553" i="6" s="1"/>
  <c r="C462" i="6"/>
  <c r="D462" i="6" s="1" a="1"/>
  <c r="D462" i="6" s="1"/>
  <c r="C169" i="6"/>
  <c r="D169" i="6" s="1" a="1"/>
  <c r="D169" i="6" s="1"/>
  <c r="C463" i="6"/>
  <c r="D463" i="6" s="1" a="1"/>
  <c r="D463" i="6" s="1"/>
  <c r="C737" i="6"/>
  <c r="D737" i="6" s="1" a="1"/>
  <c r="D737" i="6" s="1"/>
  <c r="C554" i="6"/>
  <c r="D554" i="6" s="1" a="1"/>
  <c r="D554" i="6" s="1"/>
  <c r="C23" i="6"/>
  <c r="D23" i="6" s="1" a="1"/>
  <c r="D23" i="6" s="1"/>
  <c r="C263" i="6"/>
  <c r="D263" i="6" s="1" a="1"/>
  <c r="D263" i="6" s="1"/>
  <c r="C77" i="6"/>
  <c r="D77" i="6" s="1" a="1"/>
  <c r="D77" i="6" s="1"/>
  <c r="C78" i="6"/>
  <c r="D78" i="6" s="1" a="1"/>
  <c r="D78" i="6" s="1"/>
  <c r="C928" i="6"/>
  <c r="D928" i="6" s="1" a="1"/>
  <c r="D928" i="6" s="1"/>
  <c r="C115" i="6"/>
  <c r="D115" i="6" s="1" a="1"/>
  <c r="D115" i="6" s="1"/>
  <c r="C555" i="6"/>
  <c r="D555" i="6" s="1" a="1"/>
  <c r="D555" i="6" s="1"/>
  <c r="C556" i="6"/>
  <c r="D556" i="6" s="1" a="1"/>
  <c r="D556" i="6" s="1"/>
  <c r="C170" i="6"/>
  <c r="D170" i="6" s="1" a="1"/>
  <c r="D170" i="6" s="1"/>
  <c r="C557" i="6"/>
  <c r="D557" i="6" s="1" a="1"/>
  <c r="D557" i="6" s="1"/>
  <c r="C738" i="6"/>
  <c r="D738" i="6" s="1" a="1"/>
  <c r="D738" i="6" s="1"/>
  <c r="C116" i="6"/>
  <c r="D116" i="6" s="1" a="1"/>
  <c r="D116" i="6" s="1"/>
  <c r="C513" i="6"/>
  <c r="D513" i="6" s="1" a="1"/>
  <c r="D513" i="6" s="1"/>
  <c r="C464" i="6"/>
  <c r="D464" i="6" s="1" a="1"/>
  <c r="D464" i="6" s="1"/>
  <c r="C407" i="6"/>
  <c r="D407" i="6" s="1" a="1"/>
  <c r="D407" i="6" s="1"/>
  <c r="C739" i="6"/>
  <c r="D739" i="6" s="1" a="1"/>
  <c r="D739" i="6" s="1"/>
  <c r="C117" i="6"/>
  <c r="D117" i="6" s="1" a="1"/>
  <c r="D117" i="6" s="1"/>
  <c r="C171" i="6"/>
  <c r="D171" i="6" s="1" a="1"/>
  <c r="D171" i="6" s="1"/>
  <c r="C316" i="6"/>
  <c r="D316" i="6" s="1" a="1"/>
  <c r="D316" i="6" s="1"/>
  <c r="C358" i="6"/>
  <c r="D358" i="6" s="1" a="1"/>
  <c r="D358" i="6" s="1"/>
  <c r="C408" i="6"/>
  <c r="D408" i="6" s="1" a="1"/>
  <c r="D408" i="6" s="1"/>
  <c r="C24" i="6"/>
  <c r="D24" i="6" s="1" a="1"/>
  <c r="D24" i="6" s="1"/>
  <c r="C317" i="6"/>
  <c r="D317" i="6" s="1" a="1"/>
  <c r="D317" i="6" s="1"/>
  <c r="C409" i="6"/>
  <c r="D409" i="6" s="1" a="1"/>
  <c r="D409" i="6" s="1"/>
  <c r="C929" i="6"/>
  <c r="D929" i="6" s="1" a="1"/>
  <c r="D929" i="6" s="1"/>
  <c r="C465" i="6"/>
  <c r="D465" i="6" s="1" a="1"/>
  <c r="D465" i="6" s="1"/>
  <c r="C558" i="6"/>
  <c r="D558" i="6" s="1" a="1"/>
  <c r="D558" i="6" s="1"/>
  <c r="C559" i="6"/>
  <c r="D559" i="6" s="1" a="1"/>
  <c r="D559" i="6" s="1"/>
  <c r="C560" i="6"/>
  <c r="D560" i="6" s="1" a="1"/>
  <c r="D560" i="6" s="1"/>
  <c r="C318" i="6"/>
  <c r="D318" i="6" s="1" a="1"/>
  <c r="D318" i="6" s="1"/>
  <c r="C219" i="6"/>
  <c r="D219" i="6" s="1" a="1"/>
  <c r="D219" i="6" s="1"/>
  <c r="C466" i="6"/>
  <c r="D466" i="6" s="1" a="1"/>
  <c r="D466" i="6" s="1"/>
  <c r="C467" i="6"/>
  <c r="D467" i="6" s="1" a="1"/>
  <c r="D467" i="6" s="1"/>
  <c r="C740" i="6"/>
  <c r="D740" i="6" s="1" a="1"/>
  <c r="D740" i="6" s="1"/>
  <c r="C25" i="6"/>
  <c r="D25" i="6" s="1" a="1"/>
  <c r="D25" i="6" s="1"/>
  <c r="C26" i="6"/>
  <c r="D26" i="6" s="1" a="1"/>
  <c r="D26" i="6" s="1"/>
  <c r="C118" i="6"/>
  <c r="D118" i="6" s="1" a="1"/>
  <c r="D118" i="6" s="1"/>
  <c r="C895" i="6"/>
  <c r="D895" i="6" s="1" a="1"/>
  <c r="D895" i="6" s="1"/>
  <c r="C652" i="6"/>
  <c r="D652" i="6" s="1" a="1"/>
  <c r="D652" i="6" s="1"/>
  <c r="C930" i="6"/>
  <c r="D930" i="6" s="1" a="1"/>
  <c r="D930" i="6" s="1"/>
  <c r="C172" i="6"/>
  <c r="D172" i="6" s="1" a="1"/>
  <c r="D172" i="6" s="1"/>
  <c r="C561" i="6"/>
  <c r="D561" i="6" s="1" a="1"/>
  <c r="D561" i="6" s="1"/>
  <c r="C319" i="6"/>
  <c r="D319" i="6" s="1" a="1"/>
  <c r="D319" i="6" s="1"/>
  <c r="C562" i="6"/>
  <c r="D562" i="6" s="1" a="1"/>
  <c r="D562" i="6" s="1"/>
  <c r="C809" i="6"/>
  <c r="D809" i="6" s="1" a="1"/>
  <c r="D809" i="6" s="1"/>
  <c r="C27" i="6"/>
  <c r="D27" i="6" s="1" a="1"/>
  <c r="D27" i="6" s="1"/>
  <c r="C320" i="6"/>
  <c r="D320" i="6" s="1" a="1"/>
  <c r="D320" i="6" s="1"/>
  <c r="C119" i="6"/>
  <c r="D119" i="6" s="1" a="1"/>
  <c r="D119" i="6" s="1"/>
  <c r="C173" i="6"/>
  <c r="D173" i="6" s="1" a="1"/>
  <c r="D173" i="6" s="1"/>
  <c r="C174" i="6"/>
  <c r="D174" i="6" s="1" a="1"/>
  <c r="D174" i="6" s="1"/>
  <c r="C931" i="6"/>
  <c r="D931" i="6" s="1" a="1"/>
  <c r="D931" i="6" s="1"/>
  <c r="C514" i="6"/>
  <c r="D514" i="6" s="1" a="1"/>
  <c r="D514" i="6" s="1"/>
  <c r="C896" i="6"/>
  <c r="D896" i="6" s="1" a="1"/>
  <c r="D896" i="6" s="1"/>
  <c r="C175" i="6"/>
  <c r="D175" i="6" s="1" a="1"/>
  <c r="D175" i="6" s="1"/>
  <c r="C866" i="6"/>
  <c r="D866" i="6" s="1" a="1"/>
  <c r="D866" i="6" s="1"/>
  <c r="C468" i="6"/>
  <c r="D468" i="6" s="1" a="1"/>
  <c r="D468" i="6" s="1"/>
  <c r="C741" i="6"/>
  <c r="D741" i="6" s="1" a="1"/>
  <c r="D741" i="6" s="1"/>
  <c r="C28" i="6"/>
  <c r="D28" i="6" s="1" a="1"/>
  <c r="D28" i="6" s="1"/>
  <c r="C742" i="6"/>
  <c r="D742" i="6" s="1" a="1"/>
  <c r="D742" i="6" s="1"/>
  <c r="C630" i="6"/>
  <c r="D630" i="6" s="1" a="1"/>
  <c r="D630" i="6" s="1"/>
  <c r="C176" i="6"/>
  <c r="D176" i="6" s="1" a="1"/>
  <c r="D176" i="6" s="1"/>
  <c r="C469" i="6"/>
  <c r="D469" i="6" s="1" a="1"/>
  <c r="D469" i="6" s="1"/>
  <c r="C673" i="6"/>
  <c r="D673" i="6" s="1" a="1"/>
  <c r="D673" i="6" s="1"/>
  <c r="C410" i="6"/>
  <c r="D410" i="6" s="1" a="1"/>
  <c r="D410" i="6" s="1"/>
  <c r="C120" i="6"/>
  <c r="D120" i="6" s="1" a="1"/>
  <c r="D120" i="6" s="1"/>
  <c r="C359" i="6"/>
  <c r="D359" i="6" s="1" a="1"/>
  <c r="D359" i="6" s="1"/>
  <c r="C515" i="6"/>
  <c r="D515" i="6" s="1" a="1"/>
  <c r="D515" i="6" s="1"/>
  <c r="C321" i="6"/>
  <c r="D321" i="6" s="1" a="1"/>
  <c r="D321" i="6" s="1"/>
  <c r="C264" i="6"/>
  <c r="D264" i="6" s="1" a="1"/>
  <c r="D264" i="6" s="1"/>
  <c r="C842" i="6"/>
  <c r="D842" i="6" s="1" a="1"/>
  <c r="D842" i="6" s="1"/>
  <c r="C743" i="6"/>
  <c r="D743" i="6" s="1" a="1"/>
  <c r="D743" i="6" s="1"/>
  <c r="C897" i="6"/>
  <c r="D897" i="6" s="1" a="1"/>
  <c r="D897" i="6" s="1"/>
  <c r="C121" i="6"/>
  <c r="D121" i="6" s="1" a="1"/>
  <c r="D121" i="6" s="1"/>
  <c r="C411" i="6"/>
  <c r="D411" i="6" s="1" a="1"/>
  <c r="D411" i="6" s="1"/>
  <c r="C843" i="6"/>
  <c r="D843" i="6" s="1" a="1"/>
  <c r="D843" i="6" s="1"/>
  <c r="C744" i="6"/>
  <c r="D744" i="6" s="1" a="1"/>
  <c r="D744" i="6" s="1"/>
  <c r="C470" i="6"/>
  <c r="D470" i="6" s="1" a="1"/>
  <c r="D470" i="6" s="1"/>
  <c r="C265" i="6"/>
  <c r="D265" i="6" s="1" a="1"/>
  <c r="D265" i="6" s="1"/>
  <c r="C867" i="6"/>
  <c r="D867" i="6" s="1" a="1"/>
  <c r="D867" i="6" s="1"/>
  <c r="C412" i="6"/>
  <c r="D412" i="6" s="1" a="1"/>
  <c r="D412" i="6" s="1"/>
  <c r="C220" i="6"/>
  <c r="D220" i="6" s="1" a="1"/>
  <c r="D220" i="6" s="1"/>
  <c r="C745" i="6"/>
  <c r="D745" i="6" s="1" a="1"/>
  <c r="D745" i="6" s="1"/>
  <c r="C29" i="6"/>
  <c r="D29" i="6" s="1" a="1"/>
  <c r="D29" i="6" s="1"/>
  <c r="C266" i="6"/>
  <c r="D266" i="6" s="1" a="1"/>
  <c r="D266" i="6" s="1"/>
  <c r="C844" i="6"/>
  <c r="D844" i="6" s="1" a="1"/>
  <c r="D844" i="6" s="1"/>
  <c r="C674" i="6"/>
  <c r="D674" i="6" s="1" a="1"/>
  <c r="D674" i="6" s="1"/>
  <c r="C746" i="6"/>
  <c r="D746" i="6" s="1" a="1"/>
  <c r="D746" i="6" s="1"/>
  <c r="C267" i="6"/>
  <c r="D267" i="6" s="1" a="1"/>
  <c r="D267" i="6" s="1"/>
  <c r="C675" i="6"/>
  <c r="D675" i="6" s="1" a="1"/>
  <c r="D675" i="6" s="1"/>
  <c r="C413" i="6"/>
  <c r="D413" i="6" s="1" a="1"/>
  <c r="D413" i="6" s="1"/>
  <c r="C30" i="6"/>
  <c r="D30" i="6" s="1" a="1"/>
  <c r="D30" i="6" s="1"/>
  <c r="C563" i="6"/>
  <c r="D563" i="6" s="1" a="1"/>
  <c r="D563" i="6" s="1"/>
  <c r="C177" i="6"/>
  <c r="D177" i="6" s="1" a="1"/>
  <c r="D177" i="6" s="1"/>
  <c r="C471" i="6"/>
  <c r="D471" i="6" s="1" a="1"/>
  <c r="D471" i="6" s="1"/>
  <c r="C898" i="6"/>
  <c r="D898" i="6" s="1" a="1"/>
  <c r="D898" i="6" s="1"/>
  <c r="C268" i="6"/>
  <c r="D268" i="6" s="1" a="1"/>
  <c r="D268" i="6" s="1"/>
  <c r="C31" i="6"/>
  <c r="D31" i="6" s="1" a="1"/>
  <c r="D31" i="6" s="1"/>
  <c r="C360" i="6"/>
  <c r="D360" i="6" s="1" a="1"/>
  <c r="D360" i="6" s="1"/>
  <c r="C269" i="6"/>
  <c r="D269" i="6" s="1" a="1"/>
  <c r="D269" i="6" s="1"/>
  <c r="C747" i="6"/>
  <c r="D747" i="6" s="1" a="1"/>
  <c r="D747" i="6" s="1"/>
  <c r="C748" i="6"/>
  <c r="D748" i="6" s="1" a="1"/>
  <c r="D748" i="6" s="1"/>
  <c r="C322" i="6"/>
  <c r="D322" i="6" s="1" a="1"/>
  <c r="D322" i="6" s="1"/>
  <c r="C79" i="6"/>
  <c r="D79" i="6" s="1" a="1"/>
  <c r="D79" i="6" s="1"/>
  <c r="C361" i="6"/>
  <c r="D361" i="6" s="1" a="1"/>
  <c r="D361" i="6" s="1"/>
  <c r="C564" i="6"/>
  <c r="D564" i="6" s="1" a="1"/>
  <c r="D564" i="6" s="1"/>
  <c r="C810" i="6"/>
  <c r="D810" i="6" s="1" a="1"/>
  <c r="D810" i="6" s="1"/>
  <c r="C414" i="6"/>
  <c r="D414" i="6" s="1" a="1"/>
  <c r="D414" i="6" s="1"/>
  <c r="C80" i="6"/>
  <c r="D80" i="6" s="1" a="1"/>
  <c r="D80" i="6" s="1"/>
  <c r="C811" i="6"/>
  <c r="D811" i="6" s="1" a="1"/>
  <c r="D811" i="6" s="1"/>
  <c r="C868" i="6"/>
  <c r="D868" i="6" s="1" a="1"/>
  <c r="D868" i="6" s="1"/>
  <c r="C178" i="6"/>
  <c r="D178" i="6" s="1" a="1"/>
  <c r="D178" i="6" s="1"/>
  <c r="C676" i="6"/>
  <c r="D676" i="6" s="1" a="1"/>
  <c r="D676" i="6" s="1"/>
  <c r="C677" i="6"/>
  <c r="D677" i="6" s="1" a="1"/>
  <c r="D677" i="6" s="1"/>
  <c r="C323" i="6"/>
  <c r="D323" i="6" s="1" a="1"/>
  <c r="D323" i="6" s="1"/>
  <c r="C749" i="6"/>
  <c r="D749" i="6" s="1" a="1"/>
  <c r="D749" i="6" s="1"/>
  <c r="C324" i="6"/>
  <c r="D324" i="6" s="1" a="1"/>
  <c r="D324" i="6" s="1"/>
  <c r="C602" i="6"/>
  <c r="D602" i="6" s="1" a="1"/>
  <c r="D602" i="6" s="1"/>
  <c r="C932" i="6"/>
  <c r="D932" i="6" s="1" a="1"/>
  <c r="D932" i="6" s="1"/>
  <c r="C899" i="6"/>
  <c r="D899" i="6" s="1" a="1"/>
  <c r="D899" i="6" s="1"/>
  <c r="C270" i="6"/>
  <c r="D270" i="6" s="1" a="1"/>
  <c r="D270" i="6" s="1"/>
  <c r="C271" i="6"/>
  <c r="D271" i="6" s="1" a="1"/>
  <c r="D271" i="6" s="1"/>
  <c r="C678" i="6"/>
  <c r="D678" i="6" s="1" a="1"/>
  <c r="D678" i="6" s="1"/>
  <c r="C81" i="6"/>
  <c r="D81" i="6" s="1" a="1"/>
  <c r="D81" i="6" s="1"/>
  <c r="C812" i="6"/>
  <c r="D812" i="6" s="1" a="1"/>
  <c r="D812" i="6" s="1"/>
  <c r="C565" i="6"/>
  <c r="D565" i="6" s="1" a="1"/>
  <c r="D565" i="6" s="1"/>
  <c r="C272" i="6"/>
  <c r="D272" i="6" s="1" a="1"/>
  <c r="D272" i="6" s="1"/>
  <c r="C750" i="6"/>
  <c r="D750" i="6" s="1" a="1"/>
  <c r="D750" i="6" s="1"/>
  <c r="C32" i="6"/>
  <c r="D32" i="6" s="1" a="1"/>
  <c r="D32" i="6" s="1"/>
  <c r="C325" i="6"/>
  <c r="D325" i="6" s="1" a="1"/>
  <c r="D325" i="6" s="1"/>
  <c r="C933" i="6"/>
  <c r="D933" i="6" s="1" a="1"/>
  <c r="D933" i="6" s="1"/>
  <c r="C566" i="6"/>
  <c r="D566" i="6" s="1" a="1"/>
  <c r="D566" i="6" s="1"/>
  <c r="C362" i="6"/>
  <c r="D362" i="6" s="1" a="1"/>
  <c r="D362" i="6" s="1"/>
  <c r="C567" i="6"/>
  <c r="D567" i="6" s="1" a="1"/>
  <c r="D567" i="6" s="1"/>
  <c r="C363" i="6"/>
  <c r="D363" i="6" s="1" a="1"/>
  <c r="D363" i="6" s="1"/>
  <c r="C33" i="6"/>
  <c r="D33" i="6" s="1" a="1"/>
  <c r="D33" i="6" s="1"/>
  <c r="C179" i="6"/>
  <c r="D179" i="6" s="1" a="1"/>
  <c r="D179" i="6" s="1"/>
  <c r="C472" i="6"/>
  <c r="D472" i="6" s="1" a="1"/>
  <c r="D472" i="6" s="1"/>
  <c r="C82" i="6"/>
  <c r="D82" i="6" s="1" a="1"/>
  <c r="D82" i="6" s="1"/>
  <c r="C122" i="6"/>
  <c r="D122" i="6" s="1" a="1"/>
  <c r="D122" i="6" s="1"/>
  <c r="C34" i="6"/>
  <c r="D34" i="6" s="1" a="1"/>
  <c r="D34" i="6" s="1"/>
  <c r="C679" i="6"/>
  <c r="D679" i="6" s="1" a="1"/>
  <c r="D679" i="6" s="1"/>
  <c r="C326" i="6"/>
  <c r="D326" i="6" s="1" a="1"/>
  <c r="D326" i="6" s="1"/>
  <c r="C221" i="6"/>
  <c r="D221" i="6" s="1" a="1"/>
  <c r="D221" i="6" s="1"/>
  <c r="C180" i="6"/>
  <c r="D180" i="6" s="1" a="1"/>
  <c r="D180" i="6" s="1"/>
  <c r="C123" i="6"/>
  <c r="D123" i="6" s="1" a="1"/>
  <c r="D123" i="6" s="1"/>
  <c r="C415" i="6"/>
  <c r="D415" i="6" s="1" a="1"/>
  <c r="D415" i="6" s="1"/>
  <c r="C181" i="6"/>
  <c r="D181" i="6" s="1" a="1"/>
  <c r="D181" i="6" s="1"/>
  <c r="C568" i="6"/>
  <c r="D568" i="6" s="1" a="1"/>
  <c r="D568" i="6" s="1"/>
  <c r="C273" i="6"/>
  <c r="D273" i="6" s="1" a="1"/>
  <c r="D273" i="6" s="1"/>
  <c r="C934" i="6"/>
  <c r="D934" i="6" s="1" a="1"/>
  <c r="D934" i="6" s="1"/>
  <c r="C327" i="6"/>
  <c r="D327" i="6" s="1" a="1"/>
  <c r="D327" i="6" s="1"/>
  <c r="C751" i="6"/>
  <c r="D751" i="6" s="1" a="1"/>
  <c r="D751" i="6" s="1"/>
  <c r="C900" i="6"/>
  <c r="D900" i="6" s="1" a="1"/>
  <c r="D900" i="6" s="1"/>
  <c r="C869" i="6"/>
  <c r="D869" i="6" s="1" a="1"/>
  <c r="D869" i="6" s="1"/>
  <c r="C752" i="6"/>
  <c r="D752" i="6" s="1" a="1"/>
  <c r="D752" i="6" s="1"/>
  <c r="C364" i="6"/>
  <c r="D364" i="6" s="1" a="1"/>
  <c r="D364" i="6" s="1"/>
  <c r="C124" i="6"/>
  <c r="D124" i="6" s="1" a="1"/>
  <c r="D124" i="6" s="1"/>
  <c r="C603" i="6"/>
  <c r="D603" i="6" s="1" a="1"/>
  <c r="D603" i="6" s="1"/>
  <c r="C473" i="6"/>
  <c r="D473" i="6" s="1" a="1"/>
  <c r="D473" i="6" s="1"/>
  <c r="C653" i="6"/>
  <c r="D653" i="6" s="1" a="1"/>
  <c r="D653" i="6" s="1"/>
  <c r="C654" i="6"/>
  <c r="D654" i="6" s="1" a="1"/>
  <c r="D654" i="6" s="1"/>
  <c r="C680" i="6"/>
  <c r="D680" i="6" s="1" a="1"/>
  <c r="D680" i="6" s="1"/>
  <c r="C753" i="6"/>
  <c r="D753" i="6" s="1" a="1"/>
  <c r="D753" i="6" s="1"/>
  <c r="C631" i="6"/>
  <c r="D631" i="6" s="1" a="1"/>
  <c r="D631" i="6" s="1"/>
  <c r="C182" i="6"/>
  <c r="D182" i="6" s="1" a="1"/>
  <c r="D182" i="6" s="1"/>
  <c r="C83" i="6"/>
  <c r="D83" i="6" s="1" a="1"/>
  <c r="D83" i="6" s="1"/>
  <c r="C569" i="6"/>
  <c r="D569" i="6" s="1" a="1"/>
  <c r="D569" i="6" s="1"/>
  <c r="C125" i="6"/>
  <c r="D125" i="6" s="1" a="1"/>
  <c r="D125" i="6" s="1"/>
  <c r="C222" i="6"/>
  <c r="D222" i="6" s="1" a="1"/>
  <c r="D222" i="6" s="1"/>
  <c r="C126" i="6"/>
  <c r="D126" i="6" s="1" a="1"/>
  <c r="D126" i="6" s="1"/>
  <c r="C570" i="6"/>
  <c r="D570" i="6" s="1" a="1"/>
  <c r="D570" i="6" s="1"/>
  <c r="C632" i="6"/>
  <c r="D632" i="6" s="1" a="1"/>
  <c r="D632" i="6" s="1"/>
  <c r="C84" i="6"/>
  <c r="D84" i="6" s="1" a="1"/>
  <c r="D84" i="6" s="1"/>
  <c r="C183" i="6"/>
  <c r="D183" i="6" s="1" a="1"/>
  <c r="D183" i="6" s="1"/>
  <c r="C681" i="6"/>
  <c r="D681" i="6" s="1" a="1"/>
  <c r="D681" i="6" s="1"/>
  <c r="C633" i="6"/>
  <c r="D633" i="6" s="1" a="1"/>
  <c r="D633" i="6" s="1"/>
  <c r="C328" i="6"/>
  <c r="D328" i="6" s="1" a="1"/>
  <c r="D328" i="6" s="1"/>
  <c r="C274" i="6"/>
  <c r="D274" i="6" s="1" a="1"/>
  <c r="D274" i="6" s="1"/>
  <c r="C416" i="6"/>
  <c r="D416" i="6" s="1" a="1"/>
  <c r="D416" i="6" s="1"/>
  <c r="C754" i="6"/>
  <c r="D754" i="6" s="1" a="1"/>
  <c r="D754" i="6" s="1"/>
  <c r="C35" i="6"/>
  <c r="D35" i="6" s="1" a="1"/>
  <c r="D35" i="6" s="1"/>
  <c r="C571" i="6"/>
  <c r="D571" i="6" s="1" a="1"/>
  <c r="D571" i="6" s="1"/>
  <c r="C474" i="6"/>
  <c r="D474" i="6" s="1" a="1"/>
  <c r="D474" i="6" s="1"/>
  <c r="C516" i="6"/>
  <c r="D516" i="6" s="1" a="1"/>
  <c r="D516" i="6" s="1"/>
  <c r="C901" i="6"/>
  <c r="D901" i="6" s="1" a="1"/>
  <c r="D901" i="6" s="1"/>
  <c r="C813" i="6"/>
  <c r="D813" i="6" s="1" a="1"/>
  <c r="D813" i="6" s="1"/>
  <c r="C36" i="6"/>
  <c r="D36" i="6" s="1" a="1"/>
  <c r="D36" i="6" s="1"/>
  <c r="C85" i="6"/>
  <c r="D85" i="6" s="1" a="1"/>
  <c r="D85" i="6" s="1"/>
  <c r="C902" i="6"/>
  <c r="D902" i="6" s="1" a="1"/>
  <c r="D902" i="6" s="1"/>
  <c r="C814" i="6"/>
  <c r="D814" i="6" s="1" a="1"/>
  <c r="D814" i="6" s="1"/>
  <c r="C755" i="6"/>
  <c r="D755" i="6" s="1" a="1"/>
  <c r="D755" i="6" s="1"/>
  <c r="C903" i="6"/>
  <c r="D903" i="6" s="1" a="1"/>
  <c r="D903" i="6" s="1"/>
  <c r="C682" i="6"/>
  <c r="D682" i="6" s="1" a="1"/>
  <c r="D682" i="6" s="1"/>
  <c r="C365" i="6"/>
  <c r="D365" i="6" s="1" a="1"/>
  <c r="D365" i="6" s="1"/>
  <c r="C870" i="6"/>
  <c r="D870" i="6" s="1" a="1"/>
  <c r="D870" i="6" s="1"/>
  <c r="C127" i="6"/>
  <c r="D127" i="6" s="1" a="1"/>
  <c r="D127" i="6" s="1"/>
  <c r="C128" i="6"/>
  <c r="D128" i="6" s="1" a="1"/>
  <c r="D128" i="6" s="1"/>
  <c r="C275" i="6"/>
  <c r="D275" i="6" s="1" a="1"/>
  <c r="D275" i="6" s="1"/>
  <c r="C184" i="6"/>
  <c r="D184" i="6" s="1" a="1"/>
  <c r="D184" i="6" s="1"/>
  <c r="C129" i="6"/>
  <c r="D129" i="6" s="1" a="1"/>
  <c r="D129" i="6" s="1"/>
  <c r="C475" i="6"/>
  <c r="D475" i="6" s="1" a="1"/>
  <c r="D475" i="6" s="1"/>
  <c r="C185" i="6"/>
  <c r="D185" i="6" s="1" a="1"/>
  <c r="D185" i="6" s="1"/>
  <c r="C130" i="6"/>
  <c r="D130" i="6" s="1" a="1"/>
  <c r="D130" i="6" s="1"/>
  <c r="C655" i="6"/>
  <c r="D655" i="6" s="1" a="1"/>
  <c r="D655" i="6" s="1"/>
  <c r="C276" i="6"/>
  <c r="D276" i="6" s="1" a="1"/>
  <c r="D276" i="6" s="1"/>
  <c r="C329" i="6"/>
  <c r="D329" i="6" s="1" a="1"/>
  <c r="D329" i="6" s="1"/>
  <c r="C656" i="6"/>
  <c r="D656" i="6" s="1" a="1"/>
  <c r="D656" i="6" s="1"/>
  <c r="C223" i="6"/>
  <c r="D223" i="6" s="1" a="1"/>
  <c r="D223" i="6" s="1"/>
  <c r="C756" i="6"/>
  <c r="D756" i="6" s="1" a="1"/>
  <c r="D756" i="6" s="1"/>
  <c r="C37" i="6"/>
  <c r="D37" i="6" s="1" a="1"/>
  <c r="D37" i="6" s="1"/>
  <c r="C330" i="6"/>
  <c r="D330" i="6" s="1" a="1"/>
  <c r="D330" i="6" s="1"/>
  <c r="C757" i="6"/>
  <c r="D757" i="6" s="1" a="1"/>
  <c r="D757" i="6" s="1"/>
  <c r="C517" i="6"/>
  <c r="D517" i="6" s="1" a="1"/>
  <c r="D517" i="6" s="1"/>
  <c r="C518" i="6"/>
  <c r="D518" i="6" s="1" a="1"/>
  <c r="D518" i="6" s="1"/>
  <c r="C224" i="6"/>
  <c r="D224" i="6" s="1" a="1"/>
  <c r="D224" i="6" s="1"/>
  <c r="C476" i="6"/>
  <c r="D476" i="6" s="1" a="1"/>
  <c r="D476" i="6" s="1"/>
  <c r="C477" i="6"/>
  <c r="D477" i="6" s="1" a="1"/>
  <c r="D477" i="6" s="1"/>
  <c r="C758" i="6"/>
  <c r="D758" i="6" s="1" a="1"/>
  <c r="D758" i="6" s="1"/>
  <c r="C86" i="6"/>
  <c r="D86" i="6" s="1" a="1"/>
  <c r="D86" i="6" s="1"/>
  <c r="C277" i="6"/>
  <c r="D277" i="6" s="1" a="1"/>
  <c r="D277" i="6" s="1"/>
  <c r="C38" i="6"/>
  <c r="D38" i="6" s="1" a="1"/>
  <c r="D38" i="6" s="1"/>
  <c r="C904" i="6"/>
  <c r="D904" i="6" s="1" a="1"/>
  <c r="D904" i="6" s="1"/>
  <c r="C871" i="6"/>
  <c r="D871" i="6" s="1" a="1"/>
  <c r="D871" i="6" s="1"/>
  <c r="C683" i="6"/>
  <c r="D683" i="6" s="1" a="1"/>
  <c r="D683" i="6" s="1"/>
  <c r="C478" i="6"/>
  <c r="D478" i="6" s="1" a="1"/>
  <c r="D478" i="6" s="1"/>
  <c r="C572" i="6"/>
  <c r="D572" i="6" s="1" a="1"/>
  <c r="D572" i="6" s="1"/>
  <c r="C366" i="6"/>
  <c r="D366" i="6" s="1" a="1"/>
  <c r="D366" i="6" s="1"/>
  <c r="C87" i="6"/>
  <c r="D87" i="6" s="1" a="1"/>
  <c r="D87" i="6" s="1"/>
  <c r="C759" i="6"/>
  <c r="D759" i="6" s="1" a="1"/>
  <c r="D759" i="6" s="1"/>
  <c r="C331" i="6"/>
  <c r="D331" i="6" s="1" a="1"/>
  <c r="D331" i="6" s="1"/>
  <c r="C604" i="6"/>
  <c r="D604" i="6" s="1" a="1"/>
  <c r="D604" i="6" s="1"/>
  <c r="C905" i="6"/>
  <c r="D905" i="6" s="1" a="1"/>
  <c r="D905" i="6" s="1"/>
  <c r="C479" i="6"/>
  <c r="D479" i="6" s="1" a="1"/>
  <c r="D479" i="6" s="1"/>
  <c r="C760" i="6"/>
  <c r="D760" i="6" s="1" a="1"/>
  <c r="D760" i="6" s="1"/>
  <c r="C657" i="6"/>
  <c r="D657" i="6" s="1" a="1"/>
  <c r="D657" i="6" s="1"/>
  <c r="C658" i="6"/>
  <c r="D658" i="6" s="1" a="1"/>
  <c r="D658" i="6" s="1"/>
  <c r="C332" i="6"/>
  <c r="D332" i="6" s="1" a="1"/>
  <c r="D332" i="6" s="1"/>
  <c r="C761" i="6"/>
  <c r="D761" i="6" s="1" a="1"/>
  <c r="D761" i="6" s="1"/>
  <c r="C605" i="6"/>
  <c r="D605" i="6" s="1" a="1"/>
  <c r="D605" i="6" s="1"/>
  <c r="C519" i="6"/>
  <c r="D519" i="6" s="1" a="1"/>
  <c r="D519" i="6" s="1"/>
  <c r="C278" i="6"/>
  <c r="D278" i="6" s="1" a="1"/>
  <c r="D278" i="6" s="1"/>
  <c r="C367" i="6"/>
  <c r="D367" i="6" s="1" a="1"/>
  <c r="D367" i="6" s="1"/>
  <c r="C333" i="6"/>
  <c r="D333" i="6" s="1" a="1"/>
  <c r="D333" i="6" s="1"/>
  <c r="C417" i="6"/>
  <c r="D417" i="6" s="1" a="1"/>
  <c r="D417" i="6" s="1"/>
  <c r="C186" i="6"/>
  <c r="D186" i="6" s="1" a="1"/>
  <c r="D186" i="6" s="1"/>
  <c r="C368" i="6"/>
  <c r="D368" i="6" s="1" a="1"/>
  <c r="D368" i="6" s="1"/>
  <c r="C279" i="6"/>
  <c r="D279" i="6" s="1" a="1"/>
  <c r="D279" i="6" s="1"/>
  <c r="C280" i="6"/>
  <c r="D280" i="6" s="1" a="1"/>
  <c r="D280" i="6" s="1"/>
  <c r="C281" i="6"/>
  <c r="D281" i="6" s="1" a="1"/>
  <c r="D281" i="6" s="1"/>
  <c r="C418" i="6"/>
  <c r="D418" i="6" s="1" a="1"/>
  <c r="D418" i="6" s="1"/>
  <c r="C573" i="6"/>
  <c r="D573" i="6" s="1" a="1"/>
  <c r="D573" i="6" s="1"/>
  <c r="C225" i="6"/>
  <c r="D225" i="6" s="1" a="1"/>
  <c r="D225" i="6" s="1"/>
  <c r="C659" i="6"/>
  <c r="D659" i="6" s="1" a="1"/>
  <c r="D659" i="6" s="1"/>
  <c r="C815" i="6"/>
  <c r="D815" i="6" s="1" a="1"/>
  <c r="D815" i="6" s="1"/>
  <c r="C762" i="6"/>
  <c r="D762" i="6" s="1" a="1"/>
  <c r="D762" i="6" s="1"/>
  <c r="C935" i="6"/>
  <c r="D935" i="6" s="1" a="1"/>
  <c r="D935" i="6" s="1"/>
  <c r="C872" i="6"/>
  <c r="D872" i="6" s="1" a="1"/>
  <c r="D872" i="6" s="1"/>
  <c r="C282" i="6"/>
  <c r="D282" i="6" s="1" a="1"/>
  <c r="D282" i="6" s="1"/>
  <c r="C131" i="6"/>
  <c r="D131" i="6" s="1" a="1"/>
  <c r="D131" i="6" s="1"/>
  <c r="C763" i="6"/>
  <c r="D763" i="6" s="1" a="1"/>
  <c r="D763" i="6" s="1"/>
  <c r="C283" i="6"/>
  <c r="D283" i="6" s="1" a="1"/>
  <c r="D283" i="6" s="1"/>
  <c r="C906" i="6"/>
  <c r="D906" i="6" s="1" a="1"/>
  <c r="D906" i="6" s="1"/>
  <c r="C873" i="6"/>
  <c r="D873" i="6" s="1" a="1"/>
  <c r="D873" i="6" s="1"/>
  <c r="C764" i="6"/>
  <c r="D764" i="6" s="1" a="1"/>
  <c r="D764" i="6" s="1"/>
  <c r="C419" i="6"/>
  <c r="D419" i="6" s="1" a="1"/>
  <c r="D419" i="6" s="1"/>
  <c r="C420" i="6"/>
  <c r="D420" i="6" s="1" a="1"/>
  <c r="D420" i="6" s="1"/>
  <c r="C39" i="6"/>
  <c r="D39" i="6" s="1" a="1"/>
  <c r="D39" i="6" s="1"/>
  <c r="C765" i="6"/>
  <c r="D765" i="6" s="1" a="1"/>
  <c r="D765" i="6" s="1"/>
  <c r="C132" i="6"/>
  <c r="D132" i="6" s="1" a="1"/>
  <c r="D132" i="6" s="1"/>
  <c r="C874" i="6"/>
  <c r="D874" i="6" s="1" a="1"/>
  <c r="D874" i="6" s="1"/>
  <c r="C520" i="6"/>
  <c r="D520" i="6" s="1" a="1"/>
  <c r="D520" i="6" s="1"/>
  <c r="C40" i="6"/>
  <c r="D40" i="6" s="1" a="1"/>
  <c r="D40" i="6" s="1"/>
  <c r="C521" i="6"/>
  <c r="D521" i="6" s="1" a="1"/>
  <c r="D521" i="6" s="1"/>
  <c r="C480" i="6"/>
  <c r="D480" i="6" s="1" a="1"/>
  <c r="D480" i="6" s="1"/>
  <c r="C481" i="6"/>
  <c r="D481" i="6" s="1" a="1"/>
  <c r="D481" i="6" s="1"/>
  <c r="C421" i="6"/>
  <c r="D421" i="6" s="1" a="1"/>
  <c r="D421" i="6" s="1"/>
  <c r="C284" i="6"/>
  <c r="D284" i="6" s="1" a="1"/>
  <c r="D284" i="6" s="1"/>
  <c r="C334" i="6"/>
  <c r="D334" i="6" s="1" a="1"/>
  <c r="D334" i="6" s="1"/>
  <c r="C41" i="6"/>
  <c r="D41" i="6" s="1" a="1"/>
  <c r="D41" i="6" s="1"/>
  <c r="C482" i="6"/>
  <c r="D482" i="6" s="1" a="1"/>
  <c r="D482" i="6" s="1"/>
  <c r="C483" i="6"/>
  <c r="D483" i="6" s="1" a="1"/>
  <c r="D483" i="6" s="1"/>
  <c r="C907" i="6"/>
  <c r="D907" i="6" s="1" a="1"/>
  <c r="D907" i="6" s="1"/>
  <c r="C42" i="6"/>
  <c r="D42" i="6" s="1" a="1"/>
  <c r="D42" i="6" s="1"/>
  <c r="C335" i="6"/>
  <c r="D335" i="6" s="1" a="1"/>
  <c r="D335" i="6" s="1"/>
  <c r="C574" i="6"/>
  <c r="D574" i="6" s="1" a="1"/>
  <c r="D574" i="6" s="1"/>
  <c r="C226" i="6"/>
  <c r="D226" i="6" s="1" a="1"/>
  <c r="D226" i="6" s="1"/>
  <c r="C369" i="6"/>
  <c r="D369" i="6" s="1" a="1"/>
  <c r="D369" i="6" s="1"/>
  <c r="C575" i="6"/>
  <c r="D575" i="6" s="1" a="1"/>
  <c r="D575" i="6" s="1"/>
  <c r="C766" i="6"/>
  <c r="D766" i="6" s="1" a="1"/>
  <c r="D766" i="6" s="1"/>
  <c r="C684" i="6"/>
  <c r="D684" i="6" s="1" a="1"/>
  <c r="D684" i="6" s="1"/>
  <c r="C484" i="6"/>
  <c r="D484" i="6" s="1" a="1"/>
  <c r="D484" i="6" s="1"/>
  <c r="C43" i="6"/>
  <c r="D43" i="6" s="1" a="1"/>
  <c r="D43" i="6" s="1"/>
  <c r="C187" i="6"/>
  <c r="D187" i="6" s="1" a="1"/>
  <c r="D187" i="6" s="1"/>
  <c r="C634" i="6"/>
  <c r="D634" i="6" s="1" a="1"/>
  <c r="D634" i="6" s="1"/>
  <c r="C422" i="6"/>
  <c r="D422" i="6" s="1" a="1"/>
  <c r="D422" i="6" s="1"/>
  <c r="C188" i="6"/>
  <c r="D188" i="6" s="1" a="1"/>
  <c r="D188" i="6" s="1"/>
  <c r="C522" i="6"/>
  <c r="D522" i="6" s="1" a="1"/>
  <c r="D522" i="6" s="1"/>
  <c r="C285" i="6"/>
  <c r="D285" i="6" s="1" a="1"/>
  <c r="D285" i="6" s="1"/>
  <c r="C767" i="6"/>
  <c r="D767" i="6" s="1" a="1"/>
  <c r="D767" i="6" s="1"/>
  <c r="C227" i="6"/>
  <c r="D227" i="6" s="1" a="1"/>
  <c r="D227" i="6" s="1"/>
  <c r="C44" i="6"/>
  <c r="D44" i="6" s="1" a="1"/>
  <c r="D44" i="6" s="1"/>
  <c r="C133" i="6"/>
  <c r="D133" i="6" s="1" a="1"/>
  <c r="D133" i="6" s="1"/>
  <c r="C768" i="6"/>
  <c r="D768" i="6" s="1" a="1"/>
  <c r="D768" i="6" s="1"/>
  <c r="C660" i="6"/>
  <c r="D660" i="6" s="1" a="1"/>
  <c r="D660" i="6" s="1"/>
  <c r="C816" i="6"/>
  <c r="D816" i="6" s="1" a="1"/>
  <c r="D816" i="6" s="1"/>
  <c r="C189" i="6"/>
  <c r="D189" i="6" s="1" a="1"/>
  <c r="D189" i="6" s="1"/>
  <c r="C908" i="6"/>
  <c r="D908" i="6" s="1" a="1"/>
  <c r="D908" i="6" s="1"/>
  <c r="C45" i="6"/>
  <c r="D45" i="6" s="1" a="1"/>
  <c r="D45" i="6" s="1"/>
  <c r="C370" i="6"/>
  <c r="D370" i="6" s="1" a="1"/>
  <c r="D370" i="6" s="1"/>
  <c r="C661" i="6"/>
  <c r="D661" i="6" s="1" a="1"/>
  <c r="D661" i="6" s="1"/>
  <c r="C936" i="6"/>
  <c r="D936" i="6" s="1" a="1"/>
  <c r="D936" i="6" s="1"/>
  <c r="C336" i="6"/>
  <c r="D336" i="6" s="1" a="1"/>
  <c r="D336" i="6" s="1"/>
  <c r="C46" i="6"/>
  <c r="D46" i="6" s="1" a="1"/>
  <c r="D46" i="6" s="1"/>
  <c r="C423" i="6"/>
  <c r="D423" i="6" s="1" a="1"/>
  <c r="D423" i="6" s="1"/>
  <c r="C228" i="6"/>
  <c r="D228" i="6" s="1" a="1"/>
  <c r="D228" i="6" s="1"/>
  <c r="C817" i="6"/>
  <c r="D817" i="6" s="1" a="1"/>
  <c r="D817" i="6" s="1"/>
  <c r="C337" i="6"/>
  <c r="D337" i="6" s="1" a="1"/>
  <c r="D337" i="6" s="1"/>
  <c r="C338" i="6"/>
  <c r="D338" i="6" s="1" a="1"/>
  <c r="D338" i="6" s="1"/>
  <c r="C339" i="6"/>
  <c r="D339" i="6" s="1" a="1"/>
  <c r="D339" i="6" s="1"/>
  <c r="C424" i="6"/>
  <c r="D424" i="6" s="1" a="1"/>
  <c r="D424" i="6" s="1"/>
  <c r="C818" i="6"/>
  <c r="D818" i="6" s="1" a="1"/>
  <c r="D818" i="6" s="1"/>
  <c r="C47" i="6"/>
  <c r="D47" i="6" s="1" a="1"/>
  <c r="D47" i="6" s="1"/>
  <c r="C48" i="6"/>
  <c r="D48" i="6" s="1" a="1"/>
  <c r="D48" i="6" s="1"/>
  <c r="C909" i="6"/>
  <c r="D909" i="6" s="1" a="1"/>
  <c r="D909" i="6" s="1"/>
  <c r="C371" i="6"/>
  <c r="D371" i="6" s="1" a="1"/>
  <c r="D371" i="6" s="1"/>
  <c r="C769" i="6"/>
  <c r="D769" i="6" s="1" a="1"/>
  <c r="D769" i="6" s="1"/>
  <c r="C819" i="6"/>
  <c r="D819" i="6" s="1" a="1"/>
  <c r="D819" i="6" s="1"/>
  <c r="C635" i="6"/>
  <c r="D635" i="6" s="1" a="1"/>
  <c r="D635" i="6" s="1"/>
  <c r="C340" i="6"/>
  <c r="D340" i="6" s="1" a="1"/>
  <c r="D340" i="6" s="1"/>
  <c r="C190" i="6"/>
  <c r="D190" i="6" s="1" a="1"/>
  <c r="D190" i="6" s="1"/>
  <c r="C576" i="6"/>
  <c r="D576" i="6" s="1" a="1"/>
  <c r="D576" i="6" s="1"/>
  <c r="C425" i="6"/>
  <c r="D425" i="6" s="1" a="1"/>
  <c r="D425" i="6" s="1"/>
  <c r="C770" i="6"/>
  <c r="D770" i="6" s="1" a="1"/>
  <c r="D770" i="6" s="1"/>
  <c r="C134" i="6"/>
  <c r="D134" i="6" s="1" a="1"/>
  <c r="D134" i="6" s="1"/>
  <c r="C341" i="6"/>
  <c r="D341" i="6" s="1" a="1"/>
  <c r="D341" i="6" s="1"/>
  <c r="C685" i="6"/>
  <c r="D685" i="6" s="1" a="1"/>
  <c r="D685" i="6" s="1"/>
  <c r="C191" i="6"/>
  <c r="D191" i="6" s="1" a="1"/>
  <c r="D191" i="6" s="1"/>
  <c r="C910" i="6"/>
  <c r="D910" i="6" s="1" a="1"/>
  <c r="D910" i="6" s="1"/>
  <c r="C485" i="6"/>
  <c r="D485" i="6" s="1" a="1"/>
  <c r="D485" i="6" s="1"/>
  <c r="C845" i="6"/>
  <c r="D845" i="6" s="1" a="1"/>
  <c r="D845" i="6" s="1"/>
  <c r="C49" i="6"/>
  <c r="D49" i="6" s="1" a="1"/>
  <c r="D49" i="6" s="1"/>
  <c r="C229" i="6"/>
  <c r="D229" i="6" s="1" a="1"/>
  <c r="D229" i="6" s="1"/>
  <c r="C135" i="6"/>
  <c r="D135" i="6" s="1" a="1"/>
  <c r="D135" i="6" s="1"/>
  <c r="C636" i="6"/>
  <c r="D636" i="6" s="1" a="1"/>
  <c r="D636" i="6" s="1"/>
  <c r="C88" i="6"/>
  <c r="D88" i="6" s="1" a="1"/>
  <c r="D88" i="6" s="1"/>
  <c r="C192" i="6"/>
  <c r="D192" i="6" s="1" a="1"/>
  <c r="D192" i="6" s="1"/>
  <c r="C136" i="6"/>
  <c r="D136" i="6" s="1" a="1"/>
  <c r="D136" i="6" s="1"/>
  <c r="C662" i="6"/>
  <c r="D662" i="6" s="1" a="1"/>
  <c r="D662" i="6" s="1"/>
  <c r="C426" i="6"/>
  <c r="D426" i="6" s="1" a="1"/>
  <c r="D426" i="6" s="1"/>
  <c r="C137" i="6"/>
  <c r="D137" i="6" s="1" a="1"/>
  <c r="D137" i="6" s="1"/>
  <c r="C686" i="6"/>
  <c r="D686" i="6" s="1" a="1"/>
  <c r="D686" i="6" s="1"/>
  <c r="C911" i="6"/>
  <c r="D911" i="6" s="1" a="1"/>
  <c r="D911" i="6" s="1"/>
  <c r="C486" i="6"/>
  <c r="D486" i="6" s="1" a="1"/>
  <c r="D486" i="6" s="1"/>
  <c r="C771" i="6"/>
  <c r="D771" i="6" s="1" a="1"/>
  <c r="D771" i="6" s="1"/>
  <c r="C193" i="6"/>
  <c r="D193" i="6" s="1" a="1"/>
  <c r="D193" i="6" s="1"/>
  <c r="C50" i="6"/>
  <c r="D50" i="6" s="1" a="1"/>
  <c r="D50" i="6" s="1"/>
  <c r="C372" i="6"/>
  <c r="D372" i="6" s="1" a="1"/>
  <c r="D372" i="6" s="1"/>
  <c r="C487" i="6"/>
  <c r="D487" i="6" s="1" a="1"/>
  <c r="D487" i="6" s="1"/>
  <c r="C230" i="6"/>
  <c r="D230" i="6" s="1" a="1"/>
  <c r="D230" i="6" s="1"/>
  <c r="C772" i="6"/>
  <c r="D772" i="6" s="1" a="1"/>
  <c r="D772" i="6" s="1"/>
  <c r="C194" i="6"/>
  <c r="D194" i="6" s="1" a="1"/>
  <c r="D194" i="6" s="1"/>
  <c r="C427" i="6"/>
  <c r="D427" i="6" s="1" a="1"/>
  <c r="D427" i="6" s="1"/>
  <c r="C875" i="6"/>
  <c r="D875" i="6" s="1" a="1"/>
  <c r="D875" i="6" s="1"/>
  <c r="C51" i="6"/>
  <c r="D51" i="6" s="1" a="1"/>
  <c r="D51" i="6" s="1"/>
  <c r="C52" i="6"/>
  <c r="D52" i="6" s="1" a="1"/>
  <c r="D52" i="6" s="1"/>
  <c r="C373" i="6"/>
  <c r="D373" i="6" s="1" a="1"/>
  <c r="D373" i="6" s="1"/>
  <c r="C687" i="6"/>
  <c r="D687" i="6" s="1" a="1"/>
  <c r="D687" i="6" s="1"/>
  <c r="C53" i="6"/>
  <c r="D53" i="6" s="1" a="1"/>
  <c r="D53" i="6" s="1"/>
  <c r="C577" i="6"/>
  <c r="D577" i="6" s="1" a="1"/>
  <c r="D577" i="6" s="1"/>
  <c r="C688" i="6"/>
  <c r="D688" i="6" s="1" a="1"/>
  <c r="D688" i="6" s="1"/>
  <c r="C342" i="6"/>
  <c r="D342" i="6" s="1" a="1"/>
  <c r="D342" i="6" s="1"/>
  <c r="C428" i="6"/>
  <c r="D428" i="6" s="1" a="1"/>
  <c r="D428" i="6" s="1"/>
  <c r="C773" i="6"/>
  <c r="D773" i="6" s="1" a="1"/>
  <c r="D773" i="6" s="1"/>
  <c r="C374" i="6"/>
  <c r="D374" i="6" s="1" a="1"/>
  <c r="D374" i="6" s="1"/>
  <c r="C195" i="6"/>
  <c r="D195" i="6" s="1" a="1"/>
  <c r="D195" i="6" s="1"/>
  <c r="C488" i="6"/>
  <c r="D488" i="6" s="1" a="1"/>
  <c r="D488" i="6" s="1"/>
  <c r="C231" i="6"/>
  <c r="D231" i="6" s="1" a="1"/>
  <c r="D231" i="6" s="1"/>
  <c r="C774" i="6"/>
  <c r="D774" i="6" s="1" a="1"/>
  <c r="D774" i="6" s="1"/>
  <c r="C489" i="6"/>
  <c r="D489" i="6" s="1" a="1"/>
  <c r="D489" i="6" s="1"/>
  <c r="C490" i="6"/>
  <c r="D490" i="6" s="1" a="1"/>
  <c r="D490" i="6" s="1"/>
  <c r="C54" i="6"/>
  <c r="D54" i="6" s="1" a="1"/>
  <c r="D54" i="6" s="1"/>
  <c r="C286" i="6"/>
  <c r="D286" i="6" s="1" a="1"/>
  <c r="D286" i="6" s="1"/>
  <c r="C89" i="6"/>
  <c r="D89" i="6" s="1" a="1"/>
  <c r="D89" i="6" s="1"/>
  <c r="C90" i="6"/>
  <c r="D90" i="6" s="1" a="1"/>
  <c r="D90" i="6" s="1"/>
  <c r="C689" i="6"/>
  <c r="D689" i="6" s="1" a="1"/>
  <c r="D689" i="6" s="1"/>
  <c r="C876" i="6"/>
  <c r="D876" i="6" s="1" a="1"/>
  <c r="D876" i="6" s="1"/>
  <c r="C287" i="6"/>
  <c r="D287" i="6" s="1" a="1"/>
  <c r="D287" i="6" s="1"/>
  <c r="C578" i="6"/>
  <c r="D578" i="6" s="1" a="1"/>
  <c r="D578" i="6" s="1"/>
  <c r="C429" i="6"/>
  <c r="D429" i="6" s="1" a="1"/>
  <c r="D429" i="6" s="1"/>
  <c r="C55" i="6"/>
  <c r="D55" i="6" s="1" a="1"/>
  <c r="D55" i="6" s="1"/>
  <c r="C288" i="6"/>
  <c r="D288" i="6" s="1" a="1"/>
  <c r="D288" i="6" s="1"/>
  <c r="C690" i="6"/>
  <c r="D690" i="6" s="1" a="1"/>
  <c r="D690" i="6" s="1"/>
  <c r="C775" i="6"/>
  <c r="D775" i="6" s="1" a="1"/>
  <c r="D775" i="6" s="1"/>
  <c r="C430" i="6"/>
  <c r="D430" i="6" s="1" a="1"/>
  <c r="D430" i="6" s="1"/>
  <c r="C523" i="6"/>
  <c r="D523" i="6" s="1" a="1"/>
  <c r="D523" i="6" s="1"/>
  <c r="C663" i="6"/>
  <c r="D663" i="6" s="1" a="1"/>
  <c r="D663" i="6" s="1"/>
  <c r="C56" i="6"/>
  <c r="D56" i="6" s="1" a="1"/>
  <c r="D56" i="6" s="1"/>
  <c r="C491" i="6"/>
  <c r="D491" i="6" s="1" a="1"/>
  <c r="D491" i="6" s="1"/>
  <c r="C289" i="6"/>
  <c r="D289" i="6" s="1" a="1"/>
  <c r="D289" i="6" s="1"/>
  <c r="C290" i="6"/>
  <c r="D290" i="6" s="1" a="1"/>
  <c r="D290" i="6" s="1"/>
  <c r="C846" i="6"/>
  <c r="D846" i="6" s="1" a="1"/>
  <c r="D846" i="6" s="1"/>
  <c r="C776" i="6"/>
  <c r="D776" i="6" s="1" a="1"/>
  <c r="D776" i="6" s="1"/>
  <c r="C343" i="6"/>
  <c r="D343" i="6" s="1" a="1"/>
  <c r="D343" i="6" s="1"/>
  <c r="C291" i="6"/>
  <c r="D291" i="6" s="1" a="1"/>
  <c r="D291" i="6" s="1"/>
  <c r="C196" i="6"/>
  <c r="D196" i="6" s="1" a="1"/>
  <c r="D196" i="6" s="1"/>
  <c r="C637" i="6"/>
  <c r="D637" i="6" s="1" a="1"/>
  <c r="D637" i="6" s="1"/>
  <c r="C847" i="6"/>
  <c r="D847" i="6" s="1" a="1"/>
  <c r="D847" i="6" s="1"/>
  <c r="C138" i="6"/>
  <c r="D138" i="6" s="1" a="1"/>
  <c r="D138" i="6" s="1"/>
  <c r="C579" i="6"/>
  <c r="D579" i="6" s="1" a="1"/>
  <c r="D579" i="6" s="1"/>
  <c r="C139" i="6"/>
  <c r="D139" i="6" s="1" a="1"/>
  <c r="D139" i="6" s="1"/>
  <c r="C91" i="6"/>
  <c r="D91" i="6" s="1" a="1"/>
  <c r="D91" i="6" s="1"/>
  <c r="C292" i="6"/>
  <c r="D292" i="6" s="1" a="1"/>
  <c r="D292" i="6" s="1"/>
  <c r="C777" i="6"/>
  <c r="D777" i="6" s="1" a="1"/>
  <c r="D777" i="6" s="1"/>
  <c r="C877" i="6"/>
  <c r="D877" i="6" s="1" a="1"/>
  <c r="D877" i="6" s="1"/>
  <c r="C375" i="6"/>
  <c r="D375" i="6" s="1" a="1"/>
  <c r="D375" i="6" s="1"/>
  <c r="C57" i="6"/>
  <c r="D57" i="6" s="1" a="1"/>
  <c r="D57" i="6" s="1"/>
  <c r="C691" i="6"/>
  <c r="D691" i="6" s="1" a="1"/>
  <c r="D691" i="6" s="1"/>
  <c r="C92" i="6"/>
  <c r="D92" i="6" s="1" a="1"/>
  <c r="D92" i="6" s="1"/>
  <c r="C937" i="6"/>
  <c r="D937" i="6" s="1" a="1"/>
  <c r="D937" i="6" s="1"/>
  <c r="C376" i="6"/>
  <c r="D376" i="6" s="1" a="1"/>
  <c r="D376" i="6" s="1"/>
  <c r="C492" i="6"/>
  <c r="D492" i="6" s="1" a="1"/>
  <c r="D492" i="6" s="1"/>
  <c r="C493" i="6"/>
  <c r="D493" i="6" s="1" a="1"/>
  <c r="D493" i="6" s="1"/>
  <c r="C431" i="6"/>
  <c r="D431" i="6" s="1" a="1"/>
  <c r="D431" i="6" s="1"/>
  <c r="C232" i="6"/>
  <c r="D232" i="6" s="1" a="1"/>
  <c r="D232" i="6" s="1"/>
  <c r="C344" i="6"/>
  <c r="D344" i="6" s="1" a="1"/>
  <c r="D344" i="6" s="1"/>
  <c r="C494" i="6"/>
  <c r="D494" i="6" s="1" a="1"/>
  <c r="D494" i="6" s="1"/>
  <c r="C778" i="6"/>
  <c r="D778" i="6" s="1" a="1"/>
  <c r="D778" i="6" s="1"/>
  <c r="C779" i="6"/>
  <c r="D779" i="6" s="1" a="1"/>
  <c r="D779" i="6" s="1"/>
  <c r="C197" i="6"/>
  <c r="D197" i="6" s="1" a="1"/>
  <c r="D197" i="6" s="1"/>
  <c r="C140" i="6"/>
  <c r="D140" i="6" s="1" a="1"/>
  <c r="D140" i="6" s="1"/>
  <c r="C432" i="6"/>
  <c r="D432" i="6" s="1" a="1"/>
  <c r="D432" i="6" s="1"/>
  <c r="C878" i="6"/>
  <c r="D878" i="6" s="1" a="1"/>
  <c r="D878" i="6" s="1"/>
  <c r="C141" i="6"/>
  <c r="D141" i="6" s="1" a="1"/>
  <c r="D141" i="6" s="1"/>
  <c r="C198" i="6"/>
  <c r="D198" i="6" s="1" a="1"/>
  <c r="D198" i="6" s="1"/>
  <c r="C495" i="6"/>
  <c r="D495" i="6" s="1" a="1"/>
  <c r="D495" i="6" s="1"/>
  <c r="C58" i="6"/>
  <c r="D58" i="6" s="1" a="1"/>
  <c r="D58" i="6" s="1"/>
  <c r="C233" i="6"/>
  <c r="D233" i="6" s="1" a="1"/>
  <c r="D233" i="6" s="1"/>
  <c r="C293" i="6"/>
  <c r="D293" i="6" s="1" a="1"/>
  <c r="D293" i="6" s="1"/>
  <c r="C433" i="6"/>
  <c r="D433" i="6" s="1" a="1"/>
  <c r="D433" i="6" s="1"/>
  <c r="C692" i="6"/>
  <c r="D692" i="6" s="1" a="1"/>
  <c r="D692" i="6" s="1"/>
  <c r="C780" i="6"/>
  <c r="D780" i="6" s="1" a="1"/>
  <c r="D780" i="6" s="1"/>
  <c r="C199" i="6"/>
  <c r="D199" i="6" s="1" a="1"/>
  <c r="D199" i="6" s="1"/>
  <c r="C59" i="6"/>
  <c r="D59" i="6" s="1" a="1"/>
  <c r="D59" i="6" s="1"/>
  <c r="C580" i="6"/>
  <c r="D580" i="6" s="1" a="1"/>
  <c r="D580" i="6" s="1"/>
  <c r="C581" i="6"/>
  <c r="D581" i="6" s="1" a="1"/>
  <c r="D581" i="6" s="1"/>
  <c r="C200" i="6"/>
  <c r="D200" i="6" s="1" a="1"/>
  <c r="D200" i="6" s="1"/>
  <c r="C848" i="6"/>
  <c r="D848" i="6" s="1" a="1"/>
  <c r="D848" i="6" s="1"/>
  <c r="C879" i="6"/>
  <c r="D879" i="6" s="1" a="1"/>
  <c r="D879" i="6" s="1"/>
  <c r="C93" i="6"/>
  <c r="D93" i="6" s="1" a="1"/>
  <c r="D93" i="6" s="1"/>
  <c r="C693" i="6"/>
  <c r="D693" i="6" s="1" a="1"/>
  <c r="D693" i="6" s="1"/>
  <c r="C638" i="6"/>
  <c r="D638" i="6" s="1" a="1"/>
  <c r="D638" i="6" s="1"/>
  <c r="C524" i="6"/>
  <c r="D524" i="6" s="1" a="1"/>
  <c r="D524" i="6" s="1"/>
  <c r="C781" i="6"/>
  <c r="D781" i="6" s="1" a="1"/>
  <c r="D781" i="6" s="1"/>
  <c r="C820" i="6"/>
  <c r="D820" i="6" s="1" a="1"/>
  <c r="D820" i="6" s="1"/>
  <c r="C849" i="6"/>
  <c r="D849" i="6" s="1" a="1"/>
  <c r="D849" i="6" s="1"/>
  <c r="C938" i="6"/>
  <c r="D938" i="6" s="1" a="1"/>
  <c r="D938" i="6" s="1"/>
  <c r="C201" i="6"/>
  <c r="D201" i="6" s="1" a="1"/>
  <c r="D201" i="6" s="1"/>
  <c r="C939" i="6"/>
  <c r="D939" i="6" s="1" a="1"/>
  <c r="D939" i="6" s="1"/>
  <c r="C694" i="6"/>
  <c r="D694" i="6" s="1" a="1"/>
  <c r="D694" i="6" s="1"/>
  <c r="C60" i="6"/>
  <c r="D60" i="6" s="1" a="1"/>
  <c r="D60" i="6" s="1"/>
  <c r="C582" i="6"/>
  <c r="D582" i="6" s="1" a="1"/>
  <c r="D582" i="6" s="1"/>
  <c r="C606" i="6"/>
  <c r="D606" i="6" s="1" a="1"/>
  <c r="D606" i="6" s="1"/>
  <c r="C782" i="6"/>
  <c r="D782" i="6" s="1" a="1"/>
  <c r="D782" i="6" s="1"/>
  <c r="C61" i="6"/>
  <c r="D61" i="6" s="1" a="1"/>
  <c r="D61" i="6" s="1"/>
  <c r="C434" i="6"/>
  <c r="D434" i="6" s="1" a="1"/>
  <c r="D434" i="6" s="1"/>
  <c r="C142" i="6"/>
  <c r="D142" i="6" s="1" a="1"/>
  <c r="D142" i="6" s="1"/>
  <c r="C435" i="6"/>
  <c r="D435" i="6" s="1" a="1"/>
  <c r="D435" i="6" s="1"/>
  <c r="C202" i="6"/>
  <c r="D202" i="6" s="1" a="1"/>
  <c r="D202" i="6" s="1"/>
  <c r="C345" i="6"/>
  <c r="D345" i="6" s="1" a="1"/>
  <c r="D345" i="6" s="1"/>
  <c r="C436" i="6"/>
  <c r="D436" i="6" s="1" a="1"/>
  <c r="D436" i="6" s="1"/>
  <c r="C294" i="6"/>
  <c r="D294" i="6" s="1" a="1"/>
  <c r="D294" i="6" s="1"/>
  <c r="C203" i="6"/>
  <c r="D203" i="6" s="1" a="1"/>
  <c r="D203" i="6" s="1"/>
  <c r="C295" i="6"/>
  <c r="D295" i="6" s="1" a="1"/>
  <c r="D295" i="6" s="1"/>
  <c r="C437" i="6"/>
  <c r="D437" i="6" s="1" a="1"/>
  <c r="D437" i="6" s="1"/>
  <c r="C62" i="6"/>
  <c r="D62" i="6" s="1" a="1"/>
  <c r="D62" i="6" s="1"/>
  <c r="C204" i="6"/>
  <c r="D204" i="6" s="1" a="1"/>
  <c r="D204" i="6" s="1"/>
  <c r="C583" i="6"/>
  <c r="D583" i="6" s="1" a="1"/>
  <c r="D583" i="6" s="1"/>
  <c r="C205" i="6"/>
  <c r="D205" i="6" s="1" a="1"/>
  <c r="D205" i="6" s="1"/>
  <c r="C234" i="6"/>
  <c r="D234" i="6" s="1" a="1"/>
  <c r="D234" i="6" s="1"/>
  <c r="C880" i="6"/>
  <c r="D880" i="6" s="1" a="1"/>
  <c r="D880" i="6" s="1"/>
  <c r="C695" i="6"/>
  <c r="D695" i="6" s="1" a="1"/>
  <c r="D695" i="6" s="1"/>
  <c r="C235" i="6"/>
  <c r="D235" i="6" s="1" a="1"/>
  <c r="D235" i="6" s="1"/>
  <c r="C296" i="6"/>
  <c r="D296" i="6" s="1" a="1"/>
  <c r="D296" i="6" s="1"/>
  <c r="C236" i="6"/>
  <c r="D236" i="6" s="1" a="1"/>
  <c r="D236" i="6" s="1"/>
  <c r="C639" i="6"/>
  <c r="D639" i="6" s="1" a="1"/>
  <c r="D639" i="6" s="1"/>
  <c r="C94" i="6"/>
  <c r="D94" i="6" s="1" a="1"/>
  <c r="D94" i="6" s="1"/>
  <c r="C297" i="6"/>
  <c r="D297" i="6" s="1" a="1"/>
  <c r="D297" i="6" s="1"/>
  <c r="C206" i="6"/>
  <c r="D206" i="6" s="1" a="1"/>
  <c r="D206" i="6" s="1"/>
  <c r="C584" i="6"/>
  <c r="D584" i="6" s="1" a="1"/>
  <c r="D584" i="6" s="1"/>
  <c r="C377" i="6"/>
  <c r="D377" i="6" s="1" a="1"/>
  <c r="D377" i="6" s="1"/>
  <c r="C346" i="6"/>
  <c r="D346" i="6" s="1" a="1"/>
  <c r="D346" i="6" s="1"/>
  <c r="C585" i="6"/>
  <c r="D585" i="6" s="1" a="1"/>
  <c r="D585" i="6" s="1"/>
  <c r="C607" i="6"/>
  <c r="D607" i="6" s="1" a="1"/>
  <c r="D607" i="6" s="1"/>
  <c r="C783" i="6"/>
  <c r="D783" i="6" s="1" a="1"/>
  <c r="D783" i="6" s="1"/>
  <c r="C143" i="6"/>
  <c r="D143" i="6" s="1" a="1"/>
  <c r="D143" i="6" s="1"/>
  <c r="C438" i="6"/>
  <c r="D438" i="6" s="1" a="1"/>
  <c r="D438" i="6" s="1"/>
  <c r="C881" i="6"/>
  <c r="D881" i="6" s="1" a="1"/>
  <c r="D881" i="6" s="1"/>
  <c r="C63" i="6"/>
  <c r="D63" i="6" s="1" a="1"/>
  <c r="D63" i="6" s="1"/>
  <c r="C144" i="6"/>
  <c r="D144" i="6" s="1" a="1"/>
  <c r="D144" i="6" s="1"/>
  <c r="C525" i="6"/>
  <c r="D525" i="6" s="1" a="1"/>
  <c r="D525" i="6" s="1"/>
  <c r="C298" i="6"/>
  <c r="D298" i="6" s="1" a="1"/>
  <c r="D298" i="6" s="1"/>
  <c r="C940" i="6"/>
  <c r="D940" i="6" s="1" a="1"/>
  <c r="D940" i="6" s="1"/>
  <c r="C696" i="6"/>
  <c r="D696" i="6" s="1" a="1"/>
  <c r="D696" i="6" s="1"/>
  <c r="C608" i="6"/>
  <c r="D608" i="6" s="1" a="1"/>
  <c r="D608" i="6" s="1"/>
  <c r="C664" i="6"/>
  <c r="D664" i="6" s="1" a="1"/>
  <c r="D664" i="6" s="1"/>
  <c r="C299" i="6"/>
  <c r="D299" i="6" s="1" a="1"/>
  <c r="D299" i="6" s="1"/>
  <c r="C665" i="6"/>
  <c r="D665" i="6" s="1" a="1"/>
  <c r="D665" i="6" s="1"/>
  <c r="C586" i="6"/>
  <c r="D586" i="6" s="1" a="1"/>
  <c r="D586" i="6" s="1"/>
  <c r="C784" i="6"/>
  <c r="D784" i="6" s="1" a="1"/>
  <c r="D784" i="6" s="1"/>
  <c r="C821" i="6"/>
  <c r="D821" i="6" s="1" a="1"/>
  <c r="D821" i="6" s="1"/>
  <c r="C850" i="6"/>
  <c r="D850" i="6" s="1" a="1"/>
  <c r="D850" i="6" s="1"/>
  <c r="C785" i="6"/>
  <c r="D785" i="6" s="1" a="1"/>
  <c r="D785" i="6" s="1"/>
  <c r="C941" i="6"/>
  <c r="D941" i="6" s="1" a="1"/>
  <c r="D941" i="6" s="1"/>
  <c r="C882" i="6"/>
  <c r="D882" i="6" s="1" a="1"/>
  <c r="D882" i="6" s="1"/>
  <c r="C786" i="6"/>
  <c r="D786" i="6" s="1" a="1"/>
  <c r="D786" i="6" s="1"/>
  <c r="C787" i="6"/>
  <c r="D787" i="6" s="1" a="1"/>
  <c r="D787" i="6" s="1"/>
  <c r="C788" i="6"/>
  <c r="D788" i="6" s="1" a="1"/>
  <c r="D788" i="6" s="1"/>
  <c r="C587" i="6"/>
  <c r="D587" i="6" s="1" a="1"/>
  <c r="D587" i="6" s="1"/>
  <c r="C237" i="6"/>
  <c r="D237" i="6" s="1" a="1"/>
  <c r="D237" i="6" s="1"/>
  <c r="C851" i="6"/>
  <c r="D851" i="6" s="1" a="1"/>
  <c r="D851" i="6" s="1"/>
  <c r="C789" i="6"/>
  <c r="D789" i="6" s="1" a="1"/>
  <c r="D789" i="6" s="1"/>
  <c r="C439" i="6"/>
  <c r="D439" i="6" s="1" a="1"/>
  <c r="D439" i="6" s="1"/>
  <c r="C588" i="6"/>
  <c r="D588" i="6" s="1" a="1"/>
  <c r="D588" i="6" s="1"/>
  <c r="C526" i="6"/>
  <c r="D526" i="6" s="1" a="1"/>
  <c r="D526" i="6" s="1"/>
  <c r="C790" i="6"/>
  <c r="D790" i="6" s="1" a="1"/>
  <c r="D790" i="6" s="1"/>
  <c r="E697" i="6"/>
  <c r="C697" i="6"/>
  <c r="D697" i="6" s="1" a="1"/>
  <c r="D697" i="6" s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<sst xmlns="http://schemas.openxmlformats.org/spreadsheetml/2006/main" count="2389" uniqueCount="110">
  <si>
    <t>UserID</t>
  </si>
  <si>
    <t>First Name</t>
  </si>
  <si>
    <t>Last Name</t>
  </si>
  <si>
    <t>Age</t>
  </si>
  <si>
    <t>Address</t>
  </si>
  <si>
    <t>Neighbourhood</t>
  </si>
  <si>
    <t>Robert</t>
  </si>
  <si>
    <t>Johnson</t>
  </si>
  <si>
    <t>Williamsburg, Brooklyn</t>
  </si>
  <si>
    <t>Williamsburg</t>
  </si>
  <si>
    <t>John</t>
  </si>
  <si>
    <t>Brown</t>
  </si>
  <si>
    <t>Flatbush, Brooklyn</t>
  </si>
  <si>
    <t>Flatbush</t>
  </si>
  <si>
    <t>Michael</t>
  </si>
  <si>
    <t>Crown Heights, Brooklyn</t>
  </si>
  <si>
    <t>Crown Heights</t>
  </si>
  <si>
    <t>David</t>
  </si>
  <si>
    <t>Davis</t>
  </si>
  <si>
    <t>Harlem, Manhattan</t>
  </si>
  <si>
    <t>Harlem</t>
  </si>
  <si>
    <t>James</t>
  </si>
  <si>
    <t>Smith</t>
  </si>
  <si>
    <t>Upper West Side, Manhattan</t>
  </si>
  <si>
    <t>Upper West Side</t>
  </si>
  <si>
    <t>Greenpoint, Brooklyn</t>
  </si>
  <si>
    <t>Greenpoint</t>
  </si>
  <si>
    <t>Martinez</t>
  </si>
  <si>
    <t>Mary</t>
  </si>
  <si>
    <t>Midtown, Manhattan</t>
  </si>
  <si>
    <t>Midtown</t>
  </si>
  <si>
    <t>Alice</t>
  </si>
  <si>
    <t>East Village, Manhattan</t>
  </si>
  <si>
    <t>East Village</t>
  </si>
  <si>
    <t>Jones</t>
  </si>
  <si>
    <t>East Harlem, Manhattan</t>
  </si>
  <si>
    <t>East Harlem</t>
  </si>
  <si>
    <t>Patricia</t>
  </si>
  <si>
    <t>Linda</t>
  </si>
  <si>
    <t>Washington Heights, Manhattan</t>
  </si>
  <si>
    <t>Washington Heights</t>
  </si>
  <si>
    <t>Williams</t>
  </si>
  <si>
    <t>Jane</t>
  </si>
  <si>
    <t>Upper East Side, Manhattan</t>
  </si>
  <si>
    <t>Upper East Side</t>
  </si>
  <si>
    <t>Bushwick, Brooklyn</t>
  </si>
  <si>
    <t>Bushwick</t>
  </si>
  <si>
    <t>Clinton Hill, Brooklyn</t>
  </si>
  <si>
    <t>Clinton Hill</t>
  </si>
  <si>
    <t>Garcia</t>
  </si>
  <si>
    <t>Miller</t>
  </si>
  <si>
    <t>Rodriguez</t>
  </si>
  <si>
    <t>Hell's Kitchen, Manhattan</t>
  </si>
  <si>
    <t>Hell's Kitchen</t>
  </si>
  <si>
    <t>Date</t>
  </si>
  <si>
    <t>Total_Distance</t>
  </si>
  <si>
    <t>Tracker_Distance</t>
  </si>
  <si>
    <t>Logged_Activities_Distance</t>
  </si>
  <si>
    <t>Very_Active_Distance</t>
  </si>
  <si>
    <t>Moderately_Active_Distance</t>
  </si>
  <si>
    <t>Light_Active_Distance</t>
  </si>
  <si>
    <t>Sedentary_Active_Distance</t>
  </si>
  <si>
    <t>Very_Active_Minutes</t>
  </si>
  <si>
    <t>Fairly_Active_Minutes</t>
  </si>
  <si>
    <t>Lightly_Active_Minutes</t>
  </si>
  <si>
    <t>Sedentary_Minutes</t>
  </si>
  <si>
    <t>Steps</t>
  </si>
  <si>
    <t>Calories_Burned</t>
  </si>
  <si>
    <t>Full Name</t>
  </si>
  <si>
    <t>User Name</t>
  </si>
  <si>
    <t>City</t>
  </si>
  <si>
    <t xml:space="preserve"> Brooklyn</t>
  </si>
  <si>
    <t xml:space="preserve"> Manhattan</t>
  </si>
  <si>
    <t>Robert Johnson</t>
  </si>
  <si>
    <t>John Brown</t>
  </si>
  <si>
    <t>Michael Brown</t>
  </si>
  <si>
    <t>David Davis</t>
  </si>
  <si>
    <t>James Smith</t>
  </si>
  <si>
    <t>Michael Johnson</t>
  </si>
  <si>
    <t>Robert Martinez</t>
  </si>
  <si>
    <t>Mary Martinez</t>
  </si>
  <si>
    <t>Alice Smith</t>
  </si>
  <si>
    <t>David Jones</t>
  </si>
  <si>
    <t>Patricia Davis</t>
  </si>
  <si>
    <t>Linda Brown</t>
  </si>
  <si>
    <t>Linda Williams</t>
  </si>
  <si>
    <t>Jane Davis</t>
  </si>
  <si>
    <t>Patricia Williams</t>
  </si>
  <si>
    <t>David Smith</t>
  </si>
  <si>
    <t>Linda Jones</t>
  </si>
  <si>
    <t>Jane Garcia</t>
  </si>
  <si>
    <t>Robert Garcia</t>
  </si>
  <si>
    <t>James Miller</t>
  </si>
  <si>
    <t>Linda Rodriguez</t>
  </si>
  <si>
    <t>James Jones</t>
  </si>
  <si>
    <t>Alice Johnson</t>
  </si>
  <si>
    <t>Michael Jones</t>
  </si>
  <si>
    <t>John Martinez</t>
  </si>
  <si>
    <t>Michael Rodriguez</t>
  </si>
  <si>
    <t>John Johnson</t>
  </si>
  <si>
    <t>Mary Davis</t>
  </si>
  <si>
    <t>Michael Martinez</t>
  </si>
  <si>
    <t>Linda Martinez</t>
  </si>
  <si>
    <t>Engagement Type</t>
  </si>
  <si>
    <t>Month</t>
  </si>
  <si>
    <t>Weekday_Name</t>
  </si>
  <si>
    <t>Calories_Per_Step</t>
  </si>
  <si>
    <t>Total_Active_Minutes</t>
  </si>
  <si>
    <t>Steps_MedFill</t>
  </si>
  <si>
    <t>Age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</si>
</sst>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dd/mm/yyyy"/>
    <numFmt numFmtId="166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10"/>
      <color rgb="FF000000"/>
      <name val="Calibri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0" borderId="0" xfId="0" applyFont="1"/>
    <xf numFmtId="0" fontId="1" fillId="0" borderId="0" xfId="1" applyFont="1"/>
    <xf numFmtId="164" fontId="1" fillId="0" borderId="0" xfId="1" applyNumberFormat="1" applyFont="1"/>
    <xf numFmtId="0" fontId="3" fillId="2" borderId="0" xfId="1" applyFont="1" applyFill="1"/>
    <xf numFmtId="0" fontId="3" fillId="2" borderId="0" xfId="0" applyFont="1" applyFill="1"/>
    <xf numFmtId="165" fontId="3" fillId="2" borderId="0" xfId="1" applyNumberFormat="1" applyFont="1" applyFill="1"/>
    <xf numFmtId="165" fontId="1" fillId="0" borderId="0" xfId="1" applyNumberFormat="1" applyFont="1"/>
    <xf numFmtId="165" fontId="0" fillId="0" borderId="0" xfId="0" applyNumberFormat="1"/>
    <xf numFmtId="166" fontId="1" fillId="0" borderId="0" xfId="1" applyNumberFormat="1" applyFont="1"/>
    <xf numFmtId="0" fontId="3" fillId="0" borderId="0" xfId="1" applyFont="1"/>
  </cellXfs>
  <cellStyles count="2">
    <cellStyle name="Normal" xfId="0" builtinId="0"/>
    <cellStyle name="Normal 2" xfId="1" xr:uid="{323535FE-35AD-4D29-BC15-FD001CF9D6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F2721-0C71-4322-9837-358AB786C38D}">
  <dimension ref="A1:G34"/>
  <sheetViews>
    <sheetView workbookViewId="0">
      <selection activeCell="J8" sqref="J8"/>
    </sheetView>
  </sheetViews>
  <sheetFormatPr defaultRowHeight="14.5" x14ac:dyDescent="0.35"/>
  <cols>
    <col min="1" max="1" width="15.26953125" customWidth="1"/>
    <col min="2" max="2" width="13.7265625" customWidth="1"/>
    <col min="3" max="4" width="13.36328125" customWidth="1"/>
    <col min="5" max="5" width="10.6328125" customWidth="1"/>
    <col min="6" max="6" width="25.90625" bestFit="1" customWidth="1"/>
    <col min="7" max="7" width="16.1796875" bestFit="1" customWidth="1"/>
  </cols>
  <sheetData>
    <row r="1" spans="1:7" x14ac:dyDescent="0.35">
      <c r="A1" s="5" t="s">
        <v>0</v>
      </c>
      <c r="B1" s="5" t="s">
        <v>1</v>
      </c>
      <c r="C1" s="5" t="s">
        <v>2</v>
      </c>
      <c r="D1" s="5" t="s">
        <v>68</v>
      </c>
      <c r="E1" s="5" t="s">
        <v>3</v>
      </c>
      <c r="F1" s="5" t="s">
        <v>4</v>
      </c>
      <c r="G1" s="5" t="s">
        <v>5</v>
      </c>
    </row>
    <row r="2" spans="1:7" x14ac:dyDescent="0.35">
      <c r="A2" s="1">
        <v>6117666160</v>
      </c>
      <c r="B2" s="1" t="s">
        <v>6</v>
      </c>
      <c r="C2" s="1" t="s">
        <v>7</v>
      </c>
      <c r="D2" s="1" t="str">
        <f>_xlfn.CONCAT(B2, " ", C2)</f>
        <v>Robert Johnson</v>
      </c>
      <c r="E2" s="1">
        <v>53</v>
      </c>
      <c r="F2" s="1" t="s">
        <v>8</v>
      </c>
      <c r="G2" s="1" t="s">
        <v>9</v>
      </c>
    </row>
    <row r="3" spans="1:7" x14ac:dyDescent="0.35">
      <c r="A3" s="1">
        <v>1644430081</v>
      </c>
      <c r="B3" s="1" t="s">
        <v>10</v>
      </c>
      <c r="C3" s="1" t="s">
        <v>11</v>
      </c>
      <c r="D3" s="1" t="str">
        <f t="shared" ref="D3:D34" si="0">_xlfn.CONCAT(B3, " ", C3)</f>
        <v>John Brown</v>
      </c>
      <c r="E3" s="1">
        <v>56</v>
      </c>
      <c r="F3" s="1" t="s">
        <v>12</v>
      </c>
      <c r="G3" s="1" t="s">
        <v>13</v>
      </c>
    </row>
    <row r="4" spans="1:7" x14ac:dyDescent="0.35">
      <c r="A4" s="1">
        <v>1927972279</v>
      </c>
      <c r="B4" s="1" t="s">
        <v>14</v>
      </c>
      <c r="C4" s="1" t="s">
        <v>11</v>
      </c>
      <c r="D4" s="1" t="str">
        <f t="shared" si="0"/>
        <v>Michael Brown</v>
      </c>
      <c r="E4" s="1">
        <v>29</v>
      </c>
      <c r="F4" s="1" t="s">
        <v>15</v>
      </c>
      <c r="G4" s="1" t="s">
        <v>16</v>
      </c>
    </row>
    <row r="5" spans="1:7" x14ac:dyDescent="0.35">
      <c r="A5" s="1">
        <v>4388161847</v>
      </c>
      <c r="B5" s="1" t="s">
        <v>14</v>
      </c>
      <c r="C5" s="1" t="s">
        <v>11</v>
      </c>
      <c r="D5" s="1" t="str">
        <f t="shared" si="0"/>
        <v>Michael Brown</v>
      </c>
      <c r="E5" s="1">
        <v>36</v>
      </c>
      <c r="F5" s="1" t="s">
        <v>8</v>
      </c>
      <c r="G5" s="1" t="s">
        <v>9</v>
      </c>
    </row>
    <row r="6" spans="1:7" x14ac:dyDescent="0.35">
      <c r="A6" s="1">
        <v>6775888955</v>
      </c>
      <c r="B6" s="1" t="s">
        <v>17</v>
      </c>
      <c r="C6" s="1" t="s">
        <v>18</v>
      </c>
      <c r="D6" s="1" t="str">
        <f t="shared" si="0"/>
        <v>David Davis</v>
      </c>
      <c r="E6" s="1">
        <v>45</v>
      </c>
      <c r="F6" s="1" t="s">
        <v>19</v>
      </c>
      <c r="G6" s="1" t="s">
        <v>20</v>
      </c>
    </row>
    <row r="7" spans="1:7" x14ac:dyDescent="0.35">
      <c r="A7" s="1">
        <v>4319703577</v>
      </c>
      <c r="B7" s="1" t="s">
        <v>21</v>
      </c>
      <c r="C7" s="1" t="s">
        <v>22</v>
      </c>
      <c r="D7" s="1" t="str">
        <f t="shared" si="0"/>
        <v>James Smith</v>
      </c>
      <c r="E7" s="1">
        <v>18</v>
      </c>
      <c r="F7" s="1" t="s">
        <v>23</v>
      </c>
      <c r="G7" s="1" t="s">
        <v>24</v>
      </c>
    </row>
    <row r="8" spans="1:7" x14ac:dyDescent="0.35">
      <c r="A8" s="1">
        <v>2873212765</v>
      </c>
      <c r="B8" s="1" t="s">
        <v>14</v>
      </c>
      <c r="C8" s="1" t="s">
        <v>7</v>
      </c>
      <c r="D8" s="1" t="str">
        <f t="shared" si="0"/>
        <v>Michael Johnson</v>
      </c>
      <c r="E8" s="1">
        <v>32</v>
      </c>
      <c r="F8" s="1" t="s">
        <v>25</v>
      </c>
      <c r="G8" s="1" t="s">
        <v>26</v>
      </c>
    </row>
    <row r="9" spans="1:7" x14ac:dyDescent="0.35">
      <c r="A9" s="1">
        <v>4445114986</v>
      </c>
      <c r="B9" s="1" t="s">
        <v>6</v>
      </c>
      <c r="C9" s="1" t="s">
        <v>27</v>
      </c>
      <c r="D9" s="1" t="str">
        <f t="shared" si="0"/>
        <v>Robert Martinez</v>
      </c>
      <c r="E9" s="1">
        <v>53</v>
      </c>
      <c r="F9" s="1" t="s">
        <v>19</v>
      </c>
      <c r="G9" s="1" t="s">
        <v>20</v>
      </c>
    </row>
    <row r="10" spans="1:7" x14ac:dyDescent="0.35">
      <c r="A10" s="1">
        <v>6290855005</v>
      </c>
      <c r="B10" s="1" t="s">
        <v>28</v>
      </c>
      <c r="C10" s="1" t="s">
        <v>27</v>
      </c>
      <c r="D10" s="1" t="str">
        <f t="shared" si="0"/>
        <v>Mary Martinez</v>
      </c>
      <c r="E10" s="1">
        <v>30</v>
      </c>
      <c r="F10" s="1" t="s">
        <v>29</v>
      </c>
      <c r="G10" s="1" t="s">
        <v>30</v>
      </c>
    </row>
    <row r="11" spans="1:7" x14ac:dyDescent="0.35">
      <c r="A11" s="1">
        <v>3977333714</v>
      </c>
      <c r="B11" s="1" t="s">
        <v>31</v>
      </c>
      <c r="C11" s="1" t="s">
        <v>22</v>
      </c>
      <c r="D11" s="1" t="str">
        <f t="shared" si="0"/>
        <v>Alice Smith</v>
      </c>
      <c r="E11" s="1">
        <v>60</v>
      </c>
      <c r="F11" s="1" t="s">
        <v>32</v>
      </c>
      <c r="G11" s="1" t="s">
        <v>33</v>
      </c>
    </row>
    <row r="12" spans="1:7" x14ac:dyDescent="0.35">
      <c r="A12" s="1">
        <v>1503960366</v>
      </c>
      <c r="B12" s="1" t="s">
        <v>17</v>
      </c>
      <c r="C12" s="1" t="s">
        <v>34</v>
      </c>
      <c r="D12" s="1" t="str">
        <f t="shared" si="0"/>
        <v>David Jones</v>
      </c>
      <c r="E12" s="1">
        <v>38</v>
      </c>
      <c r="F12" s="1" t="s">
        <v>35</v>
      </c>
      <c r="G12" s="1" t="s">
        <v>36</v>
      </c>
    </row>
    <row r="13" spans="1:7" x14ac:dyDescent="0.35">
      <c r="A13" s="1">
        <v>4558609924</v>
      </c>
      <c r="B13" s="1" t="s">
        <v>37</v>
      </c>
      <c r="C13" s="1" t="s">
        <v>18</v>
      </c>
      <c r="D13" s="1" t="str">
        <f t="shared" si="0"/>
        <v>Patricia Davis</v>
      </c>
      <c r="E13" s="1">
        <v>29</v>
      </c>
      <c r="F13" s="1" t="s">
        <v>32</v>
      </c>
      <c r="G13" s="1" t="s">
        <v>33</v>
      </c>
    </row>
    <row r="14" spans="1:7" x14ac:dyDescent="0.35">
      <c r="A14" s="1">
        <v>8253242879</v>
      </c>
      <c r="B14" s="1" t="s">
        <v>38</v>
      </c>
      <c r="C14" s="1" t="s">
        <v>11</v>
      </c>
      <c r="D14" s="1" t="str">
        <f t="shared" si="0"/>
        <v>Linda Brown</v>
      </c>
      <c r="E14" s="1">
        <v>22</v>
      </c>
      <c r="F14" s="1" t="s">
        <v>39</v>
      </c>
      <c r="G14" s="1" t="s">
        <v>40</v>
      </c>
    </row>
    <row r="15" spans="1:7" x14ac:dyDescent="0.35">
      <c r="A15" s="1">
        <v>6962181067</v>
      </c>
      <c r="B15" s="1" t="s">
        <v>38</v>
      </c>
      <c r="C15" s="1" t="s">
        <v>41</v>
      </c>
      <c r="D15" s="1" t="str">
        <f t="shared" si="0"/>
        <v>Linda Williams</v>
      </c>
      <c r="E15" s="1">
        <v>24</v>
      </c>
      <c r="F15" s="1" t="s">
        <v>32</v>
      </c>
      <c r="G15" s="1" t="s">
        <v>33</v>
      </c>
    </row>
    <row r="16" spans="1:7" x14ac:dyDescent="0.35">
      <c r="A16" s="1">
        <v>2022484408</v>
      </c>
      <c r="B16" s="1" t="s">
        <v>42</v>
      </c>
      <c r="C16" s="1" t="s">
        <v>18</v>
      </c>
      <c r="D16" s="1" t="str">
        <f t="shared" si="0"/>
        <v>Jane Davis</v>
      </c>
      <c r="E16" s="1">
        <v>22</v>
      </c>
      <c r="F16" s="1" t="s">
        <v>43</v>
      </c>
      <c r="G16" s="1" t="s">
        <v>44</v>
      </c>
    </row>
    <row r="17" spans="1:7" x14ac:dyDescent="0.35">
      <c r="A17" s="1">
        <v>1624580081</v>
      </c>
      <c r="B17" s="1" t="s">
        <v>37</v>
      </c>
      <c r="C17" s="1" t="s">
        <v>41</v>
      </c>
      <c r="D17" s="1" t="str">
        <f t="shared" si="0"/>
        <v>Patricia Williams</v>
      </c>
      <c r="E17" s="1">
        <v>21</v>
      </c>
      <c r="F17" s="1" t="s">
        <v>45</v>
      </c>
      <c r="G17" s="1" t="s">
        <v>46</v>
      </c>
    </row>
    <row r="18" spans="1:7" x14ac:dyDescent="0.35">
      <c r="A18" s="1">
        <v>2347167796</v>
      </c>
      <c r="B18" s="1" t="s">
        <v>17</v>
      </c>
      <c r="C18" s="1" t="s">
        <v>22</v>
      </c>
      <c r="D18" s="1" t="str">
        <f t="shared" si="0"/>
        <v>David Smith</v>
      </c>
      <c r="E18" s="1">
        <v>30</v>
      </c>
      <c r="F18" s="1" t="s">
        <v>47</v>
      </c>
      <c r="G18" s="1" t="s">
        <v>48</v>
      </c>
    </row>
    <row r="19" spans="1:7" x14ac:dyDescent="0.35">
      <c r="A19" s="1">
        <v>4020332650</v>
      </c>
      <c r="B19" s="1" t="s">
        <v>17</v>
      </c>
      <c r="C19" s="1" t="s">
        <v>22</v>
      </c>
      <c r="D19" s="1" t="str">
        <f t="shared" si="0"/>
        <v>David Smith</v>
      </c>
      <c r="E19" s="1">
        <v>54</v>
      </c>
      <c r="F19" s="1" t="s">
        <v>15</v>
      </c>
      <c r="G19" s="1" t="s">
        <v>16</v>
      </c>
    </row>
    <row r="20" spans="1:7" x14ac:dyDescent="0.35">
      <c r="A20" s="1">
        <v>2026352035</v>
      </c>
      <c r="B20" s="1" t="s">
        <v>38</v>
      </c>
      <c r="C20" s="1" t="s">
        <v>34</v>
      </c>
      <c r="D20" s="1" t="str">
        <f t="shared" si="0"/>
        <v>Linda Jones</v>
      </c>
      <c r="E20" s="1">
        <v>58</v>
      </c>
      <c r="F20" s="1" t="s">
        <v>32</v>
      </c>
      <c r="G20" s="1" t="s">
        <v>33</v>
      </c>
    </row>
    <row r="21" spans="1:7" x14ac:dyDescent="0.35">
      <c r="A21" s="1">
        <v>8378563200</v>
      </c>
      <c r="B21" s="1" t="s">
        <v>42</v>
      </c>
      <c r="C21" s="1" t="s">
        <v>49</v>
      </c>
      <c r="D21" s="1" t="str">
        <f t="shared" si="0"/>
        <v>Jane Garcia</v>
      </c>
      <c r="E21" s="1">
        <v>32</v>
      </c>
      <c r="F21" s="1" t="s">
        <v>35</v>
      </c>
      <c r="G21" s="1" t="s">
        <v>36</v>
      </c>
    </row>
    <row r="22" spans="1:7" x14ac:dyDescent="0.35">
      <c r="A22" s="1">
        <v>5577150313</v>
      </c>
      <c r="B22" s="1" t="s">
        <v>6</v>
      </c>
      <c r="C22" s="1" t="s">
        <v>49</v>
      </c>
      <c r="D22" s="1" t="str">
        <f t="shared" si="0"/>
        <v>Robert Garcia</v>
      </c>
      <c r="E22" s="1">
        <v>33</v>
      </c>
      <c r="F22" s="1" t="s">
        <v>19</v>
      </c>
      <c r="G22" s="1" t="s">
        <v>20</v>
      </c>
    </row>
    <row r="23" spans="1:7" x14ac:dyDescent="0.35">
      <c r="A23" s="1">
        <v>8583815059</v>
      </c>
      <c r="B23" s="1" t="s">
        <v>21</v>
      </c>
      <c r="C23" s="1" t="s">
        <v>50</v>
      </c>
      <c r="D23" s="1" t="str">
        <f t="shared" si="0"/>
        <v>James Miller</v>
      </c>
      <c r="E23" s="1">
        <v>38</v>
      </c>
      <c r="F23" s="1" t="s">
        <v>29</v>
      </c>
      <c r="G23" s="1" t="s">
        <v>30</v>
      </c>
    </row>
    <row r="24" spans="1:7" x14ac:dyDescent="0.35">
      <c r="A24" s="1">
        <v>1844505072</v>
      </c>
      <c r="B24" s="1" t="s">
        <v>38</v>
      </c>
      <c r="C24" s="1" t="s">
        <v>51</v>
      </c>
      <c r="D24" s="1" t="str">
        <f t="shared" si="0"/>
        <v>Linda Rodriguez</v>
      </c>
      <c r="E24" s="1">
        <v>53</v>
      </c>
      <c r="F24" s="1" t="s">
        <v>19</v>
      </c>
      <c r="G24" s="1" t="s">
        <v>20</v>
      </c>
    </row>
    <row r="25" spans="1:7" x14ac:dyDescent="0.35">
      <c r="A25" s="1">
        <v>4702921684</v>
      </c>
      <c r="B25" s="1" t="s">
        <v>21</v>
      </c>
      <c r="C25" s="1" t="s">
        <v>34</v>
      </c>
      <c r="D25" s="1" t="str">
        <f t="shared" si="0"/>
        <v>James Jones</v>
      </c>
      <c r="E25" s="1">
        <v>41</v>
      </c>
      <c r="F25" s="1" t="s">
        <v>35</v>
      </c>
      <c r="G25" s="1" t="s">
        <v>36</v>
      </c>
    </row>
    <row r="26" spans="1:7" x14ac:dyDescent="0.35">
      <c r="A26" s="1">
        <v>7007744171</v>
      </c>
      <c r="B26" s="1" t="s">
        <v>31</v>
      </c>
      <c r="C26" s="1" t="s">
        <v>7</v>
      </c>
      <c r="D26" s="1" t="str">
        <f t="shared" si="0"/>
        <v>Alice Johnson</v>
      </c>
      <c r="E26" s="1">
        <v>33</v>
      </c>
      <c r="F26" s="1" t="s">
        <v>25</v>
      </c>
      <c r="G26" s="1" t="s">
        <v>26</v>
      </c>
    </row>
    <row r="27" spans="1:7" x14ac:dyDescent="0.35">
      <c r="A27" s="1">
        <v>7086361926</v>
      </c>
      <c r="B27" s="1" t="s">
        <v>14</v>
      </c>
      <c r="C27" s="1" t="s">
        <v>34</v>
      </c>
      <c r="D27" s="1" t="str">
        <f t="shared" si="0"/>
        <v>Michael Jones</v>
      </c>
      <c r="E27" s="1">
        <v>31</v>
      </c>
      <c r="F27" s="1" t="s">
        <v>29</v>
      </c>
      <c r="G27" s="1" t="s">
        <v>30</v>
      </c>
    </row>
    <row r="28" spans="1:7" x14ac:dyDescent="0.35">
      <c r="A28" s="1">
        <v>3372868164</v>
      </c>
      <c r="B28" s="1" t="s">
        <v>10</v>
      </c>
      <c r="C28" s="1" t="s">
        <v>27</v>
      </c>
      <c r="D28" s="1" t="str">
        <f t="shared" si="0"/>
        <v>John Martinez</v>
      </c>
      <c r="E28" s="1">
        <v>39</v>
      </c>
      <c r="F28" s="1" t="s">
        <v>32</v>
      </c>
      <c r="G28" s="1" t="s">
        <v>33</v>
      </c>
    </row>
    <row r="29" spans="1:7" x14ac:dyDescent="0.35">
      <c r="A29" s="1">
        <v>8877689391</v>
      </c>
      <c r="B29" s="1" t="s">
        <v>14</v>
      </c>
      <c r="C29" s="1" t="s">
        <v>51</v>
      </c>
      <c r="D29" s="1" t="str">
        <f t="shared" si="0"/>
        <v>Michael Rodriguez</v>
      </c>
      <c r="E29" s="1">
        <v>23</v>
      </c>
      <c r="F29" s="1" t="s">
        <v>15</v>
      </c>
      <c r="G29" s="1" t="s">
        <v>16</v>
      </c>
    </row>
    <row r="30" spans="1:7" x14ac:dyDescent="0.35">
      <c r="A30" s="1">
        <v>8792009665</v>
      </c>
      <c r="B30" s="1" t="s">
        <v>6</v>
      </c>
      <c r="C30" s="1" t="s">
        <v>7</v>
      </c>
      <c r="D30" s="1" t="str">
        <f t="shared" si="0"/>
        <v>Robert Johnson</v>
      </c>
      <c r="E30" s="1">
        <v>59</v>
      </c>
      <c r="F30" s="1" t="s">
        <v>23</v>
      </c>
      <c r="G30" s="1" t="s">
        <v>24</v>
      </c>
    </row>
    <row r="31" spans="1:7" x14ac:dyDescent="0.35">
      <c r="A31" s="1">
        <v>4057192912</v>
      </c>
      <c r="B31" s="1" t="s">
        <v>10</v>
      </c>
      <c r="C31" s="1" t="s">
        <v>7</v>
      </c>
      <c r="D31" s="1" t="str">
        <f t="shared" si="0"/>
        <v>John Johnson</v>
      </c>
      <c r="E31" s="1">
        <v>53</v>
      </c>
      <c r="F31" s="1" t="s">
        <v>19</v>
      </c>
      <c r="G31" s="1" t="s">
        <v>20</v>
      </c>
    </row>
    <row r="32" spans="1:7" x14ac:dyDescent="0.35">
      <c r="A32" s="1">
        <v>2320127002</v>
      </c>
      <c r="B32" s="1" t="s">
        <v>28</v>
      </c>
      <c r="C32" s="1" t="s">
        <v>18</v>
      </c>
      <c r="D32" s="1" t="str">
        <f t="shared" si="0"/>
        <v>Mary Davis</v>
      </c>
      <c r="E32" s="1">
        <v>18</v>
      </c>
      <c r="F32" s="1" t="s">
        <v>52</v>
      </c>
      <c r="G32" s="1" t="s">
        <v>53</v>
      </c>
    </row>
    <row r="33" spans="1:7" x14ac:dyDescent="0.35">
      <c r="A33" s="1">
        <v>8053475328</v>
      </c>
      <c r="B33" s="1" t="s">
        <v>14</v>
      </c>
      <c r="C33" s="1" t="s">
        <v>27</v>
      </c>
      <c r="D33" s="1" t="str">
        <f t="shared" si="0"/>
        <v>Michael Martinez</v>
      </c>
      <c r="E33" s="1">
        <v>49</v>
      </c>
      <c r="F33" s="1" t="s">
        <v>23</v>
      </c>
      <c r="G33" s="1" t="s">
        <v>24</v>
      </c>
    </row>
    <row r="34" spans="1:7" x14ac:dyDescent="0.35">
      <c r="A34" s="1">
        <v>5553957443</v>
      </c>
      <c r="B34" s="1" t="s">
        <v>38</v>
      </c>
      <c r="C34" s="1" t="s">
        <v>27</v>
      </c>
      <c r="D34" s="1" t="str">
        <f t="shared" si="0"/>
        <v>Linda Martinez</v>
      </c>
      <c r="E34" s="1">
        <v>23</v>
      </c>
      <c r="F34" s="1" t="s">
        <v>39</v>
      </c>
      <c r="G34" s="1" t="s">
        <v>40</v>
      </c>
    </row>
  </sheetData>
  <autoFilter ref="A1:G34" xr:uid="{68CF2721-0C71-4322-9837-358AB786C38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7A0BA-A9E5-4222-8F26-0DA15A2CF679}">
  <dimension ref="A1:O941"/>
  <sheetViews>
    <sheetView workbookViewId="0">
      <selection activeCell="C19" sqref="C19"/>
    </sheetView>
  </sheetViews>
  <sheetFormatPr defaultRowHeight="14.5" x14ac:dyDescent="0.35"/>
  <cols>
    <col min="1" max="1" width="14.81640625" customWidth="1"/>
    <col min="2" max="2" width="11.81640625" customWidth="1"/>
    <col min="3" max="3" width="14.453125" bestFit="1" customWidth="1"/>
    <col min="4" max="4" width="16.26953125" bestFit="1" customWidth="1"/>
    <col min="5" max="5" width="23.90625" bestFit="1" customWidth="1"/>
    <col min="6" max="6" width="19.7265625" bestFit="1" customWidth="1"/>
    <col min="7" max="7" width="25.1796875" bestFit="1" customWidth="1"/>
    <col min="8" max="8" width="19.90625" bestFit="1" customWidth="1"/>
    <col min="9" max="9" width="24" bestFit="1" customWidth="1"/>
    <col min="10" max="10" width="19.453125" bestFit="1" customWidth="1"/>
    <col min="11" max="11" width="20.08984375" bestFit="1" customWidth="1"/>
    <col min="12" max="12" width="20.90625" bestFit="1" customWidth="1"/>
    <col min="13" max="13" width="18" bestFit="1" customWidth="1"/>
    <col min="14" max="14" width="8.54296875" customWidth="1"/>
    <col min="15" max="15" width="15.7265625" bestFit="1" customWidth="1"/>
  </cols>
  <sheetData>
    <row r="1" spans="1:15" x14ac:dyDescent="0.35">
      <c r="A1" s="4" t="s">
        <v>0</v>
      </c>
      <c r="B1" s="4" t="s">
        <v>54</v>
      </c>
      <c r="C1" s="4" t="s">
        <v>55</v>
      </c>
      <c r="D1" s="4" t="s">
        <v>56</v>
      </c>
      <c r="E1" s="4" t="s">
        <v>57</v>
      </c>
      <c r="F1" s="4" t="s">
        <v>58</v>
      </c>
      <c r="G1" s="4" t="s">
        <v>59</v>
      </c>
      <c r="H1" s="4" t="s">
        <v>60</v>
      </c>
      <c r="I1" s="4" t="s">
        <v>61</v>
      </c>
      <c r="J1" s="4" t="s">
        <v>62</v>
      </c>
      <c r="K1" s="4" t="s">
        <v>63</v>
      </c>
      <c r="L1" s="4" t="s">
        <v>64</v>
      </c>
      <c r="M1" s="4" t="s">
        <v>65</v>
      </c>
      <c r="N1" s="4" t="s">
        <v>66</v>
      </c>
      <c r="O1" s="4" t="s">
        <v>67</v>
      </c>
    </row>
    <row r="2" spans="1:15" x14ac:dyDescent="0.35">
      <c r="A2" s="2">
        <v>6117666160</v>
      </c>
      <c r="B2" s="3">
        <v>42480</v>
      </c>
      <c r="C2" s="2">
        <v>8.0200004580000002</v>
      </c>
      <c r="D2" s="2">
        <v>8.0200004580000002</v>
      </c>
      <c r="E2" s="2">
        <v>0</v>
      </c>
      <c r="F2" s="2">
        <v>2.0299999710000001</v>
      </c>
      <c r="G2" s="2">
        <v>0.47999998900000002</v>
      </c>
      <c r="H2" s="2">
        <v>5.5199999809999998</v>
      </c>
      <c r="I2" s="2">
        <v>0</v>
      </c>
      <c r="J2" s="2">
        <v>26</v>
      </c>
      <c r="K2" s="2">
        <v>10</v>
      </c>
      <c r="L2" s="2">
        <v>349</v>
      </c>
      <c r="M2" s="2">
        <v>587</v>
      </c>
      <c r="N2" s="2">
        <v>10449</v>
      </c>
      <c r="O2" s="2">
        <v>2536</v>
      </c>
    </row>
    <row r="3" spans="1:15" x14ac:dyDescent="0.35">
      <c r="A3" s="2">
        <v>1644430081</v>
      </c>
      <c r="B3" s="3">
        <v>42473</v>
      </c>
      <c r="C3" s="2">
        <v>5.8200001720000003</v>
      </c>
      <c r="D3" s="2">
        <v>5.8200001720000003</v>
      </c>
      <c r="E3" s="2">
        <v>0</v>
      </c>
      <c r="F3" s="2">
        <v>2.2799999710000001</v>
      </c>
      <c r="G3" s="2">
        <v>0.89999997600000003</v>
      </c>
      <c r="H3" s="2">
        <v>2.6400001049999999</v>
      </c>
      <c r="I3" s="2">
        <v>0</v>
      </c>
      <c r="J3" s="2">
        <v>30</v>
      </c>
      <c r="K3" s="2">
        <v>16</v>
      </c>
      <c r="L3" s="2">
        <v>135</v>
      </c>
      <c r="M3" s="2">
        <v>1259</v>
      </c>
      <c r="N3" s="2">
        <v>8001</v>
      </c>
      <c r="O3" s="2">
        <v>2902</v>
      </c>
    </row>
    <row r="4" spans="1:15" x14ac:dyDescent="0.35">
      <c r="A4" s="2">
        <v>1927972279</v>
      </c>
      <c r="B4" s="3">
        <v>42485</v>
      </c>
      <c r="C4" s="2">
        <v>0.109999999</v>
      </c>
      <c r="D4" s="2">
        <v>0.109999999</v>
      </c>
      <c r="E4" s="2">
        <v>0</v>
      </c>
      <c r="F4" s="2">
        <v>0</v>
      </c>
      <c r="G4" s="2">
        <v>0</v>
      </c>
      <c r="H4" s="2">
        <v>0.109999999</v>
      </c>
      <c r="I4" s="2">
        <v>0</v>
      </c>
      <c r="J4" s="2">
        <v>0</v>
      </c>
      <c r="K4" s="2">
        <v>0</v>
      </c>
      <c r="L4" s="2">
        <v>12</v>
      </c>
      <c r="M4" s="2">
        <v>1303</v>
      </c>
      <c r="N4" s="2">
        <v>152</v>
      </c>
      <c r="O4" s="2">
        <v>2100</v>
      </c>
    </row>
    <row r="5" spans="1:15" x14ac:dyDescent="0.35">
      <c r="A5" s="2">
        <v>6117666160</v>
      </c>
      <c r="B5" s="3">
        <v>42486</v>
      </c>
      <c r="C5" s="2">
        <v>7.2100000380000004</v>
      </c>
      <c r="D5" s="2">
        <v>7.2100000380000004</v>
      </c>
      <c r="E5" s="2">
        <v>0</v>
      </c>
      <c r="F5" s="2">
        <v>0</v>
      </c>
      <c r="G5" s="2">
        <v>0.34000000400000002</v>
      </c>
      <c r="H5" s="2">
        <v>6.8699998860000004</v>
      </c>
      <c r="I5" s="2">
        <v>0</v>
      </c>
      <c r="J5" s="2">
        <v>0</v>
      </c>
      <c r="K5" s="2">
        <v>7</v>
      </c>
      <c r="L5" s="2">
        <v>352</v>
      </c>
      <c r="M5" s="2">
        <v>1077</v>
      </c>
      <c r="N5" s="2">
        <v>9543</v>
      </c>
      <c r="O5" s="2">
        <v>2450</v>
      </c>
    </row>
    <row r="6" spans="1:15" x14ac:dyDescent="0.35">
      <c r="A6" s="2">
        <v>4388161847</v>
      </c>
      <c r="B6" s="3">
        <v>42618</v>
      </c>
      <c r="C6" s="2">
        <v>7.8600001339999999</v>
      </c>
      <c r="D6" s="2">
        <v>7.8600001339999999</v>
      </c>
      <c r="E6" s="2">
        <v>0</v>
      </c>
      <c r="F6" s="2">
        <v>0.34000000400000002</v>
      </c>
      <c r="G6" s="2">
        <v>0.730000019</v>
      </c>
      <c r="H6" s="2">
        <v>6.7899999619999996</v>
      </c>
      <c r="I6" s="2">
        <v>0</v>
      </c>
      <c r="J6" s="2">
        <v>6</v>
      </c>
      <c r="K6" s="2">
        <v>19</v>
      </c>
      <c r="L6" s="2">
        <v>258</v>
      </c>
      <c r="M6" s="2">
        <v>1020</v>
      </c>
      <c r="N6" s="2">
        <v>10218</v>
      </c>
      <c r="O6" s="2">
        <v>3013</v>
      </c>
    </row>
    <row r="7" spans="1:15" x14ac:dyDescent="0.35">
      <c r="A7" s="2">
        <v>6775888955</v>
      </c>
      <c r="B7" s="3">
        <v>42488</v>
      </c>
      <c r="C7" s="2">
        <v>0.5</v>
      </c>
      <c r="D7" s="2">
        <v>0.5</v>
      </c>
      <c r="E7" s="2">
        <v>0</v>
      </c>
      <c r="F7" s="2">
        <v>5.9999998999999998E-2</v>
      </c>
      <c r="G7" s="2">
        <v>0.20000000300000001</v>
      </c>
      <c r="H7" s="2">
        <v>0.23999999499999999</v>
      </c>
      <c r="I7" s="2">
        <v>0</v>
      </c>
      <c r="J7" s="2">
        <v>2</v>
      </c>
      <c r="K7" s="2">
        <v>13</v>
      </c>
      <c r="L7" s="2">
        <v>15</v>
      </c>
      <c r="M7" s="2">
        <v>1410</v>
      </c>
      <c r="N7" s="2">
        <v>703</v>
      </c>
      <c r="O7" s="2">
        <v>1993</v>
      </c>
    </row>
    <row r="8" spans="1:15" x14ac:dyDescent="0.35">
      <c r="A8" s="2">
        <v>4319703577</v>
      </c>
      <c r="B8" s="3">
        <v>42473</v>
      </c>
      <c r="C8" s="2">
        <v>5.5</v>
      </c>
      <c r="D8" s="2">
        <v>5.5</v>
      </c>
      <c r="E8" s="2">
        <v>0</v>
      </c>
      <c r="F8" s="2">
        <v>0.52999997099999996</v>
      </c>
      <c r="G8" s="2">
        <v>0.58999997400000004</v>
      </c>
      <c r="H8" s="2">
        <v>1.309999943</v>
      </c>
      <c r="I8" s="2">
        <v>0</v>
      </c>
      <c r="J8" s="2">
        <v>8</v>
      </c>
      <c r="K8" s="2">
        <v>15</v>
      </c>
      <c r="L8" s="2">
        <v>96</v>
      </c>
      <c r="M8" s="2">
        <v>1234</v>
      </c>
      <c r="N8" s="2">
        <v>8204</v>
      </c>
      <c r="O8" s="2">
        <v>2135</v>
      </c>
    </row>
    <row r="9" spans="1:15" x14ac:dyDescent="0.35">
      <c r="A9" s="2">
        <v>2873212765</v>
      </c>
      <c r="B9" s="3">
        <v>42434</v>
      </c>
      <c r="C9" s="2">
        <v>4.9800000190000002</v>
      </c>
      <c r="D9" s="2">
        <v>4.9800000190000002</v>
      </c>
      <c r="E9" s="2">
        <v>0</v>
      </c>
      <c r="F9" s="2">
        <v>5.9999998999999998E-2</v>
      </c>
      <c r="G9" s="2">
        <v>0.25</v>
      </c>
      <c r="H9" s="2">
        <v>4.6599998469999999</v>
      </c>
      <c r="I9" s="2">
        <v>0.01</v>
      </c>
      <c r="J9" s="2">
        <v>1</v>
      </c>
      <c r="K9" s="2">
        <v>6</v>
      </c>
      <c r="L9" s="2">
        <v>363</v>
      </c>
      <c r="M9" s="2">
        <v>1070</v>
      </c>
      <c r="N9" s="2">
        <v>7412</v>
      </c>
      <c r="O9" s="2">
        <v>1906</v>
      </c>
    </row>
    <row r="10" spans="1:15" x14ac:dyDescent="0.35">
      <c r="A10" s="2">
        <v>4445114986</v>
      </c>
      <c r="B10" s="3">
        <v>42473</v>
      </c>
      <c r="C10" s="2">
        <v>1.9900000099999999</v>
      </c>
      <c r="D10" s="2">
        <v>1.9900000099999999</v>
      </c>
      <c r="E10" s="2">
        <v>0</v>
      </c>
      <c r="F10" s="2">
        <v>0</v>
      </c>
      <c r="G10" s="2">
        <v>0</v>
      </c>
      <c r="H10" s="2">
        <v>1.9900000099999999</v>
      </c>
      <c r="I10" s="2">
        <v>0</v>
      </c>
      <c r="J10" s="2">
        <v>0</v>
      </c>
      <c r="K10" s="2">
        <v>0</v>
      </c>
      <c r="L10" s="2">
        <v>194</v>
      </c>
      <c r="M10" s="2">
        <v>840</v>
      </c>
      <c r="N10" s="2">
        <v>2961</v>
      </c>
      <c r="O10" s="2">
        <v>2095</v>
      </c>
    </row>
    <row r="11" spans="1:15" x14ac:dyDescent="0.35">
      <c r="A11" s="2">
        <v>6290855005</v>
      </c>
      <c r="B11" s="3">
        <v>42587</v>
      </c>
      <c r="C11" s="2">
        <v>5.829999924</v>
      </c>
      <c r="D11" s="2">
        <v>5.829999924</v>
      </c>
      <c r="E11" s="2">
        <v>0</v>
      </c>
      <c r="F11" s="2">
        <v>0</v>
      </c>
      <c r="G11" s="2">
        <v>0</v>
      </c>
      <c r="H11" s="2">
        <v>5.8200001720000003</v>
      </c>
      <c r="I11" s="2">
        <v>0</v>
      </c>
      <c r="J11" s="2">
        <v>0</v>
      </c>
      <c r="K11" s="2">
        <v>0</v>
      </c>
      <c r="L11" s="2">
        <v>251</v>
      </c>
      <c r="M11" s="2">
        <v>1189</v>
      </c>
      <c r="N11" s="2">
        <v>7706</v>
      </c>
      <c r="O11" s="2">
        <v>2712</v>
      </c>
    </row>
    <row r="12" spans="1:15" x14ac:dyDescent="0.35">
      <c r="A12" s="2">
        <v>3977333714</v>
      </c>
      <c r="B12" s="3">
        <v>42490</v>
      </c>
      <c r="C12" s="2">
        <v>9.1999998089999995</v>
      </c>
      <c r="D12" s="2">
        <v>9.1999998089999995</v>
      </c>
      <c r="E12" s="2">
        <v>0</v>
      </c>
      <c r="F12" s="2">
        <v>3.6900000569999998</v>
      </c>
      <c r="G12" s="2">
        <v>2.0999999049999998</v>
      </c>
      <c r="H12" s="2">
        <v>3.4100000860000002</v>
      </c>
      <c r="I12" s="2">
        <v>0</v>
      </c>
      <c r="J12" s="2">
        <v>43</v>
      </c>
      <c r="K12" s="2">
        <v>52</v>
      </c>
      <c r="L12" s="2">
        <v>194</v>
      </c>
      <c r="M12" s="2">
        <v>687</v>
      </c>
      <c r="N12" s="2">
        <v>13238</v>
      </c>
      <c r="O12" s="2">
        <v>1650</v>
      </c>
    </row>
    <row r="13" spans="1:15" x14ac:dyDescent="0.35">
      <c r="A13" s="2">
        <v>1503960366</v>
      </c>
      <c r="B13" s="3">
        <v>42495</v>
      </c>
      <c r="C13" s="2">
        <v>8.8999996190000008</v>
      </c>
      <c r="D13" s="2">
        <v>8.8999996190000008</v>
      </c>
      <c r="E13" s="2">
        <v>0</v>
      </c>
      <c r="F13" s="2">
        <v>2.920000076</v>
      </c>
      <c r="G13" s="2">
        <v>1.0800000430000001</v>
      </c>
      <c r="H13" s="2">
        <v>4.8800001139999996</v>
      </c>
      <c r="I13" s="2">
        <v>0</v>
      </c>
      <c r="J13" s="2">
        <v>45</v>
      </c>
      <c r="K13" s="2">
        <v>24</v>
      </c>
      <c r="L13" s="2">
        <v>250</v>
      </c>
      <c r="M13" s="2">
        <v>857</v>
      </c>
      <c r="N13" s="2">
        <v>14070</v>
      </c>
      <c r="O13" s="2">
        <v>1959</v>
      </c>
    </row>
    <row r="14" spans="1:15" x14ac:dyDescent="0.35">
      <c r="A14" s="2">
        <v>1927972279</v>
      </c>
      <c r="B14" s="3">
        <v>42488</v>
      </c>
      <c r="C14" s="2">
        <v>1.1599999670000001</v>
      </c>
      <c r="D14" s="2">
        <v>1.1599999670000001</v>
      </c>
      <c r="E14" s="2">
        <v>0</v>
      </c>
      <c r="F14" s="2">
        <v>0</v>
      </c>
      <c r="G14" s="2">
        <v>0</v>
      </c>
      <c r="H14" s="2">
        <v>1.1599999670000001</v>
      </c>
      <c r="I14" s="2">
        <v>0</v>
      </c>
      <c r="J14" s="2">
        <v>0</v>
      </c>
      <c r="K14" s="2">
        <v>0</v>
      </c>
      <c r="L14" s="2">
        <v>95</v>
      </c>
      <c r="M14" s="2">
        <v>1167</v>
      </c>
      <c r="N14" s="2">
        <v>1675</v>
      </c>
      <c r="O14" s="2">
        <v>2351</v>
      </c>
    </row>
    <row r="15" spans="1:15" x14ac:dyDescent="0.35">
      <c r="A15" s="2">
        <v>4558609924</v>
      </c>
      <c r="B15" s="3">
        <v>42374</v>
      </c>
      <c r="C15" s="2">
        <v>2.2699999809999998</v>
      </c>
      <c r="D15" s="2">
        <v>2.2699999809999998</v>
      </c>
      <c r="E15" s="2">
        <v>0</v>
      </c>
      <c r="F15" s="2">
        <v>0</v>
      </c>
      <c r="G15" s="2">
        <v>0</v>
      </c>
      <c r="H15" s="2">
        <v>2.2699999809999998</v>
      </c>
      <c r="I15" s="2">
        <v>0</v>
      </c>
      <c r="J15" s="2">
        <v>0</v>
      </c>
      <c r="K15" s="2">
        <v>0</v>
      </c>
      <c r="L15" s="2">
        <v>190</v>
      </c>
      <c r="M15" s="2">
        <v>1121</v>
      </c>
      <c r="N15" s="2">
        <v>3428</v>
      </c>
      <c r="O15" s="2">
        <v>1692</v>
      </c>
    </row>
    <row r="16" spans="1:15" x14ac:dyDescent="0.35">
      <c r="A16" s="2">
        <v>8253242879</v>
      </c>
      <c r="B16" s="3">
        <v>42487</v>
      </c>
      <c r="C16" s="2">
        <v>8.1800003050000001</v>
      </c>
      <c r="D16" s="2">
        <v>8.1800003050000001</v>
      </c>
      <c r="E16" s="2">
        <v>0</v>
      </c>
      <c r="F16" s="2">
        <v>6.2399997709999999</v>
      </c>
      <c r="G16" s="2">
        <v>0.23000000400000001</v>
      </c>
      <c r="H16" s="2">
        <v>1.7000000479999999</v>
      </c>
      <c r="I16" s="2">
        <v>0</v>
      </c>
      <c r="J16" s="2">
        <v>45</v>
      </c>
      <c r="K16" s="2">
        <v>5</v>
      </c>
      <c r="L16" s="2">
        <v>104</v>
      </c>
      <c r="M16" s="2">
        <v>1286</v>
      </c>
      <c r="N16" s="2">
        <v>10232</v>
      </c>
      <c r="O16" s="2">
        <v>2008</v>
      </c>
    </row>
    <row r="17" spans="1:15" x14ac:dyDescent="0.35">
      <c r="A17" s="2">
        <v>6962181067</v>
      </c>
      <c r="B17" s="3">
        <v>42488</v>
      </c>
      <c r="C17" s="2">
        <v>8.3500003809999992</v>
      </c>
      <c r="D17" s="2">
        <v>8.3500003809999992</v>
      </c>
      <c r="E17" s="2">
        <v>0</v>
      </c>
      <c r="F17" s="2">
        <v>2.5099999899999998</v>
      </c>
      <c r="G17" s="2">
        <v>0.23999999499999999</v>
      </c>
      <c r="H17" s="2">
        <v>5.5900001530000001</v>
      </c>
      <c r="I17" s="2">
        <v>0</v>
      </c>
      <c r="J17" s="2">
        <v>38</v>
      </c>
      <c r="K17" s="2">
        <v>8</v>
      </c>
      <c r="L17" s="2">
        <v>288</v>
      </c>
      <c r="M17" s="2">
        <v>621</v>
      </c>
      <c r="N17" s="2">
        <v>12627</v>
      </c>
      <c r="O17" s="2">
        <v>2182</v>
      </c>
    </row>
    <row r="18" spans="1:15" x14ac:dyDescent="0.35">
      <c r="A18" s="2">
        <v>1503960366</v>
      </c>
      <c r="B18" s="3">
        <v>42709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1440</v>
      </c>
      <c r="N18" s="2">
        <v>0</v>
      </c>
      <c r="O18" s="2">
        <v>0</v>
      </c>
    </row>
    <row r="19" spans="1:15" x14ac:dyDescent="0.35">
      <c r="A19" s="2">
        <v>6117666160</v>
      </c>
      <c r="B19" s="3">
        <v>42526</v>
      </c>
      <c r="C19" s="2">
        <v>2.6800000669999999</v>
      </c>
      <c r="D19" s="2">
        <v>2.6800000669999999</v>
      </c>
      <c r="E19" s="2">
        <v>0</v>
      </c>
      <c r="F19" s="2">
        <v>0</v>
      </c>
      <c r="G19" s="2">
        <v>0</v>
      </c>
      <c r="H19" s="2">
        <v>2.6800000669999999</v>
      </c>
      <c r="I19" s="2">
        <v>0</v>
      </c>
      <c r="J19" s="2">
        <v>0</v>
      </c>
      <c r="K19" s="2">
        <v>0</v>
      </c>
      <c r="L19" s="2">
        <v>133</v>
      </c>
      <c r="M19" s="2">
        <v>673</v>
      </c>
      <c r="N19" s="2">
        <v>3365</v>
      </c>
      <c r="O19" s="2">
        <v>1838</v>
      </c>
    </row>
    <row r="20" spans="1:15" x14ac:dyDescent="0.35">
      <c r="A20" s="2">
        <v>4558609924</v>
      </c>
      <c r="B20" s="3">
        <v>42556</v>
      </c>
      <c r="C20" s="2">
        <v>5.4400000569999998</v>
      </c>
      <c r="D20" s="2">
        <v>5.4400000569999998</v>
      </c>
      <c r="E20" s="2">
        <v>0</v>
      </c>
      <c r="F20" s="2">
        <v>1.6100000139999999</v>
      </c>
      <c r="G20" s="2">
        <v>1</v>
      </c>
      <c r="H20" s="2">
        <v>2.829999924</v>
      </c>
      <c r="I20" s="2">
        <v>0</v>
      </c>
      <c r="J20" s="2">
        <v>23</v>
      </c>
      <c r="K20" s="2">
        <v>16</v>
      </c>
      <c r="L20" s="2">
        <v>233</v>
      </c>
      <c r="M20" s="2">
        <v>1116</v>
      </c>
      <c r="N20" s="2">
        <v>8237</v>
      </c>
      <c r="O20" s="2">
        <v>1973</v>
      </c>
    </row>
    <row r="21" spans="1:15" x14ac:dyDescent="0.35">
      <c r="A21" s="2">
        <v>3977333714</v>
      </c>
      <c r="B21" s="3">
        <v>42484</v>
      </c>
      <c r="C21" s="2">
        <v>10</v>
      </c>
      <c r="D21" s="2">
        <v>10</v>
      </c>
      <c r="E21" s="2">
        <v>0</v>
      </c>
      <c r="F21" s="2">
        <v>3.2699999809999998</v>
      </c>
      <c r="G21" s="2">
        <v>4.5599999430000002</v>
      </c>
      <c r="H21" s="2">
        <v>2.170000076</v>
      </c>
      <c r="I21" s="2">
        <v>0</v>
      </c>
      <c r="J21" s="2">
        <v>30</v>
      </c>
      <c r="K21" s="2">
        <v>95</v>
      </c>
      <c r="L21" s="2">
        <v>129</v>
      </c>
      <c r="M21" s="2">
        <v>660</v>
      </c>
      <c r="N21" s="2">
        <v>14112</v>
      </c>
      <c r="O21" s="2">
        <v>1655</v>
      </c>
    </row>
    <row r="22" spans="1:15" x14ac:dyDescent="0.35">
      <c r="A22" s="2">
        <v>6962181067</v>
      </c>
      <c r="B22" s="3">
        <v>42479</v>
      </c>
      <c r="C22" s="2">
        <v>7.0999999049999998</v>
      </c>
      <c r="D22" s="2">
        <v>7.0999999049999998</v>
      </c>
      <c r="E22" s="2">
        <v>0</v>
      </c>
      <c r="F22" s="2">
        <v>2.0999999049999998</v>
      </c>
      <c r="G22" s="2">
        <v>2.130000114</v>
      </c>
      <c r="H22" s="2">
        <v>2.869999886</v>
      </c>
      <c r="I22" s="2">
        <v>0</v>
      </c>
      <c r="J22" s="2">
        <v>35</v>
      </c>
      <c r="K22" s="2">
        <v>41</v>
      </c>
      <c r="L22" s="2">
        <v>195</v>
      </c>
      <c r="M22" s="2">
        <v>659</v>
      </c>
      <c r="N22" s="2">
        <v>10742</v>
      </c>
      <c r="O22" s="2">
        <v>2046</v>
      </c>
    </row>
    <row r="23" spans="1:15" x14ac:dyDescent="0.35">
      <c r="A23" s="2">
        <v>2022484408</v>
      </c>
      <c r="B23" s="3">
        <v>42405</v>
      </c>
      <c r="C23" s="2">
        <v>7.2899999619999996</v>
      </c>
      <c r="D23" s="2">
        <v>7.2899999619999996</v>
      </c>
      <c r="E23" s="2">
        <v>0</v>
      </c>
      <c r="F23" s="2">
        <v>2.6099998950000001</v>
      </c>
      <c r="G23" s="2">
        <v>0.34000000400000002</v>
      </c>
      <c r="H23" s="2">
        <v>4.329999924</v>
      </c>
      <c r="I23" s="2">
        <v>0</v>
      </c>
      <c r="J23" s="2">
        <v>36</v>
      </c>
      <c r="K23" s="2">
        <v>8</v>
      </c>
      <c r="L23" s="2">
        <v>277</v>
      </c>
      <c r="M23" s="2">
        <v>1119</v>
      </c>
      <c r="N23" s="2">
        <v>10379</v>
      </c>
      <c r="O23" s="2">
        <v>2473</v>
      </c>
    </row>
    <row r="24" spans="1:15" x14ac:dyDescent="0.35">
      <c r="A24" s="2">
        <v>1624580081</v>
      </c>
      <c r="B24" s="3">
        <v>42480</v>
      </c>
      <c r="C24" s="2">
        <v>3.2300000190000002</v>
      </c>
      <c r="D24" s="2">
        <v>3.2300000190000002</v>
      </c>
      <c r="E24" s="2">
        <v>0</v>
      </c>
      <c r="F24" s="2">
        <v>0</v>
      </c>
      <c r="G24" s="2">
        <v>0</v>
      </c>
      <c r="H24" s="2">
        <v>3.2300000190000002</v>
      </c>
      <c r="I24" s="2">
        <v>0</v>
      </c>
      <c r="J24" s="2">
        <v>0</v>
      </c>
      <c r="K24" s="2">
        <v>0</v>
      </c>
      <c r="L24" s="2">
        <v>151</v>
      </c>
      <c r="M24" s="2">
        <v>1289</v>
      </c>
      <c r="N24" s="2">
        <v>4974</v>
      </c>
      <c r="O24" s="2">
        <v>1446</v>
      </c>
    </row>
    <row r="25" spans="1:15" x14ac:dyDescent="0.35">
      <c r="A25" s="2">
        <v>4558609924</v>
      </c>
      <c r="B25" s="3">
        <v>42495</v>
      </c>
      <c r="C25" s="2">
        <v>7.0100002290000001</v>
      </c>
      <c r="D25" s="2">
        <v>7.0100002290000001</v>
      </c>
      <c r="E25" s="2">
        <v>0</v>
      </c>
      <c r="F25" s="2">
        <v>1.0099999900000001</v>
      </c>
      <c r="G25" s="2">
        <v>0.5</v>
      </c>
      <c r="H25" s="2">
        <v>5.5100002290000001</v>
      </c>
      <c r="I25" s="2">
        <v>0</v>
      </c>
      <c r="J25" s="2">
        <v>14</v>
      </c>
      <c r="K25" s="2">
        <v>8</v>
      </c>
      <c r="L25" s="2">
        <v>370</v>
      </c>
      <c r="M25" s="2">
        <v>1048</v>
      </c>
      <c r="N25" s="2">
        <v>10611</v>
      </c>
      <c r="O25" s="2">
        <v>2262</v>
      </c>
    </row>
    <row r="26" spans="1:15" x14ac:dyDescent="0.35">
      <c r="A26" s="2">
        <v>2347167796</v>
      </c>
      <c r="B26" s="3">
        <v>42708</v>
      </c>
      <c r="C26" s="2">
        <v>6.829999924</v>
      </c>
      <c r="D26" s="2">
        <v>6.829999924</v>
      </c>
      <c r="E26" s="2">
        <v>0</v>
      </c>
      <c r="F26" s="2">
        <v>2</v>
      </c>
      <c r="G26" s="2">
        <v>0.62000000499999997</v>
      </c>
      <c r="H26" s="2">
        <v>4.1999998090000004</v>
      </c>
      <c r="I26" s="2">
        <v>0</v>
      </c>
      <c r="J26" s="2">
        <v>28</v>
      </c>
      <c r="K26" s="2">
        <v>13</v>
      </c>
      <c r="L26" s="2">
        <v>320</v>
      </c>
      <c r="M26" s="2">
        <v>964</v>
      </c>
      <c r="N26" s="2">
        <v>10113</v>
      </c>
      <c r="O26" s="2">
        <v>2344</v>
      </c>
    </row>
    <row r="27" spans="1:15" x14ac:dyDescent="0.35">
      <c r="A27" s="2">
        <v>4020332650</v>
      </c>
      <c r="B27" s="3">
        <v>42434</v>
      </c>
      <c r="C27" s="2">
        <v>3.2200000289999999</v>
      </c>
      <c r="D27" s="2">
        <v>3.2200000289999999</v>
      </c>
      <c r="E27" s="2">
        <v>0</v>
      </c>
      <c r="F27" s="2">
        <v>0</v>
      </c>
      <c r="G27" s="2">
        <v>0</v>
      </c>
      <c r="H27" s="2">
        <v>3.1500000950000002</v>
      </c>
      <c r="I27" s="2">
        <v>5.0000001000000002E-2</v>
      </c>
      <c r="J27" s="2">
        <v>0</v>
      </c>
      <c r="K27" s="2">
        <v>0</v>
      </c>
      <c r="L27" s="2">
        <v>174</v>
      </c>
      <c r="M27" s="2">
        <v>950</v>
      </c>
      <c r="N27" s="2">
        <v>4496</v>
      </c>
      <c r="O27" s="2">
        <v>2828</v>
      </c>
    </row>
    <row r="28" spans="1:15" x14ac:dyDescent="0.35">
      <c r="A28" s="2">
        <v>1644430081</v>
      </c>
      <c r="B28" s="3">
        <v>42526</v>
      </c>
      <c r="C28" s="2">
        <v>7.1199998860000004</v>
      </c>
      <c r="D28" s="2">
        <v>7.1199998860000004</v>
      </c>
      <c r="E28" s="2">
        <v>0</v>
      </c>
      <c r="F28" s="2">
        <v>0.81999999300000004</v>
      </c>
      <c r="G28" s="2">
        <v>0.27000001099999998</v>
      </c>
      <c r="H28" s="2">
        <v>6.0100002290000001</v>
      </c>
      <c r="I28" s="2">
        <v>0.02</v>
      </c>
      <c r="J28" s="2">
        <v>11</v>
      </c>
      <c r="K28" s="2">
        <v>6</v>
      </c>
      <c r="L28" s="2">
        <v>369</v>
      </c>
      <c r="M28" s="2">
        <v>1054</v>
      </c>
      <c r="N28" s="2">
        <v>9787</v>
      </c>
      <c r="O28" s="2">
        <v>3328</v>
      </c>
    </row>
    <row r="29" spans="1:15" x14ac:dyDescent="0.35">
      <c r="A29" s="2">
        <v>2026352035</v>
      </c>
      <c r="B29" s="3">
        <v>42556</v>
      </c>
      <c r="C29" s="2">
        <v>2.5999999049999998</v>
      </c>
      <c r="D29" s="2">
        <v>2.5999999049999998</v>
      </c>
      <c r="E29" s="2">
        <v>0</v>
      </c>
      <c r="F29" s="2">
        <v>0</v>
      </c>
      <c r="G29" s="2">
        <v>0</v>
      </c>
      <c r="H29" s="2">
        <v>2.5999999049999998</v>
      </c>
      <c r="I29" s="2">
        <v>0</v>
      </c>
      <c r="J29" s="2">
        <v>0</v>
      </c>
      <c r="K29" s="2">
        <v>0</v>
      </c>
      <c r="L29" s="2">
        <v>229</v>
      </c>
      <c r="M29" s="2">
        <v>665</v>
      </c>
      <c r="N29" s="2">
        <v>4193</v>
      </c>
      <c r="O29" s="2">
        <v>1491</v>
      </c>
    </row>
    <row r="30" spans="1:15" x14ac:dyDescent="0.35">
      <c r="A30" s="2">
        <v>1644430081</v>
      </c>
      <c r="B30" s="3">
        <v>42480</v>
      </c>
      <c r="C30" s="2">
        <v>1.769999981</v>
      </c>
      <c r="D30" s="2">
        <v>1.769999981</v>
      </c>
      <c r="E30" s="2">
        <v>0</v>
      </c>
      <c r="F30" s="2">
        <v>0</v>
      </c>
      <c r="G30" s="2">
        <v>0</v>
      </c>
      <c r="H30" s="2">
        <v>1.7599999900000001</v>
      </c>
      <c r="I30" s="2">
        <v>0.01</v>
      </c>
      <c r="J30" s="2">
        <v>0</v>
      </c>
      <c r="K30" s="2">
        <v>0</v>
      </c>
      <c r="L30" s="2">
        <v>125</v>
      </c>
      <c r="M30" s="2">
        <v>1315</v>
      </c>
      <c r="N30" s="2">
        <v>2436</v>
      </c>
      <c r="O30" s="2">
        <v>2430</v>
      </c>
    </row>
    <row r="31" spans="1:15" x14ac:dyDescent="0.35">
      <c r="A31" s="2">
        <v>2022484408</v>
      </c>
      <c r="B31" s="3">
        <v>42483</v>
      </c>
      <c r="C31" s="2">
        <v>4.2100000380000004</v>
      </c>
      <c r="D31" s="2">
        <v>4.2100000380000004</v>
      </c>
      <c r="E31" s="2">
        <v>0</v>
      </c>
      <c r="F31" s="2">
        <v>0</v>
      </c>
      <c r="G31" s="2">
        <v>0</v>
      </c>
      <c r="H31" s="2">
        <v>4.2100000380000004</v>
      </c>
      <c r="I31" s="2">
        <v>0</v>
      </c>
      <c r="J31" s="2">
        <v>0</v>
      </c>
      <c r="K31" s="2">
        <v>0</v>
      </c>
      <c r="L31" s="2">
        <v>249</v>
      </c>
      <c r="M31" s="2">
        <v>1191</v>
      </c>
      <c r="N31" s="2">
        <v>6001</v>
      </c>
      <c r="O31" s="2">
        <v>2069</v>
      </c>
    </row>
    <row r="32" spans="1:15" x14ac:dyDescent="0.35">
      <c r="A32" s="2">
        <v>3977333714</v>
      </c>
      <c r="B32" s="3">
        <v>42483</v>
      </c>
      <c r="C32" s="2">
        <v>8.0699996949999999</v>
      </c>
      <c r="D32" s="2">
        <v>8.0699996949999999</v>
      </c>
      <c r="E32" s="2">
        <v>0</v>
      </c>
      <c r="F32" s="2">
        <v>0</v>
      </c>
      <c r="G32" s="2">
        <v>4.2199997900000001</v>
      </c>
      <c r="H32" s="2">
        <v>3.8499999049999998</v>
      </c>
      <c r="I32" s="2">
        <v>0</v>
      </c>
      <c r="J32" s="2">
        <v>0</v>
      </c>
      <c r="K32" s="2">
        <v>92</v>
      </c>
      <c r="L32" s="2">
        <v>252</v>
      </c>
      <c r="M32" s="2">
        <v>724</v>
      </c>
      <c r="N32" s="2">
        <v>12058</v>
      </c>
      <c r="O32" s="2">
        <v>1638</v>
      </c>
    </row>
    <row r="33" spans="1:15" x14ac:dyDescent="0.35">
      <c r="A33" s="2">
        <v>2022484408</v>
      </c>
      <c r="B33" s="3">
        <v>42476</v>
      </c>
      <c r="C33" s="2">
        <v>7.0900001530000001</v>
      </c>
      <c r="D33" s="2">
        <v>7.0900001530000001</v>
      </c>
      <c r="E33" s="2">
        <v>0</v>
      </c>
      <c r="F33" s="2">
        <v>3.1500000950000002</v>
      </c>
      <c r="G33" s="2">
        <v>0.55000001200000004</v>
      </c>
      <c r="H33" s="2">
        <v>3.3900001049999999</v>
      </c>
      <c r="I33" s="2">
        <v>0</v>
      </c>
      <c r="J33" s="2">
        <v>41</v>
      </c>
      <c r="K33" s="2">
        <v>11</v>
      </c>
      <c r="L33" s="2">
        <v>151</v>
      </c>
      <c r="M33" s="2">
        <v>1237</v>
      </c>
      <c r="N33" s="2">
        <v>10100</v>
      </c>
      <c r="O33" s="2">
        <v>2177</v>
      </c>
    </row>
    <row r="34" spans="1:15" x14ac:dyDescent="0.35">
      <c r="A34" s="2">
        <v>6290855005</v>
      </c>
      <c r="B34" s="3">
        <v>42483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33</v>
      </c>
      <c r="K34" s="2">
        <v>0</v>
      </c>
      <c r="L34" s="2">
        <v>0</v>
      </c>
      <c r="M34" s="2">
        <v>1407</v>
      </c>
      <c r="N34" s="2">
        <v>0</v>
      </c>
      <c r="O34" s="2">
        <v>2664</v>
      </c>
    </row>
    <row r="35" spans="1:15" x14ac:dyDescent="0.35">
      <c r="A35" s="2">
        <v>4445114986</v>
      </c>
      <c r="B35" s="3">
        <v>42480</v>
      </c>
      <c r="C35" s="2">
        <v>1.3899999860000001</v>
      </c>
      <c r="D35" s="2">
        <v>1.3899999860000001</v>
      </c>
      <c r="E35" s="2">
        <v>0</v>
      </c>
      <c r="F35" s="2">
        <v>0</v>
      </c>
      <c r="G35" s="2">
        <v>0</v>
      </c>
      <c r="H35" s="2">
        <v>1.3899999860000001</v>
      </c>
      <c r="I35" s="2">
        <v>0</v>
      </c>
      <c r="J35" s="2">
        <v>0</v>
      </c>
      <c r="K35" s="2">
        <v>0</v>
      </c>
      <c r="L35" s="2">
        <v>137</v>
      </c>
      <c r="M35" s="2">
        <v>841</v>
      </c>
      <c r="N35" s="2">
        <v>2072</v>
      </c>
      <c r="O35" s="2">
        <v>1974</v>
      </c>
    </row>
    <row r="36" spans="1:15" x14ac:dyDescent="0.35">
      <c r="A36" s="2">
        <v>4020332650</v>
      </c>
      <c r="B36" s="3">
        <v>42478</v>
      </c>
      <c r="C36" s="2">
        <v>3.9999999000000001E-2</v>
      </c>
      <c r="D36" s="2">
        <v>3.9999999000000001E-2</v>
      </c>
      <c r="E36" s="2">
        <v>0</v>
      </c>
      <c r="F36" s="2">
        <v>0</v>
      </c>
      <c r="G36" s="2">
        <v>0</v>
      </c>
      <c r="H36" s="2">
        <v>3.9999999000000001E-2</v>
      </c>
      <c r="I36" s="2">
        <v>0</v>
      </c>
      <c r="J36" s="2">
        <v>0</v>
      </c>
      <c r="K36" s="2">
        <v>0</v>
      </c>
      <c r="L36" s="2">
        <v>2</v>
      </c>
      <c r="M36" s="2">
        <v>1438</v>
      </c>
      <c r="N36" s="2">
        <v>62</v>
      </c>
      <c r="O36" s="2">
        <v>1995</v>
      </c>
    </row>
    <row r="37" spans="1:15" x14ac:dyDescent="0.35">
      <c r="A37" s="2">
        <v>8378563200</v>
      </c>
      <c r="B37" s="3">
        <v>42556</v>
      </c>
      <c r="C37" s="2">
        <v>3.539999962</v>
      </c>
      <c r="D37" s="2">
        <v>3.539999962</v>
      </c>
      <c r="E37" s="2">
        <v>0</v>
      </c>
      <c r="F37" s="2">
        <v>0</v>
      </c>
      <c r="G37" s="2">
        <v>0</v>
      </c>
      <c r="H37" s="2">
        <v>3.539999962</v>
      </c>
      <c r="I37" s="2">
        <v>0</v>
      </c>
      <c r="J37" s="2">
        <v>0</v>
      </c>
      <c r="K37" s="2">
        <v>0</v>
      </c>
      <c r="L37" s="2">
        <v>158</v>
      </c>
      <c r="M37" s="2">
        <v>851</v>
      </c>
      <c r="N37" s="2">
        <v>4468</v>
      </c>
      <c r="O37" s="2">
        <v>2799</v>
      </c>
    </row>
    <row r="38" spans="1:15" x14ac:dyDescent="0.35">
      <c r="A38" s="2">
        <v>6117666160</v>
      </c>
      <c r="B38" s="3">
        <v>42479</v>
      </c>
      <c r="C38" s="2">
        <v>8.4099998469999999</v>
      </c>
      <c r="D38" s="2">
        <v>8.4099998469999999</v>
      </c>
      <c r="E38" s="2">
        <v>0</v>
      </c>
      <c r="F38" s="2">
        <v>0</v>
      </c>
      <c r="G38" s="2">
        <v>0</v>
      </c>
      <c r="H38" s="2">
        <v>8.4099998469999999</v>
      </c>
      <c r="I38" s="2">
        <v>0</v>
      </c>
      <c r="J38" s="2">
        <v>0</v>
      </c>
      <c r="K38" s="2">
        <v>0</v>
      </c>
      <c r="L38" s="2">
        <v>480</v>
      </c>
      <c r="M38" s="2">
        <v>425</v>
      </c>
      <c r="N38" s="2">
        <v>11135</v>
      </c>
      <c r="O38" s="2">
        <v>2606</v>
      </c>
    </row>
    <row r="39" spans="1:15" x14ac:dyDescent="0.35">
      <c r="A39" s="2">
        <v>6117666160</v>
      </c>
      <c r="B39" s="3">
        <v>42473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1440</v>
      </c>
      <c r="N39" s="2">
        <v>0</v>
      </c>
      <c r="O39" s="2">
        <v>1496</v>
      </c>
    </row>
    <row r="40" spans="1:15" x14ac:dyDescent="0.35">
      <c r="A40" s="2">
        <v>1644430081</v>
      </c>
      <c r="B40" s="3">
        <v>42486</v>
      </c>
      <c r="C40" s="2">
        <v>7.2100000380000004</v>
      </c>
      <c r="D40" s="2">
        <v>7.2100000380000004</v>
      </c>
      <c r="E40" s="2">
        <v>0</v>
      </c>
      <c r="F40" s="2">
        <v>0.80000001200000004</v>
      </c>
      <c r="G40" s="2">
        <v>1.7200000289999999</v>
      </c>
      <c r="H40" s="2">
        <v>4.6900000569999998</v>
      </c>
      <c r="I40" s="2">
        <v>0</v>
      </c>
      <c r="J40" s="2">
        <v>11</v>
      </c>
      <c r="K40" s="2">
        <v>41</v>
      </c>
      <c r="L40" s="2">
        <v>223</v>
      </c>
      <c r="M40" s="2">
        <v>1165</v>
      </c>
      <c r="N40" s="2">
        <v>9919</v>
      </c>
      <c r="O40" s="2">
        <v>3123</v>
      </c>
    </row>
    <row r="41" spans="1:15" x14ac:dyDescent="0.35">
      <c r="A41" s="2">
        <v>4445114986</v>
      </c>
      <c r="B41" s="3">
        <v>42526</v>
      </c>
      <c r="C41" s="2">
        <v>3.0299999710000001</v>
      </c>
      <c r="D41" s="2">
        <v>3.0299999710000001</v>
      </c>
      <c r="E41" s="2">
        <v>0</v>
      </c>
      <c r="F41" s="2">
        <v>0</v>
      </c>
      <c r="G41" s="2">
        <v>0</v>
      </c>
      <c r="H41" s="2">
        <v>3.0299999710000001</v>
      </c>
      <c r="I41" s="2">
        <v>0</v>
      </c>
      <c r="J41" s="2">
        <v>0</v>
      </c>
      <c r="K41" s="2">
        <v>0</v>
      </c>
      <c r="L41" s="2">
        <v>229</v>
      </c>
      <c r="M41" s="2">
        <v>809</v>
      </c>
      <c r="N41" s="2">
        <v>4514</v>
      </c>
      <c r="O41" s="2">
        <v>2211</v>
      </c>
    </row>
    <row r="42" spans="1:15" x14ac:dyDescent="0.35">
      <c r="A42" s="2">
        <v>5577150313</v>
      </c>
      <c r="B42" s="3">
        <v>42495</v>
      </c>
      <c r="C42" s="2">
        <v>5.6399998660000001</v>
      </c>
      <c r="D42" s="2">
        <v>5.6399998660000001</v>
      </c>
      <c r="E42" s="2">
        <v>0</v>
      </c>
      <c r="F42" s="2">
        <v>2.5</v>
      </c>
      <c r="G42" s="2">
        <v>0.469999999</v>
      </c>
      <c r="H42" s="2">
        <v>2.670000076</v>
      </c>
      <c r="I42" s="2">
        <v>0</v>
      </c>
      <c r="J42" s="2">
        <v>45</v>
      </c>
      <c r="K42" s="2">
        <v>21</v>
      </c>
      <c r="L42" s="2">
        <v>143</v>
      </c>
      <c r="M42" s="2">
        <v>1153</v>
      </c>
      <c r="N42" s="2">
        <v>7550</v>
      </c>
      <c r="O42" s="2">
        <v>3004</v>
      </c>
    </row>
    <row r="43" spans="1:15" x14ac:dyDescent="0.35">
      <c r="A43" s="2">
        <v>8583815059</v>
      </c>
      <c r="B43" s="3">
        <v>42480</v>
      </c>
      <c r="C43" s="2">
        <v>4.1100001339999999</v>
      </c>
      <c r="D43" s="2">
        <v>4.1100001339999999</v>
      </c>
      <c r="E43" s="2">
        <v>0</v>
      </c>
      <c r="F43" s="2">
        <v>0</v>
      </c>
      <c r="G43" s="2">
        <v>1.039999962</v>
      </c>
      <c r="H43" s="2">
        <v>3.0699999330000001</v>
      </c>
      <c r="I43" s="2">
        <v>0</v>
      </c>
      <c r="J43" s="2">
        <v>0</v>
      </c>
      <c r="K43" s="2">
        <v>27</v>
      </c>
      <c r="L43" s="2">
        <v>167</v>
      </c>
      <c r="M43" s="2">
        <v>1246</v>
      </c>
      <c r="N43" s="2">
        <v>5273</v>
      </c>
      <c r="O43" s="2">
        <v>2647</v>
      </c>
    </row>
    <row r="44" spans="1:15" x14ac:dyDescent="0.35">
      <c r="A44" s="2">
        <v>2347167796</v>
      </c>
      <c r="B44" s="3">
        <v>42479</v>
      </c>
      <c r="C44" s="2">
        <v>4.4400000569999998</v>
      </c>
      <c r="D44" s="2">
        <v>4.4400000569999998</v>
      </c>
      <c r="E44" s="2">
        <v>0</v>
      </c>
      <c r="F44" s="2">
        <v>0</v>
      </c>
      <c r="G44" s="2">
        <v>0</v>
      </c>
      <c r="H44" s="2">
        <v>4.4400000569999998</v>
      </c>
      <c r="I44" s="2">
        <v>0</v>
      </c>
      <c r="J44" s="2">
        <v>0</v>
      </c>
      <c r="K44" s="2">
        <v>7</v>
      </c>
      <c r="L44" s="2">
        <v>382</v>
      </c>
      <c r="M44" s="2">
        <v>648</v>
      </c>
      <c r="N44" s="2">
        <v>6711</v>
      </c>
      <c r="O44" s="2">
        <v>2346</v>
      </c>
    </row>
    <row r="45" spans="1:15" x14ac:dyDescent="0.35">
      <c r="A45" s="2">
        <v>4388161847</v>
      </c>
      <c r="B45" s="3">
        <v>42483</v>
      </c>
      <c r="C45" s="2">
        <v>10.18000031</v>
      </c>
      <c r="D45" s="2">
        <v>10.18000031</v>
      </c>
      <c r="E45" s="2">
        <v>0</v>
      </c>
      <c r="F45" s="2">
        <v>4.5</v>
      </c>
      <c r="G45" s="2">
        <v>0.31999999299999998</v>
      </c>
      <c r="H45" s="2">
        <v>5.3499999049999998</v>
      </c>
      <c r="I45" s="2">
        <v>0</v>
      </c>
      <c r="J45" s="2">
        <v>58</v>
      </c>
      <c r="K45" s="2">
        <v>5</v>
      </c>
      <c r="L45" s="2">
        <v>215</v>
      </c>
      <c r="M45" s="2">
        <v>749</v>
      </c>
      <c r="N45" s="2">
        <v>13236</v>
      </c>
      <c r="O45" s="2">
        <v>3306</v>
      </c>
    </row>
    <row r="46" spans="1:15" x14ac:dyDescent="0.35">
      <c r="A46" s="2">
        <v>5577150313</v>
      </c>
      <c r="B46" s="3">
        <v>42648</v>
      </c>
      <c r="C46" s="2">
        <v>6.6500000950000002</v>
      </c>
      <c r="D46" s="2">
        <v>6.6500000950000002</v>
      </c>
      <c r="E46" s="2">
        <v>0</v>
      </c>
      <c r="F46" s="2">
        <v>2.5599999430000002</v>
      </c>
      <c r="G46" s="2">
        <v>0.75</v>
      </c>
      <c r="H46" s="2">
        <v>3.3499999049999998</v>
      </c>
      <c r="I46" s="2">
        <v>0</v>
      </c>
      <c r="J46" s="2">
        <v>104</v>
      </c>
      <c r="K46" s="2">
        <v>37</v>
      </c>
      <c r="L46" s="2">
        <v>194</v>
      </c>
      <c r="M46" s="2">
        <v>639</v>
      </c>
      <c r="N46" s="2">
        <v>8869</v>
      </c>
      <c r="O46" s="2">
        <v>3841</v>
      </c>
    </row>
    <row r="47" spans="1:15" x14ac:dyDescent="0.35">
      <c r="A47" s="2">
        <v>1844505072</v>
      </c>
      <c r="B47" s="3">
        <v>42487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1</v>
      </c>
      <c r="M47" s="2">
        <v>1439</v>
      </c>
      <c r="N47" s="2">
        <v>4</v>
      </c>
      <c r="O47" s="2">
        <v>1348</v>
      </c>
    </row>
    <row r="48" spans="1:15" x14ac:dyDescent="0.35">
      <c r="A48" s="2">
        <v>8253242879</v>
      </c>
      <c r="B48" s="3">
        <v>42480</v>
      </c>
      <c r="C48" s="2">
        <v>4.2699999809999998</v>
      </c>
      <c r="D48" s="2">
        <v>4.2699999809999998</v>
      </c>
      <c r="E48" s="2">
        <v>0</v>
      </c>
      <c r="F48" s="2">
        <v>0.33000001299999998</v>
      </c>
      <c r="G48" s="2">
        <v>0.81999999300000004</v>
      </c>
      <c r="H48" s="2">
        <v>3.1099998950000001</v>
      </c>
      <c r="I48" s="2">
        <v>0.01</v>
      </c>
      <c r="J48" s="2">
        <v>5</v>
      </c>
      <c r="K48" s="2">
        <v>18</v>
      </c>
      <c r="L48" s="2">
        <v>216</v>
      </c>
      <c r="M48" s="2">
        <v>1201</v>
      </c>
      <c r="N48" s="2">
        <v>6466</v>
      </c>
      <c r="O48" s="2">
        <v>1931</v>
      </c>
    </row>
    <row r="49" spans="1:15" x14ac:dyDescent="0.35">
      <c r="A49" s="2">
        <v>4702921684</v>
      </c>
      <c r="B49" s="3">
        <v>42709</v>
      </c>
      <c r="C49" s="2">
        <v>2.2300000190000002</v>
      </c>
      <c r="D49" s="2">
        <v>2.2300000190000002</v>
      </c>
      <c r="E49" s="2">
        <v>0</v>
      </c>
      <c r="F49" s="2">
        <v>0</v>
      </c>
      <c r="G49" s="2">
        <v>0</v>
      </c>
      <c r="H49" s="2">
        <v>2.2300000190000002</v>
      </c>
      <c r="I49" s="2">
        <v>0</v>
      </c>
      <c r="J49" s="2">
        <v>0</v>
      </c>
      <c r="K49" s="2">
        <v>0</v>
      </c>
      <c r="L49" s="2">
        <v>68</v>
      </c>
      <c r="M49" s="2">
        <v>241</v>
      </c>
      <c r="N49" s="2">
        <v>2752</v>
      </c>
      <c r="O49" s="2">
        <v>1240</v>
      </c>
    </row>
    <row r="50" spans="1:15" x14ac:dyDescent="0.35">
      <c r="A50" s="2">
        <v>8583815059</v>
      </c>
      <c r="B50" s="3">
        <v>42526</v>
      </c>
      <c r="C50" s="2">
        <v>4.5599999430000002</v>
      </c>
      <c r="D50" s="2">
        <v>4.5599999430000002</v>
      </c>
      <c r="E50" s="2">
        <v>0</v>
      </c>
      <c r="F50" s="2">
        <v>0.14000000100000001</v>
      </c>
      <c r="G50" s="2">
        <v>1.190000057</v>
      </c>
      <c r="H50" s="2">
        <v>3.2300000190000002</v>
      </c>
      <c r="I50" s="2">
        <v>0</v>
      </c>
      <c r="J50" s="2">
        <v>2</v>
      </c>
      <c r="K50" s="2">
        <v>22</v>
      </c>
      <c r="L50" s="2">
        <v>166</v>
      </c>
      <c r="M50" s="2">
        <v>1250</v>
      </c>
      <c r="N50" s="2">
        <v>5843</v>
      </c>
      <c r="O50" s="2">
        <v>2683</v>
      </c>
    </row>
    <row r="51" spans="1:15" x14ac:dyDescent="0.35">
      <c r="A51" s="2">
        <v>7007744171</v>
      </c>
      <c r="B51" s="3">
        <v>42483</v>
      </c>
      <c r="C51" s="2">
        <v>5.4099998469999999</v>
      </c>
      <c r="D51" s="2">
        <v>5.4099998469999999</v>
      </c>
      <c r="E51" s="2">
        <v>0</v>
      </c>
      <c r="F51" s="2">
        <v>0.12999999500000001</v>
      </c>
      <c r="G51" s="2">
        <v>1.1299999949999999</v>
      </c>
      <c r="H51" s="2">
        <v>4.1500000950000002</v>
      </c>
      <c r="I51" s="2">
        <v>0</v>
      </c>
      <c r="J51" s="2">
        <v>2</v>
      </c>
      <c r="K51" s="2">
        <v>25</v>
      </c>
      <c r="L51" s="2">
        <v>223</v>
      </c>
      <c r="M51" s="2">
        <v>1190</v>
      </c>
      <c r="N51" s="2">
        <v>8093</v>
      </c>
      <c r="O51" s="2">
        <v>2284</v>
      </c>
    </row>
    <row r="52" spans="1:15" x14ac:dyDescent="0.35">
      <c r="A52" s="2">
        <v>7086361926</v>
      </c>
      <c r="B52" s="3">
        <v>42484</v>
      </c>
      <c r="C52" s="2">
        <v>2.1600000860000002</v>
      </c>
      <c r="D52" s="2">
        <v>2.1600000860000002</v>
      </c>
      <c r="E52" s="2">
        <v>0</v>
      </c>
      <c r="F52" s="2">
        <v>0</v>
      </c>
      <c r="G52" s="2">
        <v>0</v>
      </c>
      <c r="H52" s="2">
        <v>2.1500000950000002</v>
      </c>
      <c r="I52" s="2">
        <v>0</v>
      </c>
      <c r="J52" s="2">
        <v>0</v>
      </c>
      <c r="K52" s="2">
        <v>0</v>
      </c>
      <c r="L52" s="2">
        <v>125</v>
      </c>
      <c r="M52" s="2">
        <v>566</v>
      </c>
      <c r="N52" s="2">
        <v>3520</v>
      </c>
      <c r="O52" s="2">
        <v>2049</v>
      </c>
    </row>
    <row r="53" spans="1:15" x14ac:dyDescent="0.35">
      <c r="A53" s="2">
        <v>6117666160</v>
      </c>
      <c r="B53" s="3">
        <v>42474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1440</v>
      </c>
      <c r="N53" s="2">
        <v>0</v>
      </c>
      <c r="O53" s="2">
        <v>1496</v>
      </c>
    </row>
    <row r="54" spans="1:15" x14ac:dyDescent="0.35">
      <c r="A54" s="2">
        <v>6290855005</v>
      </c>
      <c r="B54" s="3">
        <v>42618</v>
      </c>
      <c r="C54" s="2">
        <v>4.75</v>
      </c>
      <c r="D54" s="2">
        <v>4.75</v>
      </c>
      <c r="E54" s="2">
        <v>0</v>
      </c>
      <c r="F54" s="2">
        <v>0</v>
      </c>
      <c r="G54" s="2">
        <v>0</v>
      </c>
      <c r="H54" s="2">
        <v>4.7300000190000002</v>
      </c>
      <c r="I54" s="2">
        <v>0.02</v>
      </c>
      <c r="J54" s="2">
        <v>0</v>
      </c>
      <c r="K54" s="2">
        <v>0</v>
      </c>
      <c r="L54" s="2">
        <v>264</v>
      </c>
      <c r="M54" s="2">
        <v>800</v>
      </c>
      <c r="N54" s="2">
        <v>6277</v>
      </c>
      <c r="O54" s="2">
        <v>2175</v>
      </c>
    </row>
    <row r="55" spans="1:15" x14ac:dyDescent="0.35">
      <c r="A55" s="2">
        <v>6290855005</v>
      </c>
      <c r="B55" s="3">
        <v>42478</v>
      </c>
      <c r="C55" s="2">
        <v>5.2100000380000004</v>
      </c>
      <c r="D55" s="2">
        <v>5.2100000380000004</v>
      </c>
      <c r="E55" s="2">
        <v>0</v>
      </c>
      <c r="F55" s="2">
        <v>0</v>
      </c>
      <c r="G55" s="2">
        <v>0</v>
      </c>
      <c r="H55" s="2">
        <v>5.1900000569999998</v>
      </c>
      <c r="I55" s="2">
        <v>0.02</v>
      </c>
      <c r="J55" s="2">
        <v>0</v>
      </c>
      <c r="K55" s="2">
        <v>0</v>
      </c>
      <c r="L55" s="2">
        <v>271</v>
      </c>
      <c r="M55" s="2">
        <v>1169</v>
      </c>
      <c r="N55" s="2">
        <v>6885</v>
      </c>
      <c r="O55" s="2">
        <v>2766</v>
      </c>
    </row>
    <row r="56" spans="1:15" x14ac:dyDescent="0.35">
      <c r="A56" s="2">
        <v>3372868164</v>
      </c>
      <c r="B56" s="3">
        <v>42485</v>
      </c>
      <c r="C56" s="2">
        <v>4.0900001530000001</v>
      </c>
      <c r="D56" s="2">
        <v>4.0900001530000001</v>
      </c>
      <c r="E56" s="2">
        <v>0</v>
      </c>
      <c r="F56" s="2">
        <v>0</v>
      </c>
      <c r="G56" s="2">
        <v>0</v>
      </c>
      <c r="H56" s="2">
        <v>4.0900001530000001</v>
      </c>
      <c r="I56" s="2">
        <v>0</v>
      </c>
      <c r="J56" s="2">
        <v>0</v>
      </c>
      <c r="K56" s="2">
        <v>0</v>
      </c>
      <c r="L56" s="2">
        <v>416</v>
      </c>
      <c r="M56" s="2">
        <v>1024</v>
      </c>
      <c r="N56" s="2">
        <v>5995</v>
      </c>
      <c r="O56" s="2">
        <v>2010</v>
      </c>
    </row>
    <row r="57" spans="1:15" x14ac:dyDescent="0.35">
      <c r="A57" s="2">
        <v>8877689391</v>
      </c>
      <c r="B57" s="3">
        <v>42488</v>
      </c>
      <c r="C57" s="2">
        <v>11.30000019</v>
      </c>
      <c r="D57" s="2">
        <v>11.30000019</v>
      </c>
      <c r="E57" s="2">
        <v>0</v>
      </c>
      <c r="F57" s="2">
        <v>4.9299998279999997</v>
      </c>
      <c r="G57" s="2">
        <v>0.37999999499999998</v>
      </c>
      <c r="H57" s="2">
        <v>5.9699997900000001</v>
      </c>
      <c r="I57" s="2">
        <v>0</v>
      </c>
      <c r="J57" s="2">
        <v>58</v>
      </c>
      <c r="K57" s="2">
        <v>8</v>
      </c>
      <c r="L57" s="2">
        <v>231</v>
      </c>
      <c r="M57" s="2">
        <v>1143</v>
      </c>
      <c r="N57" s="2">
        <v>14890</v>
      </c>
      <c r="O57" s="2">
        <v>3060</v>
      </c>
    </row>
    <row r="58" spans="1:15" x14ac:dyDescent="0.35">
      <c r="A58" s="2">
        <v>2022484408</v>
      </c>
      <c r="B58" s="3">
        <v>42486</v>
      </c>
      <c r="C58" s="2">
        <v>7.1900000569999998</v>
      </c>
      <c r="D58" s="2">
        <v>7.1900000569999998</v>
      </c>
      <c r="E58" s="2">
        <v>0</v>
      </c>
      <c r="F58" s="2">
        <v>1.4299999480000001</v>
      </c>
      <c r="G58" s="2">
        <v>0.66000002599999996</v>
      </c>
      <c r="H58" s="2">
        <v>5.1100001339999999</v>
      </c>
      <c r="I58" s="2">
        <v>0</v>
      </c>
      <c r="J58" s="2">
        <v>55</v>
      </c>
      <c r="K58" s="2">
        <v>24</v>
      </c>
      <c r="L58" s="2">
        <v>275</v>
      </c>
      <c r="M58" s="2">
        <v>1086</v>
      </c>
      <c r="N58" s="2">
        <v>10119</v>
      </c>
      <c r="O58" s="2">
        <v>2793</v>
      </c>
    </row>
    <row r="59" spans="1:15" x14ac:dyDescent="0.35">
      <c r="A59" s="2">
        <v>1844505072</v>
      </c>
      <c r="B59" s="3">
        <v>42476</v>
      </c>
      <c r="C59" s="2">
        <v>2.2599999899999998</v>
      </c>
      <c r="D59" s="2">
        <v>2.2599999899999998</v>
      </c>
      <c r="E59" s="2">
        <v>0</v>
      </c>
      <c r="F59" s="2">
        <v>0</v>
      </c>
      <c r="G59" s="2">
        <v>0</v>
      </c>
      <c r="H59" s="2">
        <v>2.2599999899999998</v>
      </c>
      <c r="I59" s="2">
        <v>0</v>
      </c>
      <c r="J59" s="2">
        <v>0</v>
      </c>
      <c r="K59" s="2">
        <v>0</v>
      </c>
      <c r="L59" s="2">
        <v>147</v>
      </c>
      <c r="M59" s="2">
        <v>1293</v>
      </c>
      <c r="N59" s="2">
        <v>3414</v>
      </c>
      <c r="O59" s="2">
        <v>1657</v>
      </c>
    </row>
    <row r="60" spans="1:15" x14ac:dyDescent="0.35">
      <c r="A60" s="2">
        <v>3977333714</v>
      </c>
      <c r="B60" s="3">
        <v>42475</v>
      </c>
      <c r="C60" s="2">
        <v>6.0599999430000002</v>
      </c>
      <c r="D60" s="2">
        <v>6.0599999430000002</v>
      </c>
      <c r="E60" s="2">
        <v>0</v>
      </c>
      <c r="F60" s="2">
        <v>1.0499999520000001</v>
      </c>
      <c r="G60" s="2">
        <v>1.75</v>
      </c>
      <c r="H60" s="2">
        <v>3.2599999899999998</v>
      </c>
      <c r="I60" s="2">
        <v>0</v>
      </c>
      <c r="J60" s="2">
        <v>15</v>
      </c>
      <c r="K60" s="2">
        <v>42</v>
      </c>
      <c r="L60" s="2">
        <v>183</v>
      </c>
      <c r="M60" s="2">
        <v>644</v>
      </c>
      <c r="N60" s="2">
        <v>9010</v>
      </c>
      <c r="O60" s="2">
        <v>1468</v>
      </c>
    </row>
    <row r="61" spans="1:15" x14ac:dyDescent="0.35">
      <c r="A61" s="2">
        <v>3977333714</v>
      </c>
      <c r="B61" s="3">
        <v>42479</v>
      </c>
      <c r="C61" s="2">
        <v>8.7799997330000004</v>
      </c>
      <c r="D61" s="2">
        <v>8.7799997330000004</v>
      </c>
      <c r="E61" s="2">
        <v>0</v>
      </c>
      <c r="F61" s="2">
        <v>2.2400000100000002</v>
      </c>
      <c r="G61" s="2">
        <v>2.4500000480000002</v>
      </c>
      <c r="H61" s="2">
        <v>3.960000038</v>
      </c>
      <c r="I61" s="2">
        <v>0</v>
      </c>
      <c r="J61" s="2">
        <v>19</v>
      </c>
      <c r="K61" s="2">
        <v>67</v>
      </c>
      <c r="L61" s="2">
        <v>221</v>
      </c>
      <c r="M61" s="2">
        <v>738</v>
      </c>
      <c r="N61" s="2">
        <v>12414</v>
      </c>
      <c r="O61" s="2">
        <v>1638</v>
      </c>
    </row>
    <row r="62" spans="1:15" x14ac:dyDescent="0.35">
      <c r="A62" s="2">
        <v>6775888955</v>
      </c>
      <c r="B62" s="3">
        <v>42526</v>
      </c>
      <c r="C62" s="2">
        <v>3.369999886</v>
      </c>
      <c r="D62" s="2">
        <v>3.369999886</v>
      </c>
      <c r="E62" s="2">
        <v>0</v>
      </c>
      <c r="F62" s="2">
        <v>0.469999999</v>
      </c>
      <c r="G62" s="2">
        <v>0.93000000699999996</v>
      </c>
      <c r="H62" s="2">
        <v>1.9299999480000001</v>
      </c>
      <c r="I62" s="2">
        <v>0</v>
      </c>
      <c r="J62" s="2">
        <v>12</v>
      </c>
      <c r="K62" s="2">
        <v>35</v>
      </c>
      <c r="L62" s="2">
        <v>75</v>
      </c>
      <c r="M62" s="2">
        <v>1318</v>
      </c>
      <c r="N62" s="2">
        <v>4697</v>
      </c>
      <c r="O62" s="2">
        <v>2496</v>
      </c>
    </row>
    <row r="63" spans="1:15" x14ac:dyDescent="0.35">
      <c r="A63" s="2">
        <v>4702921684</v>
      </c>
      <c r="B63" s="3">
        <v>42488</v>
      </c>
      <c r="C63" s="2">
        <v>7.3200001720000003</v>
      </c>
      <c r="D63" s="2">
        <v>7.3200001720000003</v>
      </c>
      <c r="E63" s="2">
        <v>0</v>
      </c>
      <c r="F63" s="2">
        <v>1.1299999949999999</v>
      </c>
      <c r="G63" s="2">
        <v>0.41999998700000002</v>
      </c>
      <c r="H63" s="2">
        <v>5.7699999809999998</v>
      </c>
      <c r="I63" s="2">
        <v>0</v>
      </c>
      <c r="J63" s="2">
        <v>14</v>
      </c>
      <c r="K63" s="2">
        <v>9</v>
      </c>
      <c r="L63" s="2">
        <v>232</v>
      </c>
      <c r="M63" s="2">
        <v>738</v>
      </c>
      <c r="N63" s="2">
        <v>9023</v>
      </c>
      <c r="O63" s="2">
        <v>3033</v>
      </c>
    </row>
    <row r="64" spans="1:15" x14ac:dyDescent="0.35">
      <c r="A64" s="2">
        <v>2026352035</v>
      </c>
      <c r="B64" s="3">
        <v>42526</v>
      </c>
      <c r="C64" s="2">
        <v>5.079999924</v>
      </c>
      <c r="D64" s="2">
        <v>5.079999924</v>
      </c>
      <c r="E64" s="2">
        <v>0</v>
      </c>
      <c r="F64" s="2">
        <v>0</v>
      </c>
      <c r="G64" s="2">
        <v>0</v>
      </c>
      <c r="H64" s="2">
        <v>5.079999924</v>
      </c>
      <c r="I64" s="2">
        <v>0</v>
      </c>
      <c r="J64" s="2">
        <v>0</v>
      </c>
      <c r="K64" s="2">
        <v>0</v>
      </c>
      <c r="L64" s="2">
        <v>383</v>
      </c>
      <c r="M64" s="2">
        <v>511</v>
      </c>
      <c r="N64" s="2">
        <v>8198</v>
      </c>
      <c r="O64" s="2">
        <v>1736</v>
      </c>
    </row>
    <row r="65" spans="1:15" x14ac:dyDescent="0.35">
      <c r="A65" s="2">
        <v>1644430081</v>
      </c>
      <c r="B65" s="3">
        <v>42477</v>
      </c>
      <c r="C65" s="2">
        <v>6.3699998860000004</v>
      </c>
      <c r="D65" s="2">
        <v>6.3699998860000004</v>
      </c>
      <c r="E65" s="2">
        <v>0</v>
      </c>
      <c r="F65" s="2">
        <v>2.25</v>
      </c>
      <c r="G65" s="2">
        <v>0.56999999300000004</v>
      </c>
      <c r="H65" s="2">
        <v>3.5499999519999998</v>
      </c>
      <c r="I65" s="2">
        <v>0</v>
      </c>
      <c r="J65" s="2">
        <v>29</v>
      </c>
      <c r="K65" s="2">
        <v>13</v>
      </c>
      <c r="L65" s="2">
        <v>186</v>
      </c>
      <c r="M65" s="2">
        <v>1212</v>
      </c>
      <c r="N65" s="2">
        <v>8757</v>
      </c>
      <c r="O65" s="2">
        <v>3011</v>
      </c>
    </row>
    <row r="66" spans="1:15" x14ac:dyDescent="0.35">
      <c r="A66" s="2">
        <v>3977333714</v>
      </c>
      <c r="B66" s="3">
        <v>42489</v>
      </c>
      <c r="C66" s="2">
        <v>7.75</v>
      </c>
      <c r="D66" s="2">
        <v>7.75</v>
      </c>
      <c r="E66" s="2">
        <v>0</v>
      </c>
      <c r="F66" s="2">
        <v>3.7400000100000002</v>
      </c>
      <c r="G66" s="2">
        <v>1.2999999520000001</v>
      </c>
      <c r="H66" s="2">
        <v>2.710000038</v>
      </c>
      <c r="I66" s="2">
        <v>0</v>
      </c>
      <c r="J66" s="2">
        <v>36</v>
      </c>
      <c r="K66" s="2">
        <v>32</v>
      </c>
      <c r="L66" s="2">
        <v>150</v>
      </c>
      <c r="M66" s="2">
        <v>744</v>
      </c>
      <c r="N66" s="2">
        <v>10645</v>
      </c>
      <c r="O66" s="2">
        <v>1545</v>
      </c>
    </row>
    <row r="67" spans="1:15" x14ac:dyDescent="0.35">
      <c r="A67" s="2">
        <v>8792009665</v>
      </c>
      <c r="B67" s="3">
        <v>42475</v>
      </c>
      <c r="C67" s="2">
        <v>1.5900000329999999</v>
      </c>
      <c r="D67" s="2">
        <v>1.5900000329999999</v>
      </c>
      <c r="E67" s="2">
        <v>0</v>
      </c>
      <c r="F67" s="2">
        <v>0</v>
      </c>
      <c r="G67" s="2">
        <v>0</v>
      </c>
      <c r="H67" s="2">
        <v>1.5900000329999999</v>
      </c>
      <c r="I67" s="2">
        <v>0</v>
      </c>
      <c r="J67" s="2">
        <v>0</v>
      </c>
      <c r="K67" s="2">
        <v>0</v>
      </c>
      <c r="L67" s="2">
        <v>126</v>
      </c>
      <c r="M67" s="2">
        <v>937</v>
      </c>
      <c r="N67" s="2">
        <v>2483</v>
      </c>
      <c r="O67" s="2">
        <v>2009</v>
      </c>
    </row>
    <row r="68" spans="1:15" x14ac:dyDescent="0.35">
      <c r="A68" s="2">
        <v>2347167796</v>
      </c>
      <c r="B68" s="3">
        <v>42475</v>
      </c>
      <c r="C68" s="2">
        <v>6.920000076</v>
      </c>
      <c r="D68" s="2">
        <v>6.920000076</v>
      </c>
      <c r="E68" s="2">
        <v>0</v>
      </c>
      <c r="F68" s="2">
        <v>7.0000000000000007E-2</v>
      </c>
      <c r="G68" s="2">
        <v>1.4199999569999999</v>
      </c>
      <c r="H68" s="2">
        <v>5.4299998279999997</v>
      </c>
      <c r="I68" s="2">
        <v>0</v>
      </c>
      <c r="J68" s="2">
        <v>1</v>
      </c>
      <c r="K68" s="2">
        <v>24</v>
      </c>
      <c r="L68" s="2">
        <v>284</v>
      </c>
      <c r="M68" s="2">
        <v>720</v>
      </c>
      <c r="N68" s="2">
        <v>10465</v>
      </c>
      <c r="O68" s="2">
        <v>2133</v>
      </c>
    </row>
    <row r="69" spans="1:15" x14ac:dyDescent="0.35">
      <c r="A69" s="2">
        <v>4057192912</v>
      </c>
      <c r="B69" s="3">
        <v>42708</v>
      </c>
      <c r="C69" s="2">
        <v>4.0300002099999999</v>
      </c>
      <c r="D69" s="2">
        <v>4.0300002099999999</v>
      </c>
      <c r="E69" s="2">
        <v>0</v>
      </c>
      <c r="F69" s="2">
        <v>0</v>
      </c>
      <c r="G69" s="2">
        <v>0</v>
      </c>
      <c r="H69" s="2">
        <v>3.9400000569999998</v>
      </c>
      <c r="I69" s="2">
        <v>0</v>
      </c>
      <c r="J69" s="2">
        <v>0</v>
      </c>
      <c r="K69" s="2">
        <v>0</v>
      </c>
      <c r="L69" s="2">
        <v>164</v>
      </c>
      <c r="M69" s="2">
        <v>1276</v>
      </c>
      <c r="N69" s="2">
        <v>5394</v>
      </c>
      <c r="O69" s="2">
        <v>2286</v>
      </c>
    </row>
    <row r="70" spans="1:15" x14ac:dyDescent="0.35">
      <c r="A70" s="2">
        <v>3372868164</v>
      </c>
      <c r="B70" s="3">
        <v>42486</v>
      </c>
      <c r="C70" s="2">
        <v>5.7899999619999996</v>
      </c>
      <c r="D70" s="2">
        <v>5.7899999619999996</v>
      </c>
      <c r="E70" s="2">
        <v>0</v>
      </c>
      <c r="F70" s="2">
        <v>1.8500000240000001</v>
      </c>
      <c r="G70" s="2">
        <v>5.0000001000000002E-2</v>
      </c>
      <c r="H70" s="2">
        <v>3.869999886</v>
      </c>
      <c r="I70" s="2">
        <v>0.01</v>
      </c>
      <c r="J70" s="2">
        <v>22</v>
      </c>
      <c r="K70" s="2">
        <v>2</v>
      </c>
      <c r="L70" s="2">
        <v>333</v>
      </c>
      <c r="M70" s="2">
        <v>1083</v>
      </c>
      <c r="N70" s="2">
        <v>8283</v>
      </c>
      <c r="O70" s="2">
        <v>2057</v>
      </c>
    </row>
    <row r="71" spans="1:15" x14ac:dyDescent="0.35">
      <c r="A71" s="2">
        <v>6775888955</v>
      </c>
      <c r="B71" s="3">
        <v>42490</v>
      </c>
      <c r="C71" s="2">
        <v>1.789999962</v>
      </c>
      <c r="D71" s="2">
        <v>1.789999962</v>
      </c>
      <c r="E71" s="2">
        <v>0</v>
      </c>
      <c r="F71" s="2">
        <v>0.15999999600000001</v>
      </c>
      <c r="G71" s="2">
        <v>0.15999999600000001</v>
      </c>
      <c r="H71" s="2">
        <v>1.480000019</v>
      </c>
      <c r="I71" s="2">
        <v>0</v>
      </c>
      <c r="J71" s="2">
        <v>3</v>
      </c>
      <c r="K71" s="2">
        <v>9</v>
      </c>
      <c r="L71" s="2">
        <v>84</v>
      </c>
      <c r="M71" s="2">
        <v>1344</v>
      </c>
      <c r="N71" s="2">
        <v>2503</v>
      </c>
      <c r="O71" s="2">
        <v>2280</v>
      </c>
    </row>
    <row r="72" spans="1:15" x14ac:dyDescent="0.35">
      <c r="A72" s="2">
        <v>4558609924</v>
      </c>
      <c r="B72" s="3">
        <v>42405</v>
      </c>
      <c r="C72" s="2">
        <v>5.2199997900000001</v>
      </c>
      <c r="D72" s="2">
        <v>5.2199997900000001</v>
      </c>
      <c r="E72" s="2">
        <v>0</v>
      </c>
      <c r="F72" s="2">
        <v>0</v>
      </c>
      <c r="G72" s="2">
        <v>0</v>
      </c>
      <c r="H72" s="2">
        <v>5.2199997900000001</v>
      </c>
      <c r="I72" s="2">
        <v>0</v>
      </c>
      <c r="J72" s="2">
        <v>0</v>
      </c>
      <c r="K72" s="2">
        <v>0</v>
      </c>
      <c r="L72" s="2">
        <v>383</v>
      </c>
      <c r="M72" s="2">
        <v>1057</v>
      </c>
      <c r="N72" s="2">
        <v>7891</v>
      </c>
      <c r="O72" s="2">
        <v>2066</v>
      </c>
    </row>
    <row r="73" spans="1:15" x14ac:dyDescent="0.35">
      <c r="A73" s="2">
        <v>5577150313</v>
      </c>
      <c r="B73" s="3">
        <v>42474</v>
      </c>
      <c r="C73" s="2">
        <v>6.420000076</v>
      </c>
      <c r="D73" s="2">
        <v>6.420000076</v>
      </c>
      <c r="E73" s="2">
        <v>0</v>
      </c>
      <c r="F73" s="2">
        <v>3.329999924</v>
      </c>
      <c r="G73" s="2">
        <v>0.310000002</v>
      </c>
      <c r="H73" s="2">
        <v>2.7799999710000001</v>
      </c>
      <c r="I73" s="2">
        <v>0</v>
      </c>
      <c r="J73" s="2">
        <v>118</v>
      </c>
      <c r="K73" s="2">
        <v>30</v>
      </c>
      <c r="L73" s="2">
        <v>176</v>
      </c>
      <c r="M73" s="2">
        <v>662</v>
      </c>
      <c r="N73" s="2">
        <v>8596</v>
      </c>
      <c r="O73" s="2">
        <v>4022</v>
      </c>
    </row>
    <row r="74" spans="1:15" x14ac:dyDescent="0.35">
      <c r="A74" s="2">
        <v>2873212765</v>
      </c>
      <c r="B74" s="3">
        <v>42556</v>
      </c>
      <c r="C74" s="2">
        <v>3.380000114</v>
      </c>
      <c r="D74" s="2">
        <v>3.380000114</v>
      </c>
      <c r="E74" s="2">
        <v>0</v>
      </c>
      <c r="F74" s="2">
        <v>2.2799999710000001</v>
      </c>
      <c r="G74" s="2">
        <v>0.55000001200000004</v>
      </c>
      <c r="H74" s="2">
        <v>0.55000001200000004</v>
      </c>
      <c r="I74" s="2">
        <v>0</v>
      </c>
      <c r="J74" s="2">
        <v>75</v>
      </c>
      <c r="K74" s="2">
        <v>11</v>
      </c>
      <c r="L74" s="2">
        <v>52</v>
      </c>
      <c r="M74" s="2">
        <v>1302</v>
      </c>
      <c r="N74" s="2">
        <v>4940</v>
      </c>
      <c r="O74" s="2">
        <v>1897</v>
      </c>
    </row>
    <row r="75" spans="1:15" x14ac:dyDescent="0.35">
      <c r="A75" s="2">
        <v>4558609924</v>
      </c>
      <c r="B75" s="3">
        <v>42434</v>
      </c>
      <c r="C75" s="2">
        <v>3.4800000190000002</v>
      </c>
      <c r="D75" s="2">
        <v>3.4800000190000002</v>
      </c>
      <c r="E75" s="2">
        <v>0</v>
      </c>
      <c r="F75" s="2">
        <v>0.60000002399999997</v>
      </c>
      <c r="G75" s="2">
        <v>0.280000001</v>
      </c>
      <c r="H75" s="2">
        <v>2.5999999049999998</v>
      </c>
      <c r="I75" s="2">
        <v>0</v>
      </c>
      <c r="J75" s="2">
        <v>21</v>
      </c>
      <c r="K75" s="2">
        <v>10</v>
      </c>
      <c r="L75" s="2">
        <v>237</v>
      </c>
      <c r="M75" s="2">
        <v>1172</v>
      </c>
      <c r="N75" s="2">
        <v>5267</v>
      </c>
      <c r="O75" s="2">
        <v>1953</v>
      </c>
    </row>
    <row r="76" spans="1:15" x14ac:dyDescent="0.35">
      <c r="A76" s="2">
        <v>5577150313</v>
      </c>
      <c r="B76" s="3">
        <v>42487</v>
      </c>
      <c r="C76" s="2">
        <v>5.1399998660000001</v>
      </c>
      <c r="D76" s="2">
        <v>5.1399998660000001</v>
      </c>
      <c r="E76" s="2">
        <v>0</v>
      </c>
      <c r="F76" s="2">
        <v>1.809999943</v>
      </c>
      <c r="G76" s="2">
        <v>0.40000000600000002</v>
      </c>
      <c r="H76" s="2">
        <v>2.9300000669999999</v>
      </c>
      <c r="I76" s="2">
        <v>0</v>
      </c>
      <c r="J76" s="2">
        <v>63</v>
      </c>
      <c r="K76" s="2">
        <v>16</v>
      </c>
      <c r="L76" s="2">
        <v>190</v>
      </c>
      <c r="M76" s="2">
        <v>773</v>
      </c>
      <c r="N76" s="2">
        <v>6805</v>
      </c>
      <c r="O76" s="2">
        <v>3294</v>
      </c>
    </row>
    <row r="77" spans="1:15" x14ac:dyDescent="0.35">
      <c r="A77" s="2">
        <v>4702921684</v>
      </c>
      <c r="B77" s="3">
        <v>42485</v>
      </c>
      <c r="C77" s="2">
        <v>7.4299998279999997</v>
      </c>
      <c r="D77" s="2">
        <v>7.4299998279999997</v>
      </c>
      <c r="E77" s="2">
        <v>0</v>
      </c>
      <c r="F77" s="2">
        <v>0.49000000999999999</v>
      </c>
      <c r="G77" s="2">
        <v>0.81999999300000004</v>
      </c>
      <c r="H77" s="2">
        <v>6.1100001339999999</v>
      </c>
      <c r="I77" s="2">
        <v>0</v>
      </c>
      <c r="J77" s="2">
        <v>6</v>
      </c>
      <c r="K77" s="2">
        <v>15</v>
      </c>
      <c r="L77" s="2">
        <v>270</v>
      </c>
      <c r="M77" s="2">
        <v>730</v>
      </c>
      <c r="N77" s="2">
        <v>9167</v>
      </c>
      <c r="O77" s="2">
        <v>3064</v>
      </c>
    </row>
    <row r="78" spans="1:15" x14ac:dyDescent="0.35">
      <c r="A78" s="2">
        <v>6775888955</v>
      </c>
      <c r="B78" s="3">
        <v>42482</v>
      </c>
      <c r="C78" s="2">
        <v>0.46000000800000002</v>
      </c>
      <c r="D78" s="2">
        <v>0.46000000800000002</v>
      </c>
      <c r="E78" s="2">
        <v>0</v>
      </c>
      <c r="F78" s="2">
        <v>0</v>
      </c>
      <c r="G78" s="2">
        <v>0</v>
      </c>
      <c r="H78" s="2">
        <v>0.46000000800000002</v>
      </c>
      <c r="I78" s="2">
        <v>0</v>
      </c>
      <c r="J78" s="2">
        <v>0</v>
      </c>
      <c r="K78" s="2">
        <v>0</v>
      </c>
      <c r="L78" s="2">
        <v>20</v>
      </c>
      <c r="M78" s="2">
        <v>1420</v>
      </c>
      <c r="N78" s="2">
        <v>637</v>
      </c>
      <c r="O78" s="2">
        <v>1922</v>
      </c>
    </row>
    <row r="79" spans="1:15" x14ac:dyDescent="0.35">
      <c r="A79" s="2">
        <v>2320127002</v>
      </c>
      <c r="B79" s="3">
        <v>42495</v>
      </c>
      <c r="C79" s="2">
        <v>3.5099999899999998</v>
      </c>
      <c r="D79" s="2">
        <v>3.5099999899999998</v>
      </c>
      <c r="E79" s="2">
        <v>0</v>
      </c>
      <c r="F79" s="2">
        <v>0</v>
      </c>
      <c r="G79" s="2">
        <v>0.38999998600000002</v>
      </c>
      <c r="H79" s="2">
        <v>3.1099998950000001</v>
      </c>
      <c r="I79" s="2">
        <v>0</v>
      </c>
      <c r="J79" s="2">
        <v>0</v>
      </c>
      <c r="K79" s="2">
        <v>11</v>
      </c>
      <c r="L79" s="2">
        <v>223</v>
      </c>
      <c r="M79" s="2">
        <v>1206</v>
      </c>
      <c r="N79" s="2">
        <v>5202</v>
      </c>
      <c r="O79" s="2">
        <v>1780</v>
      </c>
    </row>
    <row r="80" spans="1:15" x14ac:dyDescent="0.35">
      <c r="A80" s="2">
        <v>6962181067</v>
      </c>
      <c r="B80" s="3">
        <v>42709</v>
      </c>
      <c r="C80" s="2">
        <v>2.369999886</v>
      </c>
      <c r="D80" s="2">
        <v>2.369999886</v>
      </c>
      <c r="E80" s="2">
        <v>0</v>
      </c>
      <c r="F80" s="2">
        <v>0</v>
      </c>
      <c r="G80" s="2">
        <v>0.25</v>
      </c>
      <c r="H80" s="2">
        <v>2.1099998950000001</v>
      </c>
      <c r="I80" s="2">
        <v>0</v>
      </c>
      <c r="J80" s="2">
        <v>0</v>
      </c>
      <c r="K80" s="2">
        <v>8</v>
      </c>
      <c r="L80" s="2">
        <v>105</v>
      </c>
      <c r="M80" s="2">
        <v>127</v>
      </c>
      <c r="N80" s="2">
        <v>3587</v>
      </c>
      <c r="O80" s="2">
        <v>928</v>
      </c>
    </row>
    <row r="81" spans="1:15" x14ac:dyDescent="0.35">
      <c r="A81" s="2">
        <v>4020332650</v>
      </c>
      <c r="B81" s="3">
        <v>42481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1440</v>
      </c>
      <c r="N81" s="2">
        <v>0</v>
      </c>
      <c r="O81" s="2">
        <v>1980</v>
      </c>
    </row>
    <row r="82" spans="1:15" x14ac:dyDescent="0.35">
      <c r="A82" s="2">
        <v>8877689391</v>
      </c>
      <c r="B82" s="3">
        <v>42482</v>
      </c>
      <c r="C82" s="2">
        <v>16.309999470000001</v>
      </c>
      <c r="D82" s="2">
        <v>16.309999470000001</v>
      </c>
      <c r="E82" s="2">
        <v>0</v>
      </c>
      <c r="F82" s="2">
        <v>10.22999954</v>
      </c>
      <c r="G82" s="2">
        <v>2.9999998999999999E-2</v>
      </c>
      <c r="H82" s="2">
        <v>5.9699997900000001</v>
      </c>
      <c r="I82" s="2">
        <v>5.0000001000000002E-2</v>
      </c>
      <c r="J82" s="2">
        <v>61</v>
      </c>
      <c r="K82" s="2">
        <v>2</v>
      </c>
      <c r="L82" s="2">
        <v>236</v>
      </c>
      <c r="M82" s="2">
        <v>1141</v>
      </c>
      <c r="N82" s="2">
        <v>18258</v>
      </c>
      <c r="O82" s="2">
        <v>3427</v>
      </c>
    </row>
    <row r="83" spans="1:15" x14ac:dyDescent="0.35">
      <c r="A83" s="2">
        <v>1644430081</v>
      </c>
      <c r="B83" s="3">
        <v>42482</v>
      </c>
      <c r="C83" s="2">
        <v>2.670000076</v>
      </c>
      <c r="D83" s="2">
        <v>2.670000076</v>
      </c>
      <c r="E83" s="2">
        <v>0</v>
      </c>
      <c r="F83" s="2">
        <v>0</v>
      </c>
      <c r="G83" s="2">
        <v>0</v>
      </c>
      <c r="H83" s="2">
        <v>2.6600000860000002</v>
      </c>
      <c r="I83" s="2">
        <v>0.01</v>
      </c>
      <c r="J83" s="2">
        <v>0</v>
      </c>
      <c r="K83" s="2">
        <v>0</v>
      </c>
      <c r="L83" s="2">
        <v>86</v>
      </c>
      <c r="M83" s="2">
        <v>1354</v>
      </c>
      <c r="N83" s="2">
        <v>3673</v>
      </c>
      <c r="O83" s="2">
        <v>2344</v>
      </c>
    </row>
    <row r="84" spans="1:15" x14ac:dyDescent="0.35">
      <c r="A84" s="2">
        <v>8877689391</v>
      </c>
      <c r="B84" s="3">
        <v>42587</v>
      </c>
      <c r="C84" s="2">
        <v>8.1099996569999995</v>
      </c>
      <c r="D84" s="2">
        <v>8.1099996569999995</v>
      </c>
      <c r="E84" s="2">
        <v>0</v>
      </c>
      <c r="F84" s="2">
        <v>1.0800000430000001</v>
      </c>
      <c r="G84" s="2">
        <v>0.20000000300000001</v>
      </c>
      <c r="H84" s="2">
        <v>6.8000001909999996</v>
      </c>
      <c r="I84" s="2">
        <v>0</v>
      </c>
      <c r="J84" s="2">
        <v>17</v>
      </c>
      <c r="K84" s="2">
        <v>4</v>
      </c>
      <c r="L84" s="2">
        <v>245</v>
      </c>
      <c r="M84" s="2">
        <v>1174</v>
      </c>
      <c r="N84" s="2">
        <v>10686</v>
      </c>
      <c r="O84" s="2">
        <v>2847</v>
      </c>
    </row>
    <row r="85" spans="1:15" x14ac:dyDescent="0.35">
      <c r="A85" s="2">
        <v>1624580081</v>
      </c>
      <c r="B85" s="3">
        <v>42485</v>
      </c>
      <c r="C85" s="2">
        <v>4.2199997900000001</v>
      </c>
      <c r="D85" s="2">
        <v>4.2199997900000001</v>
      </c>
      <c r="E85" s="2">
        <v>0</v>
      </c>
      <c r="F85" s="2">
        <v>0</v>
      </c>
      <c r="G85" s="2">
        <v>0</v>
      </c>
      <c r="H85" s="2">
        <v>4.1999998090000004</v>
      </c>
      <c r="I85" s="2">
        <v>0.02</v>
      </c>
      <c r="J85" s="2">
        <v>0</v>
      </c>
      <c r="K85" s="2">
        <v>0</v>
      </c>
      <c r="L85" s="2">
        <v>202</v>
      </c>
      <c r="M85" s="2">
        <v>1238</v>
      </c>
      <c r="N85" s="2">
        <v>6497</v>
      </c>
      <c r="O85" s="2">
        <v>1492</v>
      </c>
    </row>
    <row r="86" spans="1:15" x14ac:dyDescent="0.35">
      <c r="A86" s="2">
        <v>4558609924</v>
      </c>
      <c r="B86" s="3">
        <v>42475</v>
      </c>
      <c r="C86" s="2">
        <v>5.1500000950000002</v>
      </c>
      <c r="D86" s="2">
        <v>5.1500000950000002</v>
      </c>
      <c r="E86" s="2">
        <v>0</v>
      </c>
      <c r="F86" s="2">
        <v>0.58999997400000004</v>
      </c>
      <c r="G86" s="2">
        <v>0.83999997400000004</v>
      </c>
      <c r="H86" s="2">
        <v>3.7300000190000002</v>
      </c>
      <c r="I86" s="2">
        <v>0</v>
      </c>
      <c r="J86" s="2">
        <v>17</v>
      </c>
      <c r="K86" s="2">
        <v>30</v>
      </c>
      <c r="L86" s="2">
        <v>262</v>
      </c>
      <c r="M86" s="2">
        <v>1131</v>
      </c>
      <c r="N86" s="2">
        <v>7795</v>
      </c>
      <c r="O86" s="2">
        <v>2121</v>
      </c>
    </row>
    <row r="87" spans="1:15" x14ac:dyDescent="0.35">
      <c r="A87" s="2">
        <v>5577150313</v>
      </c>
      <c r="B87" s="3">
        <v>42405</v>
      </c>
      <c r="C87" s="2">
        <v>5.5599999430000002</v>
      </c>
      <c r="D87" s="2">
        <v>5.5599999430000002</v>
      </c>
      <c r="E87" s="2">
        <v>0</v>
      </c>
      <c r="F87" s="2">
        <v>1.1200000050000001</v>
      </c>
      <c r="G87" s="2">
        <v>0.34999999399999998</v>
      </c>
      <c r="H87" s="2">
        <v>4.0700001720000003</v>
      </c>
      <c r="I87" s="2">
        <v>0</v>
      </c>
      <c r="J87" s="2">
        <v>37</v>
      </c>
      <c r="K87" s="2">
        <v>20</v>
      </c>
      <c r="L87" s="2">
        <v>235</v>
      </c>
      <c r="M87" s="2">
        <v>732</v>
      </c>
      <c r="N87" s="2">
        <v>7439</v>
      </c>
      <c r="O87" s="2">
        <v>3014</v>
      </c>
    </row>
    <row r="88" spans="1:15" x14ac:dyDescent="0.35">
      <c r="A88" s="2">
        <v>2320127002</v>
      </c>
      <c r="B88" s="3">
        <v>42374</v>
      </c>
      <c r="C88" s="2">
        <v>0.519999981</v>
      </c>
      <c r="D88" s="2">
        <v>0.519999981</v>
      </c>
      <c r="E88" s="2">
        <v>0</v>
      </c>
      <c r="F88" s="2">
        <v>0</v>
      </c>
      <c r="G88" s="2">
        <v>0</v>
      </c>
      <c r="H88" s="2">
        <v>0.519999981</v>
      </c>
      <c r="I88" s="2">
        <v>0</v>
      </c>
      <c r="J88" s="2">
        <v>0</v>
      </c>
      <c r="K88" s="2">
        <v>0</v>
      </c>
      <c r="L88" s="2">
        <v>40</v>
      </c>
      <c r="M88" s="2">
        <v>1400</v>
      </c>
      <c r="N88" s="2">
        <v>772</v>
      </c>
      <c r="O88" s="2">
        <v>1403</v>
      </c>
    </row>
    <row r="89" spans="1:15" x14ac:dyDescent="0.35">
      <c r="A89" s="2">
        <v>3977333714</v>
      </c>
      <c r="B89" s="3">
        <v>42488</v>
      </c>
      <c r="C89" s="2">
        <v>4.8800001139999996</v>
      </c>
      <c r="D89" s="2">
        <v>4.8800001139999996</v>
      </c>
      <c r="E89" s="2">
        <v>0</v>
      </c>
      <c r="F89" s="2">
        <v>1.3700000050000001</v>
      </c>
      <c r="G89" s="2">
        <v>0.28999999199999998</v>
      </c>
      <c r="H89" s="2">
        <v>3.2200000289999999</v>
      </c>
      <c r="I89" s="2">
        <v>0</v>
      </c>
      <c r="J89" s="2">
        <v>15</v>
      </c>
      <c r="K89" s="2">
        <v>8</v>
      </c>
      <c r="L89" s="2">
        <v>190</v>
      </c>
      <c r="M89" s="2">
        <v>804</v>
      </c>
      <c r="N89" s="2">
        <v>7114</v>
      </c>
      <c r="O89" s="2">
        <v>1407</v>
      </c>
    </row>
    <row r="90" spans="1:15" x14ac:dyDescent="0.35">
      <c r="A90" s="2">
        <v>3372868164</v>
      </c>
      <c r="B90" s="3">
        <v>42478</v>
      </c>
      <c r="C90" s="2">
        <v>4.6399998660000001</v>
      </c>
      <c r="D90" s="2">
        <v>4.6399998660000001</v>
      </c>
      <c r="E90" s="2">
        <v>0</v>
      </c>
      <c r="F90" s="2">
        <v>1.0800000430000001</v>
      </c>
      <c r="G90" s="2">
        <v>0.20000000300000001</v>
      </c>
      <c r="H90" s="2">
        <v>3.3499999049999998</v>
      </c>
      <c r="I90" s="2">
        <v>0</v>
      </c>
      <c r="J90" s="2">
        <v>20</v>
      </c>
      <c r="K90" s="2">
        <v>7</v>
      </c>
      <c r="L90" s="2">
        <v>343</v>
      </c>
      <c r="M90" s="2">
        <v>1070</v>
      </c>
      <c r="N90" s="2">
        <v>6798</v>
      </c>
      <c r="O90" s="2">
        <v>2014</v>
      </c>
    </row>
    <row r="91" spans="1:15" x14ac:dyDescent="0.35">
      <c r="A91" s="2">
        <v>4702921684</v>
      </c>
      <c r="B91" s="3">
        <v>42479</v>
      </c>
      <c r="C91" s="2">
        <v>5.4400000569999998</v>
      </c>
      <c r="D91" s="2">
        <v>5.4400000569999998</v>
      </c>
      <c r="E91" s="2">
        <v>0</v>
      </c>
      <c r="F91" s="2">
        <v>0.87999999500000003</v>
      </c>
      <c r="G91" s="2">
        <v>0.37000000500000002</v>
      </c>
      <c r="H91" s="2">
        <v>4.1900000569999998</v>
      </c>
      <c r="I91" s="2">
        <v>0</v>
      </c>
      <c r="J91" s="2">
        <v>10</v>
      </c>
      <c r="K91" s="2">
        <v>8</v>
      </c>
      <c r="L91" s="2">
        <v>179</v>
      </c>
      <c r="M91" s="2">
        <v>757</v>
      </c>
      <c r="N91" s="2">
        <v>6708</v>
      </c>
      <c r="O91" s="2">
        <v>2812</v>
      </c>
    </row>
    <row r="92" spans="1:15" x14ac:dyDescent="0.35">
      <c r="A92" s="2">
        <v>6962181067</v>
      </c>
      <c r="B92" s="3">
        <v>42481</v>
      </c>
      <c r="C92" s="2">
        <v>9.7100000380000004</v>
      </c>
      <c r="D92" s="2">
        <v>7.8800001139999996</v>
      </c>
      <c r="E92" s="2">
        <v>4.0816922189999998</v>
      </c>
      <c r="F92" s="2">
        <v>3.9900000100000002</v>
      </c>
      <c r="G92" s="2">
        <v>2.0999999049999998</v>
      </c>
      <c r="H92" s="2">
        <v>3.5099999899999998</v>
      </c>
      <c r="I92" s="2">
        <v>0.109999999</v>
      </c>
      <c r="J92" s="2">
        <v>53</v>
      </c>
      <c r="K92" s="2">
        <v>27</v>
      </c>
      <c r="L92" s="2">
        <v>214</v>
      </c>
      <c r="M92" s="2">
        <v>708</v>
      </c>
      <c r="N92" s="2">
        <v>11835</v>
      </c>
      <c r="O92" s="2">
        <v>2179</v>
      </c>
    </row>
    <row r="93" spans="1:15" x14ac:dyDescent="0.35">
      <c r="A93" s="2">
        <v>3372868164</v>
      </c>
      <c r="B93" s="3">
        <v>42482</v>
      </c>
      <c r="C93" s="2">
        <v>2.619999886</v>
      </c>
      <c r="D93" s="2">
        <v>2.619999886</v>
      </c>
      <c r="E93" s="2">
        <v>0</v>
      </c>
      <c r="F93" s="2">
        <v>0</v>
      </c>
      <c r="G93" s="2">
        <v>0</v>
      </c>
      <c r="H93" s="2">
        <v>2.6099998950000001</v>
      </c>
      <c r="I93" s="2">
        <v>0.01</v>
      </c>
      <c r="J93" s="2">
        <v>0</v>
      </c>
      <c r="K93" s="2">
        <v>0</v>
      </c>
      <c r="L93" s="2">
        <v>206</v>
      </c>
      <c r="M93" s="2">
        <v>1234</v>
      </c>
      <c r="N93" s="2">
        <v>3843</v>
      </c>
      <c r="O93" s="2">
        <v>1669</v>
      </c>
    </row>
    <row r="94" spans="1:15" x14ac:dyDescent="0.35">
      <c r="A94" s="2">
        <v>4020332650</v>
      </c>
      <c r="B94" s="3">
        <v>42526</v>
      </c>
      <c r="C94" s="2">
        <v>3.130000114</v>
      </c>
      <c r="D94" s="2">
        <v>3.130000114</v>
      </c>
      <c r="E94" s="2">
        <v>0</v>
      </c>
      <c r="F94" s="2">
        <v>0</v>
      </c>
      <c r="G94" s="2">
        <v>0</v>
      </c>
      <c r="H94" s="2">
        <v>3.0999999049999998</v>
      </c>
      <c r="I94" s="2">
        <v>0.01</v>
      </c>
      <c r="J94" s="2">
        <v>0</v>
      </c>
      <c r="K94" s="2">
        <v>0</v>
      </c>
      <c r="L94" s="2">
        <v>177</v>
      </c>
      <c r="M94" s="2">
        <v>855</v>
      </c>
      <c r="N94" s="2">
        <v>4369</v>
      </c>
      <c r="O94" s="2">
        <v>2704</v>
      </c>
    </row>
    <row r="95" spans="1:15" x14ac:dyDescent="0.35">
      <c r="A95" s="2">
        <v>6117666160</v>
      </c>
      <c r="B95" s="3">
        <v>42478</v>
      </c>
      <c r="C95" s="2">
        <v>3.9100000860000002</v>
      </c>
      <c r="D95" s="2">
        <v>3.9100000860000002</v>
      </c>
      <c r="E95" s="2">
        <v>0</v>
      </c>
      <c r="F95" s="2">
        <v>0</v>
      </c>
      <c r="G95" s="2">
        <v>0</v>
      </c>
      <c r="H95" s="2">
        <v>3.8900001049999999</v>
      </c>
      <c r="I95" s="2">
        <v>0</v>
      </c>
      <c r="J95" s="2">
        <v>0</v>
      </c>
      <c r="K95" s="2">
        <v>0</v>
      </c>
      <c r="L95" s="2">
        <v>241</v>
      </c>
      <c r="M95" s="2">
        <v>759</v>
      </c>
      <c r="N95" s="2">
        <v>5153</v>
      </c>
      <c r="O95" s="2">
        <v>2018</v>
      </c>
    </row>
    <row r="96" spans="1:15" x14ac:dyDescent="0.35">
      <c r="A96" s="2">
        <v>2320127002</v>
      </c>
      <c r="B96" s="3">
        <v>42648</v>
      </c>
      <c r="C96" s="2">
        <v>4.1999998090000004</v>
      </c>
      <c r="D96" s="2">
        <v>4.1999998090000004</v>
      </c>
      <c r="E96" s="2">
        <v>0</v>
      </c>
      <c r="F96" s="2">
        <v>0</v>
      </c>
      <c r="G96" s="2">
        <v>0</v>
      </c>
      <c r="H96" s="2">
        <v>4.1999998090000004</v>
      </c>
      <c r="I96" s="2">
        <v>0</v>
      </c>
      <c r="J96" s="2">
        <v>0</v>
      </c>
      <c r="K96" s="2">
        <v>0</v>
      </c>
      <c r="L96" s="2">
        <v>290</v>
      </c>
      <c r="M96" s="2">
        <v>1150</v>
      </c>
      <c r="N96" s="2">
        <v>6227</v>
      </c>
      <c r="O96" s="2">
        <v>1899</v>
      </c>
    </row>
    <row r="97" spans="1:15" x14ac:dyDescent="0.35">
      <c r="A97" s="2">
        <v>4445114986</v>
      </c>
      <c r="B97" s="3">
        <v>42465</v>
      </c>
      <c r="C97" s="2">
        <v>1.960000038</v>
      </c>
      <c r="D97" s="2">
        <v>1.960000038</v>
      </c>
      <c r="E97" s="2">
        <v>0</v>
      </c>
      <c r="F97" s="2">
        <v>0</v>
      </c>
      <c r="G97" s="2">
        <v>0</v>
      </c>
      <c r="H97" s="2">
        <v>1.960000038</v>
      </c>
      <c r="I97" s="2">
        <v>0</v>
      </c>
      <c r="J97" s="2">
        <v>0</v>
      </c>
      <c r="K97" s="2">
        <v>0</v>
      </c>
      <c r="L97" s="2">
        <v>180</v>
      </c>
      <c r="M97" s="2">
        <v>897</v>
      </c>
      <c r="N97" s="2">
        <v>2923</v>
      </c>
      <c r="O97" s="2">
        <v>2070</v>
      </c>
    </row>
    <row r="98" spans="1:15" x14ac:dyDescent="0.35">
      <c r="A98" s="2">
        <v>6962181067</v>
      </c>
      <c r="B98" s="3">
        <v>42484</v>
      </c>
      <c r="C98" s="2">
        <v>3.3199999330000001</v>
      </c>
      <c r="D98" s="2">
        <v>3.3199999330000001</v>
      </c>
      <c r="E98" s="2">
        <v>0</v>
      </c>
      <c r="F98" s="2">
        <v>0</v>
      </c>
      <c r="G98" s="2">
        <v>0</v>
      </c>
      <c r="H98" s="2">
        <v>3.3199999330000001</v>
      </c>
      <c r="I98" s="2">
        <v>0</v>
      </c>
      <c r="J98" s="2">
        <v>0</v>
      </c>
      <c r="K98" s="2">
        <v>0</v>
      </c>
      <c r="L98" s="2">
        <v>199</v>
      </c>
      <c r="M98" s="2">
        <v>720</v>
      </c>
      <c r="N98" s="2">
        <v>5029</v>
      </c>
      <c r="O98" s="2">
        <v>1705</v>
      </c>
    </row>
    <row r="99" spans="1:15" x14ac:dyDescent="0.35">
      <c r="A99" s="2">
        <v>2873212765</v>
      </c>
      <c r="B99" s="3">
        <v>42488</v>
      </c>
      <c r="C99" s="2">
        <v>5.4099998469999999</v>
      </c>
      <c r="D99" s="2">
        <v>5.4099998469999999</v>
      </c>
      <c r="E99" s="2">
        <v>0</v>
      </c>
      <c r="F99" s="2">
        <v>2.1600000860000002</v>
      </c>
      <c r="G99" s="2">
        <v>0.34000000400000002</v>
      </c>
      <c r="H99" s="2">
        <v>2.9100000860000002</v>
      </c>
      <c r="I99" s="2">
        <v>0</v>
      </c>
      <c r="J99" s="2">
        <v>28</v>
      </c>
      <c r="K99" s="2">
        <v>7</v>
      </c>
      <c r="L99" s="2">
        <v>213</v>
      </c>
      <c r="M99" s="2">
        <v>1192</v>
      </c>
      <c r="N99" s="2">
        <v>7913</v>
      </c>
      <c r="O99" s="2">
        <v>1835</v>
      </c>
    </row>
    <row r="100" spans="1:15" x14ac:dyDescent="0.35">
      <c r="A100" s="2">
        <v>8053475328</v>
      </c>
      <c r="B100" s="3">
        <v>42478</v>
      </c>
      <c r="C100" s="2">
        <v>12.65999985</v>
      </c>
      <c r="D100" s="2">
        <v>12.65999985</v>
      </c>
      <c r="E100" s="2">
        <v>0</v>
      </c>
      <c r="F100" s="2">
        <v>9.0799999239999991</v>
      </c>
      <c r="G100" s="2">
        <v>0.23000000400000001</v>
      </c>
      <c r="H100" s="2">
        <v>3.3499999049999998</v>
      </c>
      <c r="I100" s="2">
        <v>0</v>
      </c>
      <c r="J100" s="2">
        <v>102</v>
      </c>
      <c r="K100" s="2">
        <v>6</v>
      </c>
      <c r="L100" s="2">
        <v>195</v>
      </c>
      <c r="M100" s="2">
        <v>1137</v>
      </c>
      <c r="N100" s="2">
        <v>17076</v>
      </c>
      <c r="O100" s="2">
        <v>3133</v>
      </c>
    </row>
    <row r="101" spans="1:15" x14ac:dyDescent="0.35">
      <c r="A101" s="2">
        <v>8792009665</v>
      </c>
      <c r="B101" s="3">
        <v>42474</v>
      </c>
      <c r="C101" s="2">
        <v>0.77999997099999996</v>
      </c>
      <c r="D101" s="2">
        <v>0.77999997099999996</v>
      </c>
      <c r="E101" s="2">
        <v>0</v>
      </c>
      <c r="F101" s="2">
        <v>0</v>
      </c>
      <c r="G101" s="2">
        <v>0</v>
      </c>
      <c r="H101" s="2">
        <v>0.77999997099999996</v>
      </c>
      <c r="I101" s="2">
        <v>0</v>
      </c>
      <c r="J101" s="2">
        <v>0</v>
      </c>
      <c r="K101" s="2">
        <v>0</v>
      </c>
      <c r="L101" s="2">
        <v>84</v>
      </c>
      <c r="M101" s="2">
        <v>853</v>
      </c>
      <c r="N101" s="2">
        <v>1219</v>
      </c>
      <c r="O101" s="2">
        <v>1963</v>
      </c>
    </row>
    <row r="102" spans="1:15" x14ac:dyDescent="0.35">
      <c r="A102" s="2">
        <v>3372868164</v>
      </c>
      <c r="B102" s="3">
        <v>42475</v>
      </c>
      <c r="C102" s="2">
        <v>5.079999924</v>
      </c>
      <c r="D102" s="2">
        <v>5.079999924</v>
      </c>
      <c r="E102" s="2">
        <v>0</v>
      </c>
      <c r="F102" s="2">
        <v>0</v>
      </c>
      <c r="G102" s="2">
        <v>0</v>
      </c>
      <c r="H102" s="2">
        <v>5.0599999430000002</v>
      </c>
      <c r="I102" s="2">
        <v>0.02</v>
      </c>
      <c r="J102" s="2">
        <v>0</v>
      </c>
      <c r="K102" s="2">
        <v>0</v>
      </c>
      <c r="L102" s="2">
        <v>335</v>
      </c>
      <c r="M102" s="2">
        <v>1105</v>
      </c>
      <c r="N102" s="2">
        <v>7451</v>
      </c>
      <c r="O102" s="2">
        <v>1908</v>
      </c>
    </row>
    <row r="103" spans="1:15" x14ac:dyDescent="0.35">
      <c r="A103" s="2">
        <v>2873212765</v>
      </c>
      <c r="B103" s="3">
        <v>42473</v>
      </c>
      <c r="C103" s="2">
        <v>5.1199998860000004</v>
      </c>
      <c r="D103" s="2">
        <v>5.1199998860000004</v>
      </c>
      <c r="E103" s="2">
        <v>0</v>
      </c>
      <c r="F103" s="2">
        <v>0</v>
      </c>
      <c r="G103" s="2">
        <v>0.219999999</v>
      </c>
      <c r="H103" s="2">
        <v>4.8800001139999996</v>
      </c>
      <c r="I103" s="2">
        <v>0.02</v>
      </c>
      <c r="J103" s="2">
        <v>0</v>
      </c>
      <c r="K103" s="2">
        <v>8</v>
      </c>
      <c r="L103" s="2">
        <v>404</v>
      </c>
      <c r="M103" s="2">
        <v>1028</v>
      </c>
      <c r="N103" s="2">
        <v>7618</v>
      </c>
      <c r="O103" s="2">
        <v>2004</v>
      </c>
    </row>
    <row r="104" spans="1:15" x14ac:dyDescent="0.35">
      <c r="A104" s="2">
        <v>1624580081</v>
      </c>
      <c r="B104" s="3">
        <v>42679</v>
      </c>
      <c r="C104" s="2">
        <v>2.039999962</v>
      </c>
      <c r="D104" s="2">
        <v>2.039999962</v>
      </c>
      <c r="E104" s="2">
        <v>0</v>
      </c>
      <c r="F104" s="2">
        <v>0</v>
      </c>
      <c r="G104" s="2">
        <v>0</v>
      </c>
      <c r="H104" s="2">
        <v>2.039999962</v>
      </c>
      <c r="I104" s="2">
        <v>0</v>
      </c>
      <c r="J104" s="2">
        <v>0</v>
      </c>
      <c r="K104" s="2">
        <v>0</v>
      </c>
      <c r="L104" s="2">
        <v>112</v>
      </c>
      <c r="M104" s="2">
        <v>1328</v>
      </c>
      <c r="N104" s="2">
        <v>3134</v>
      </c>
      <c r="O104" s="2">
        <v>1359</v>
      </c>
    </row>
    <row r="105" spans="1:15" x14ac:dyDescent="0.35">
      <c r="A105" s="2">
        <v>6962181067</v>
      </c>
      <c r="B105" s="3">
        <v>42477</v>
      </c>
      <c r="C105" s="2">
        <v>6.7100000380000004</v>
      </c>
      <c r="D105" s="2">
        <v>6.7100000380000004</v>
      </c>
      <c r="E105" s="2">
        <v>0</v>
      </c>
      <c r="F105" s="2">
        <v>0.33000001299999998</v>
      </c>
      <c r="G105" s="2">
        <v>0.68000000699999996</v>
      </c>
      <c r="H105" s="2">
        <v>5.6900000569999998</v>
      </c>
      <c r="I105" s="2">
        <v>0</v>
      </c>
      <c r="J105" s="2">
        <v>5</v>
      </c>
      <c r="K105" s="2">
        <v>13</v>
      </c>
      <c r="L105" s="2">
        <v>295</v>
      </c>
      <c r="M105" s="2">
        <v>634</v>
      </c>
      <c r="N105" s="2">
        <v>10145</v>
      </c>
      <c r="O105" s="2">
        <v>2027</v>
      </c>
    </row>
    <row r="106" spans="1:15" x14ac:dyDescent="0.35">
      <c r="A106" s="2">
        <v>4388161847</v>
      </c>
      <c r="B106" s="3">
        <v>42486</v>
      </c>
      <c r="C106" s="2">
        <v>7.2800002099999999</v>
      </c>
      <c r="D106" s="2">
        <v>7.2800002099999999</v>
      </c>
      <c r="E106" s="2">
        <v>0</v>
      </c>
      <c r="F106" s="2">
        <v>0.939999998</v>
      </c>
      <c r="G106" s="2">
        <v>1.059999943</v>
      </c>
      <c r="H106" s="2">
        <v>5.2699999809999998</v>
      </c>
      <c r="I106" s="2">
        <v>0</v>
      </c>
      <c r="J106" s="2">
        <v>14</v>
      </c>
      <c r="K106" s="2">
        <v>23</v>
      </c>
      <c r="L106" s="2">
        <v>224</v>
      </c>
      <c r="M106" s="2">
        <v>673</v>
      </c>
      <c r="N106" s="2">
        <v>9461</v>
      </c>
      <c r="O106" s="2">
        <v>2929</v>
      </c>
    </row>
    <row r="107" spans="1:15" x14ac:dyDescent="0.35">
      <c r="A107" s="2">
        <v>6290855005</v>
      </c>
      <c r="B107" s="3">
        <v>42482</v>
      </c>
      <c r="C107" s="2">
        <v>4.7199997900000001</v>
      </c>
      <c r="D107" s="2">
        <v>4.7199997900000001</v>
      </c>
      <c r="E107" s="2">
        <v>0</v>
      </c>
      <c r="F107" s="2">
        <v>0</v>
      </c>
      <c r="G107" s="2">
        <v>0</v>
      </c>
      <c r="H107" s="2">
        <v>4.7199997900000001</v>
      </c>
      <c r="I107" s="2">
        <v>0</v>
      </c>
      <c r="J107" s="2">
        <v>0</v>
      </c>
      <c r="K107" s="2">
        <v>0</v>
      </c>
      <c r="L107" s="2">
        <v>302</v>
      </c>
      <c r="M107" s="2">
        <v>1138</v>
      </c>
      <c r="N107" s="2">
        <v>6238</v>
      </c>
      <c r="O107" s="2">
        <v>2796</v>
      </c>
    </row>
    <row r="108" spans="1:15" x14ac:dyDescent="0.35">
      <c r="A108" s="2">
        <v>2026352035</v>
      </c>
      <c r="B108" s="3">
        <v>42495</v>
      </c>
      <c r="C108" s="2">
        <v>7.5399999619999996</v>
      </c>
      <c r="D108" s="2">
        <v>7.5399999619999996</v>
      </c>
      <c r="E108" s="2">
        <v>0</v>
      </c>
      <c r="F108" s="2">
        <v>0</v>
      </c>
      <c r="G108" s="2">
        <v>0</v>
      </c>
      <c r="H108" s="2">
        <v>7.5399999619999996</v>
      </c>
      <c r="I108" s="2">
        <v>0</v>
      </c>
      <c r="J108" s="2">
        <v>0</v>
      </c>
      <c r="K108" s="2">
        <v>0</v>
      </c>
      <c r="L108" s="2">
        <v>475</v>
      </c>
      <c r="M108" s="2">
        <v>479</v>
      </c>
      <c r="N108" s="2">
        <v>12167</v>
      </c>
      <c r="O108" s="2">
        <v>1926</v>
      </c>
    </row>
    <row r="109" spans="1:15" x14ac:dyDescent="0.35">
      <c r="A109" s="2">
        <v>4558609924</v>
      </c>
      <c r="B109" s="3">
        <v>42477</v>
      </c>
      <c r="C109" s="2">
        <v>6.4000000950000002</v>
      </c>
      <c r="D109" s="2">
        <v>6.4000000950000002</v>
      </c>
      <c r="E109" s="2">
        <v>0</v>
      </c>
      <c r="F109" s="2">
        <v>0.55000001200000004</v>
      </c>
      <c r="G109" s="2">
        <v>1.1399999860000001</v>
      </c>
      <c r="H109" s="2">
        <v>4.7100000380000004</v>
      </c>
      <c r="I109" s="2">
        <v>0</v>
      </c>
      <c r="J109" s="2">
        <v>7</v>
      </c>
      <c r="K109" s="2">
        <v>19</v>
      </c>
      <c r="L109" s="2">
        <v>304</v>
      </c>
      <c r="M109" s="2">
        <v>1110</v>
      </c>
      <c r="N109" s="2">
        <v>9634</v>
      </c>
      <c r="O109" s="2">
        <v>2117</v>
      </c>
    </row>
    <row r="110" spans="1:15" x14ac:dyDescent="0.35">
      <c r="A110" s="2">
        <v>4388161847</v>
      </c>
      <c r="B110" s="3">
        <v>42526</v>
      </c>
      <c r="C110" s="2">
        <v>10.130000109999999</v>
      </c>
      <c r="D110" s="2">
        <v>10.130000109999999</v>
      </c>
      <c r="E110" s="2">
        <v>0</v>
      </c>
      <c r="F110" s="2">
        <v>2.1099998950000001</v>
      </c>
      <c r="G110" s="2">
        <v>2.0899999139999998</v>
      </c>
      <c r="H110" s="2">
        <v>5.9299998279999997</v>
      </c>
      <c r="I110" s="2">
        <v>0</v>
      </c>
      <c r="J110" s="2">
        <v>33</v>
      </c>
      <c r="K110" s="2">
        <v>45</v>
      </c>
      <c r="L110" s="2">
        <v>262</v>
      </c>
      <c r="M110" s="2">
        <v>1100</v>
      </c>
      <c r="N110" s="2">
        <v>13175</v>
      </c>
      <c r="O110" s="2">
        <v>3425</v>
      </c>
    </row>
    <row r="111" spans="1:15" x14ac:dyDescent="0.35">
      <c r="A111" s="2">
        <v>1644430081</v>
      </c>
      <c r="B111" s="3">
        <v>42476</v>
      </c>
      <c r="C111" s="2">
        <v>11.119999890000001</v>
      </c>
      <c r="D111" s="2">
        <v>11.119999890000001</v>
      </c>
      <c r="E111" s="2">
        <v>0</v>
      </c>
      <c r="F111" s="2">
        <v>4.0999999049999998</v>
      </c>
      <c r="G111" s="2">
        <v>1.8799999949999999</v>
      </c>
      <c r="H111" s="2">
        <v>5.0900001530000001</v>
      </c>
      <c r="I111" s="2">
        <v>0</v>
      </c>
      <c r="J111" s="2">
        <v>51</v>
      </c>
      <c r="K111" s="2">
        <v>42</v>
      </c>
      <c r="L111" s="2">
        <v>212</v>
      </c>
      <c r="M111" s="2">
        <v>1135</v>
      </c>
      <c r="N111" s="2">
        <v>15300</v>
      </c>
      <c r="O111" s="2">
        <v>3493</v>
      </c>
    </row>
    <row r="112" spans="1:15" x14ac:dyDescent="0.35">
      <c r="A112" s="2">
        <v>8253242879</v>
      </c>
      <c r="B112" s="3">
        <v>42486</v>
      </c>
      <c r="C112" s="2">
        <v>3.039999962</v>
      </c>
      <c r="D112" s="2">
        <v>3.039999962</v>
      </c>
      <c r="E112" s="2">
        <v>0</v>
      </c>
      <c r="F112" s="2">
        <v>1.1799999480000001</v>
      </c>
      <c r="G112" s="2">
        <v>0.49000000999999999</v>
      </c>
      <c r="H112" s="2">
        <v>1.3700000050000001</v>
      </c>
      <c r="I112" s="2">
        <v>0</v>
      </c>
      <c r="J112" s="2">
        <v>19</v>
      </c>
      <c r="K112" s="2">
        <v>14</v>
      </c>
      <c r="L112" s="2">
        <v>108</v>
      </c>
      <c r="M112" s="2">
        <v>1299</v>
      </c>
      <c r="N112" s="2">
        <v>4562</v>
      </c>
      <c r="O112" s="2">
        <v>1813</v>
      </c>
    </row>
    <row r="113" spans="1:15" x14ac:dyDescent="0.35">
      <c r="A113" s="2">
        <v>6962181067</v>
      </c>
      <c r="B113" s="3">
        <v>42487</v>
      </c>
      <c r="C113" s="2">
        <v>6.8200001720000003</v>
      </c>
      <c r="D113" s="2">
        <v>6.8200001720000003</v>
      </c>
      <c r="E113" s="2">
        <v>0</v>
      </c>
      <c r="F113" s="2">
        <v>0.55000001200000004</v>
      </c>
      <c r="G113" s="2">
        <v>2.0199999809999998</v>
      </c>
      <c r="H113" s="2">
        <v>4.25</v>
      </c>
      <c r="I113" s="2">
        <v>0</v>
      </c>
      <c r="J113" s="2">
        <v>7</v>
      </c>
      <c r="K113" s="2">
        <v>38</v>
      </c>
      <c r="L113" s="2">
        <v>279</v>
      </c>
      <c r="M113" s="2">
        <v>697</v>
      </c>
      <c r="N113" s="2">
        <v>10320</v>
      </c>
      <c r="O113" s="2">
        <v>2034</v>
      </c>
    </row>
    <row r="114" spans="1:15" x14ac:dyDescent="0.35">
      <c r="A114" s="2">
        <v>7007744171</v>
      </c>
      <c r="B114" s="3">
        <v>42475</v>
      </c>
      <c r="C114" s="2">
        <v>3.5299999710000001</v>
      </c>
      <c r="D114" s="2">
        <v>3.5299999710000001</v>
      </c>
      <c r="E114" s="2">
        <v>0</v>
      </c>
      <c r="F114" s="2">
        <v>0</v>
      </c>
      <c r="G114" s="2">
        <v>0</v>
      </c>
      <c r="H114" s="2">
        <v>3.5299999710000001</v>
      </c>
      <c r="I114" s="2">
        <v>0</v>
      </c>
      <c r="J114" s="2">
        <v>0</v>
      </c>
      <c r="K114" s="2">
        <v>0</v>
      </c>
      <c r="L114" s="2">
        <v>202</v>
      </c>
      <c r="M114" s="2">
        <v>1238</v>
      </c>
      <c r="N114" s="2">
        <v>5273</v>
      </c>
      <c r="O114" s="2">
        <v>2098</v>
      </c>
    </row>
    <row r="115" spans="1:15" x14ac:dyDescent="0.35">
      <c r="A115" s="2">
        <v>7086361926</v>
      </c>
      <c r="B115" s="3">
        <v>42486</v>
      </c>
      <c r="C115" s="2">
        <v>7.0700001720000003</v>
      </c>
      <c r="D115" s="2">
        <v>7.0700001720000003</v>
      </c>
      <c r="E115" s="2">
        <v>0</v>
      </c>
      <c r="F115" s="2">
        <v>4.1599998469999999</v>
      </c>
      <c r="G115" s="2">
        <v>0.769999981</v>
      </c>
      <c r="H115" s="2">
        <v>2.119999886</v>
      </c>
      <c r="I115" s="2">
        <v>0</v>
      </c>
      <c r="J115" s="2">
        <v>70</v>
      </c>
      <c r="K115" s="2">
        <v>33</v>
      </c>
      <c r="L115" s="2">
        <v>132</v>
      </c>
      <c r="M115" s="2">
        <v>726</v>
      </c>
      <c r="N115" s="2">
        <v>10387</v>
      </c>
      <c r="O115" s="2">
        <v>2781</v>
      </c>
    </row>
    <row r="116" spans="1:15" x14ac:dyDescent="0.35">
      <c r="A116" s="2">
        <v>2026352035</v>
      </c>
      <c r="B116" s="3">
        <v>42479</v>
      </c>
      <c r="C116" s="2">
        <v>1.5</v>
      </c>
      <c r="D116" s="2">
        <v>1.5</v>
      </c>
      <c r="E116" s="2">
        <v>0</v>
      </c>
      <c r="F116" s="2">
        <v>0</v>
      </c>
      <c r="G116" s="2">
        <v>0</v>
      </c>
      <c r="H116" s="2">
        <v>1.5</v>
      </c>
      <c r="I116" s="2">
        <v>0</v>
      </c>
      <c r="J116" s="2">
        <v>0</v>
      </c>
      <c r="K116" s="2">
        <v>0</v>
      </c>
      <c r="L116" s="2">
        <v>141</v>
      </c>
      <c r="M116" s="2">
        <v>785</v>
      </c>
      <c r="N116" s="2">
        <v>2424</v>
      </c>
      <c r="O116" s="2">
        <v>1356</v>
      </c>
    </row>
    <row r="117" spans="1:15" x14ac:dyDescent="0.35">
      <c r="A117" s="2">
        <v>4319703577</v>
      </c>
      <c r="B117" s="3">
        <v>42495</v>
      </c>
      <c r="C117" s="2">
        <v>9.4899997710000008</v>
      </c>
      <c r="D117" s="2">
        <v>9.4899997710000008</v>
      </c>
      <c r="E117" s="2">
        <v>0</v>
      </c>
      <c r="F117" s="2">
        <v>2.630000114</v>
      </c>
      <c r="G117" s="2">
        <v>1.4099999670000001</v>
      </c>
      <c r="H117" s="2">
        <v>5.4499998090000004</v>
      </c>
      <c r="I117" s="2">
        <v>0</v>
      </c>
      <c r="J117" s="2">
        <v>27</v>
      </c>
      <c r="K117" s="2">
        <v>34</v>
      </c>
      <c r="L117" s="2">
        <v>328</v>
      </c>
      <c r="M117" s="2">
        <v>957</v>
      </c>
      <c r="N117" s="2">
        <v>13658</v>
      </c>
      <c r="O117" s="2">
        <v>2530</v>
      </c>
    </row>
    <row r="118" spans="1:15" x14ac:dyDescent="0.35">
      <c r="A118" s="2">
        <v>4558609924</v>
      </c>
      <c r="B118" s="3">
        <v>42488</v>
      </c>
      <c r="C118" s="2">
        <v>6.25</v>
      </c>
      <c r="D118" s="2">
        <v>6.25</v>
      </c>
      <c r="E118" s="2">
        <v>0</v>
      </c>
      <c r="F118" s="2">
        <v>0.02</v>
      </c>
      <c r="G118" s="2">
        <v>0.27000001099999998</v>
      </c>
      <c r="H118" s="2">
        <v>5.9499998090000004</v>
      </c>
      <c r="I118" s="2">
        <v>0</v>
      </c>
      <c r="J118" s="2">
        <v>1</v>
      </c>
      <c r="K118" s="2">
        <v>11</v>
      </c>
      <c r="L118" s="2">
        <v>367</v>
      </c>
      <c r="M118" s="2">
        <v>985</v>
      </c>
      <c r="N118" s="2">
        <v>9451</v>
      </c>
      <c r="O118" s="2">
        <v>2185</v>
      </c>
    </row>
    <row r="119" spans="1:15" x14ac:dyDescent="0.35">
      <c r="A119" s="2">
        <v>7086361926</v>
      </c>
      <c r="B119" s="3">
        <v>42526</v>
      </c>
      <c r="C119" s="2">
        <v>8.3800001139999996</v>
      </c>
      <c r="D119" s="2">
        <v>8.3800001139999996</v>
      </c>
      <c r="E119" s="2">
        <v>0</v>
      </c>
      <c r="F119" s="2">
        <v>3.8199999330000001</v>
      </c>
      <c r="G119" s="2">
        <v>1.4299999480000001</v>
      </c>
      <c r="H119" s="2">
        <v>3.119999886</v>
      </c>
      <c r="I119" s="2">
        <v>0</v>
      </c>
      <c r="J119" s="2">
        <v>84</v>
      </c>
      <c r="K119" s="2">
        <v>35</v>
      </c>
      <c r="L119" s="2">
        <v>154</v>
      </c>
      <c r="M119" s="2">
        <v>834</v>
      </c>
      <c r="N119" s="2">
        <v>12461</v>
      </c>
      <c r="O119" s="2">
        <v>2924</v>
      </c>
    </row>
    <row r="120" spans="1:15" x14ac:dyDescent="0.35">
      <c r="A120" s="2">
        <v>4702921684</v>
      </c>
      <c r="B120" s="3">
        <v>42480</v>
      </c>
      <c r="C120" s="2">
        <v>7.1300001139999996</v>
      </c>
      <c r="D120" s="2">
        <v>7.1300001139999996</v>
      </c>
      <c r="E120" s="2">
        <v>0</v>
      </c>
      <c r="F120" s="2">
        <v>0.15999999600000001</v>
      </c>
      <c r="G120" s="2">
        <v>1.230000019</v>
      </c>
      <c r="H120" s="2">
        <v>5.7300000190000002</v>
      </c>
      <c r="I120" s="2">
        <v>0</v>
      </c>
      <c r="J120" s="2">
        <v>2</v>
      </c>
      <c r="K120" s="2">
        <v>29</v>
      </c>
      <c r="L120" s="2">
        <v>260</v>
      </c>
      <c r="M120" s="2">
        <v>717</v>
      </c>
      <c r="N120" s="2">
        <v>8793</v>
      </c>
      <c r="O120" s="2">
        <v>3061</v>
      </c>
    </row>
    <row r="121" spans="1:15" x14ac:dyDescent="0.35">
      <c r="A121" s="2">
        <v>8583815059</v>
      </c>
      <c r="B121" s="3">
        <v>42487</v>
      </c>
      <c r="C121" s="2">
        <v>9.7299995419999998</v>
      </c>
      <c r="D121" s="2">
        <v>9.7299995419999998</v>
      </c>
      <c r="E121" s="2">
        <v>0</v>
      </c>
      <c r="F121" s="2">
        <v>6.5999999049999998</v>
      </c>
      <c r="G121" s="2">
        <v>0.27000001099999998</v>
      </c>
      <c r="H121" s="2">
        <v>2.869999886</v>
      </c>
      <c r="I121" s="2">
        <v>0</v>
      </c>
      <c r="J121" s="2">
        <v>77</v>
      </c>
      <c r="K121" s="2">
        <v>5</v>
      </c>
      <c r="L121" s="2">
        <v>129</v>
      </c>
      <c r="M121" s="2">
        <v>1229</v>
      </c>
      <c r="N121" s="2">
        <v>12474</v>
      </c>
      <c r="O121" s="2">
        <v>3142</v>
      </c>
    </row>
    <row r="122" spans="1:15" x14ac:dyDescent="0.35">
      <c r="A122" s="2">
        <v>8378563200</v>
      </c>
      <c r="B122" s="3">
        <v>42489</v>
      </c>
      <c r="C122" s="2">
        <v>4.9000000950000002</v>
      </c>
      <c r="D122" s="2">
        <v>4.9000000950000002</v>
      </c>
      <c r="E122" s="2">
        <v>0</v>
      </c>
      <c r="F122" s="2">
        <v>0.25</v>
      </c>
      <c r="G122" s="2">
        <v>0.36000001399999998</v>
      </c>
      <c r="H122" s="2">
        <v>4.2699999809999998</v>
      </c>
      <c r="I122" s="2">
        <v>0</v>
      </c>
      <c r="J122" s="2">
        <v>3</v>
      </c>
      <c r="K122" s="2">
        <v>7</v>
      </c>
      <c r="L122" s="2">
        <v>172</v>
      </c>
      <c r="M122" s="2">
        <v>767</v>
      </c>
      <c r="N122" s="2">
        <v>6175</v>
      </c>
      <c r="O122" s="2">
        <v>2982</v>
      </c>
    </row>
    <row r="123" spans="1:15" x14ac:dyDescent="0.35">
      <c r="A123" s="2">
        <v>2026352035</v>
      </c>
      <c r="B123" s="3">
        <v>42486</v>
      </c>
      <c r="C123" s="2">
        <v>3.6800000669999999</v>
      </c>
      <c r="D123" s="2">
        <v>3.6800000669999999</v>
      </c>
      <c r="E123" s="2">
        <v>0</v>
      </c>
      <c r="F123" s="2">
        <v>0</v>
      </c>
      <c r="G123" s="2">
        <v>0</v>
      </c>
      <c r="H123" s="2">
        <v>3.6800000669999999</v>
      </c>
      <c r="I123" s="2">
        <v>0</v>
      </c>
      <c r="J123" s="2">
        <v>0</v>
      </c>
      <c r="K123" s="2">
        <v>0</v>
      </c>
      <c r="L123" s="2">
        <v>288</v>
      </c>
      <c r="M123" s="2">
        <v>1018</v>
      </c>
      <c r="N123" s="2">
        <v>5933</v>
      </c>
      <c r="O123" s="2">
        <v>1595</v>
      </c>
    </row>
    <row r="124" spans="1:15" x14ac:dyDescent="0.35">
      <c r="A124" s="2">
        <v>7007744171</v>
      </c>
      <c r="B124" s="3">
        <v>42489</v>
      </c>
      <c r="C124" s="2">
        <v>14.30000019</v>
      </c>
      <c r="D124" s="2">
        <v>13.420000079999999</v>
      </c>
      <c r="E124" s="2">
        <v>4.9111461639999998</v>
      </c>
      <c r="F124" s="2">
        <v>4.3099999430000002</v>
      </c>
      <c r="G124" s="2">
        <v>2.0499999519999998</v>
      </c>
      <c r="H124" s="2">
        <v>7.9499998090000004</v>
      </c>
      <c r="I124" s="2">
        <v>0</v>
      </c>
      <c r="J124" s="2">
        <v>55</v>
      </c>
      <c r="K124" s="2">
        <v>42</v>
      </c>
      <c r="L124" s="2">
        <v>382</v>
      </c>
      <c r="M124" s="2">
        <v>961</v>
      </c>
      <c r="N124" s="2">
        <v>20067</v>
      </c>
      <c r="O124" s="2">
        <v>3180</v>
      </c>
    </row>
    <row r="125" spans="1:15" x14ac:dyDescent="0.35">
      <c r="A125" s="2">
        <v>1844505072</v>
      </c>
      <c r="B125" s="3">
        <v>42648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1440</v>
      </c>
      <c r="N125" s="2">
        <v>0</v>
      </c>
      <c r="O125" s="2">
        <v>1347</v>
      </c>
    </row>
    <row r="126" spans="1:15" x14ac:dyDescent="0.35">
      <c r="A126" s="2">
        <v>1844505072</v>
      </c>
      <c r="B126" s="3">
        <v>42490</v>
      </c>
      <c r="C126" s="2">
        <v>2.670000076</v>
      </c>
      <c r="D126" s="2">
        <v>2.670000076</v>
      </c>
      <c r="E126" s="2">
        <v>0</v>
      </c>
      <c r="F126" s="2">
        <v>0</v>
      </c>
      <c r="G126" s="2">
        <v>0</v>
      </c>
      <c r="H126" s="2">
        <v>2.6500000950000002</v>
      </c>
      <c r="I126" s="2">
        <v>0</v>
      </c>
      <c r="J126" s="2">
        <v>0</v>
      </c>
      <c r="K126" s="2">
        <v>0</v>
      </c>
      <c r="L126" s="2">
        <v>184</v>
      </c>
      <c r="M126" s="2">
        <v>218</v>
      </c>
      <c r="N126" s="2">
        <v>4014</v>
      </c>
      <c r="O126" s="2">
        <v>1763</v>
      </c>
    </row>
    <row r="127" spans="1:15" x14ac:dyDescent="0.35">
      <c r="A127" s="2">
        <v>7086361926</v>
      </c>
      <c r="B127" s="3">
        <v>42474</v>
      </c>
      <c r="C127" s="2">
        <v>6.1199998860000004</v>
      </c>
      <c r="D127" s="2">
        <v>6.1199998860000004</v>
      </c>
      <c r="E127" s="2">
        <v>0</v>
      </c>
      <c r="F127" s="2">
        <v>2.0299999710000001</v>
      </c>
      <c r="G127" s="2">
        <v>0.33000001299999998</v>
      </c>
      <c r="H127" s="2">
        <v>3.6600000860000002</v>
      </c>
      <c r="I127" s="2">
        <v>0</v>
      </c>
      <c r="J127" s="2">
        <v>35</v>
      </c>
      <c r="K127" s="2">
        <v>32</v>
      </c>
      <c r="L127" s="2">
        <v>189</v>
      </c>
      <c r="M127" s="2">
        <v>787</v>
      </c>
      <c r="N127" s="2">
        <v>9123</v>
      </c>
      <c r="O127" s="2">
        <v>2734</v>
      </c>
    </row>
    <row r="128" spans="1:15" x14ac:dyDescent="0.35">
      <c r="A128" s="2">
        <v>2347167796</v>
      </c>
      <c r="B128" s="3">
        <v>42484</v>
      </c>
      <c r="C128" s="2">
        <v>6.2600002290000001</v>
      </c>
      <c r="D128" s="2">
        <v>6.2600002290000001</v>
      </c>
      <c r="E128" s="2">
        <v>0</v>
      </c>
      <c r="F128" s="2">
        <v>0</v>
      </c>
      <c r="G128" s="2">
        <v>0</v>
      </c>
      <c r="H128" s="2">
        <v>6.2600002290000001</v>
      </c>
      <c r="I128" s="2">
        <v>0</v>
      </c>
      <c r="J128" s="2">
        <v>0</v>
      </c>
      <c r="K128" s="2">
        <v>0</v>
      </c>
      <c r="L128" s="2">
        <v>360</v>
      </c>
      <c r="M128" s="2">
        <v>584</v>
      </c>
      <c r="N128" s="2">
        <v>9471</v>
      </c>
      <c r="O128" s="2">
        <v>2187</v>
      </c>
    </row>
    <row r="129" spans="1:15" x14ac:dyDescent="0.35">
      <c r="A129" s="2">
        <v>5577150313</v>
      </c>
      <c r="B129" s="3">
        <v>42489</v>
      </c>
      <c r="C129" s="2">
        <v>5.920000076</v>
      </c>
      <c r="D129" s="2">
        <v>5.920000076</v>
      </c>
      <c r="E129" s="2">
        <v>0</v>
      </c>
      <c r="F129" s="2">
        <v>2.8399999139999998</v>
      </c>
      <c r="G129" s="2">
        <v>0.61000001400000003</v>
      </c>
      <c r="H129" s="2">
        <v>2.4700000289999999</v>
      </c>
      <c r="I129" s="2">
        <v>0</v>
      </c>
      <c r="J129" s="2">
        <v>97</v>
      </c>
      <c r="K129" s="2">
        <v>36</v>
      </c>
      <c r="L129" s="2">
        <v>165</v>
      </c>
      <c r="M129" s="2">
        <v>739</v>
      </c>
      <c r="N129" s="2">
        <v>7924</v>
      </c>
      <c r="O129" s="2">
        <v>3544</v>
      </c>
    </row>
    <row r="130" spans="1:15" x14ac:dyDescent="0.35">
      <c r="A130" s="2">
        <v>8253242879</v>
      </c>
      <c r="B130" s="3">
        <v>42482</v>
      </c>
      <c r="C130" s="2">
        <v>1.8700000050000001</v>
      </c>
      <c r="D130" s="2">
        <v>1.8700000050000001</v>
      </c>
      <c r="E130" s="2">
        <v>0</v>
      </c>
      <c r="F130" s="2">
        <v>0</v>
      </c>
      <c r="G130" s="2">
        <v>0</v>
      </c>
      <c r="H130" s="2">
        <v>1.8700000050000001</v>
      </c>
      <c r="I130" s="2">
        <v>0</v>
      </c>
      <c r="J130" s="2">
        <v>0</v>
      </c>
      <c r="K130" s="2">
        <v>0</v>
      </c>
      <c r="L130" s="2">
        <v>120</v>
      </c>
      <c r="M130" s="2">
        <v>1320</v>
      </c>
      <c r="N130" s="2">
        <v>2824</v>
      </c>
      <c r="O130" s="2">
        <v>1651</v>
      </c>
    </row>
    <row r="131" spans="1:15" x14ac:dyDescent="0.35">
      <c r="A131" s="2">
        <v>2873212765</v>
      </c>
      <c r="B131" s="3">
        <v>42618</v>
      </c>
      <c r="C131" s="2">
        <v>5.1900000569999998</v>
      </c>
      <c r="D131" s="2">
        <v>5.1900000569999998</v>
      </c>
      <c r="E131" s="2">
        <v>0</v>
      </c>
      <c r="F131" s="2">
        <v>0</v>
      </c>
      <c r="G131" s="2">
        <v>0</v>
      </c>
      <c r="H131" s="2">
        <v>5.1900000569999998</v>
      </c>
      <c r="I131" s="2">
        <v>0</v>
      </c>
      <c r="J131" s="2">
        <v>0</v>
      </c>
      <c r="K131" s="2">
        <v>0</v>
      </c>
      <c r="L131" s="2">
        <v>345</v>
      </c>
      <c r="M131" s="2">
        <v>1095</v>
      </c>
      <c r="N131" s="2">
        <v>7726</v>
      </c>
      <c r="O131" s="2">
        <v>1906</v>
      </c>
    </row>
    <row r="132" spans="1:15" x14ac:dyDescent="0.35">
      <c r="A132" s="2">
        <v>8792009665</v>
      </c>
      <c r="B132" s="3">
        <v>42481</v>
      </c>
      <c r="C132" s="2">
        <v>9.0000003999999995E-2</v>
      </c>
      <c r="D132" s="2">
        <v>9.0000003999999995E-2</v>
      </c>
      <c r="E132" s="2">
        <v>0</v>
      </c>
      <c r="F132" s="2">
        <v>0</v>
      </c>
      <c r="G132" s="2">
        <v>0</v>
      </c>
      <c r="H132" s="2">
        <v>9.0000003999999995E-2</v>
      </c>
      <c r="I132" s="2">
        <v>0</v>
      </c>
      <c r="J132" s="2">
        <v>0</v>
      </c>
      <c r="K132" s="2">
        <v>0</v>
      </c>
      <c r="L132" s="2">
        <v>9</v>
      </c>
      <c r="M132" s="2">
        <v>1431</v>
      </c>
      <c r="N132" s="2">
        <v>144</v>
      </c>
      <c r="O132" s="2">
        <v>1720</v>
      </c>
    </row>
    <row r="133" spans="1:15" x14ac:dyDescent="0.35">
      <c r="A133" s="2">
        <v>2026352035</v>
      </c>
      <c r="B133" s="3">
        <v>42485</v>
      </c>
      <c r="C133" s="2">
        <v>3.7300000190000002</v>
      </c>
      <c r="D133" s="2">
        <v>3.7300000190000002</v>
      </c>
      <c r="E133" s="2">
        <v>0</v>
      </c>
      <c r="F133" s="2">
        <v>0</v>
      </c>
      <c r="G133" s="2">
        <v>0</v>
      </c>
      <c r="H133" s="2">
        <v>3.7300000190000002</v>
      </c>
      <c r="I133" s="2">
        <v>0</v>
      </c>
      <c r="J133" s="2">
        <v>0</v>
      </c>
      <c r="K133" s="2">
        <v>0</v>
      </c>
      <c r="L133" s="2">
        <v>260</v>
      </c>
      <c r="M133" s="2">
        <v>821</v>
      </c>
      <c r="N133" s="2">
        <v>6017</v>
      </c>
      <c r="O133" s="2">
        <v>1576</v>
      </c>
    </row>
    <row r="134" spans="1:15" x14ac:dyDescent="0.35">
      <c r="A134" s="2">
        <v>2873212765</v>
      </c>
      <c r="B134" s="3">
        <v>42482</v>
      </c>
      <c r="C134" s="2">
        <v>4.9000000950000002</v>
      </c>
      <c r="D134" s="2">
        <v>4.9000000950000002</v>
      </c>
      <c r="E134" s="2">
        <v>0</v>
      </c>
      <c r="F134" s="2">
        <v>0.46000000800000002</v>
      </c>
      <c r="G134" s="2">
        <v>0</v>
      </c>
      <c r="H134" s="2">
        <v>4.420000076</v>
      </c>
      <c r="I134" s="2">
        <v>0.02</v>
      </c>
      <c r="J134" s="2">
        <v>46</v>
      </c>
      <c r="K134" s="2">
        <v>0</v>
      </c>
      <c r="L134" s="2">
        <v>366</v>
      </c>
      <c r="M134" s="2">
        <v>1028</v>
      </c>
      <c r="N134" s="2">
        <v>7286</v>
      </c>
      <c r="O134" s="2">
        <v>2241</v>
      </c>
    </row>
    <row r="135" spans="1:15" x14ac:dyDescent="0.35">
      <c r="A135" s="2">
        <v>4020332650</v>
      </c>
      <c r="B135" s="3">
        <v>42476</v>
      </c>
      <c r="C135" s="2">
        <v>1.4199999569999999</v>
      </c>
      <c r="D135" s="2">
        <v>1.4199999569999999</v>
      </c>
      <c r="E135" s="2">
        <v>0</v>
      </c>
      <c r="F135" s="2">
        <v>0.44999998800000002</v>
      </c>
      <c r="G135" s="2">
        <v>0.37000000500000002</v>
      </c>
      <c r="H135" s="2">
        <v>0.58999997400000004</v>
      </c>
      <c r="I135" s="2">
        <v>0</v>
      </c>
      <c r="J135" s="2">
        <v>65</v>
      </c>
      <c r="K135" s="2">
        <v>21</v>
      </c>
      <c r="L135" s="2">
        <v>55</v>
      </c>
      <c r="M135" s="2">
        <v>1222</v>
      </c>
      <c r="N135" s="2">
        <v>1982</v>
      </c>
      <c r="O135" s="2">
        <v>3051</v>
      </c>
    </row>
    <row r="136" spans="1:15" x14ac:dyDescent="0.35">
      <c r="A136" s="2">
        <v>8583815059</v>
      </c>
      <c r="B136" s="3">
        <v>42374</v>
      </c>
      <c r="C136" s="2">
        <v>3.5199999809999998</v>
      </c>
      <c r="D136" s="2">
        <v>3.5199999809999998</v>
      </c>
      <c r="E136" s="2">
        <v>0</v>
      </c>
      <c r="F136" s="2">
        <v>0.77999997099999996</v>
      </c>
      <c r="G136" s="2">
        <v>0.119999997</v>
      </c>
      <c r="H136" s="2">
        <v>2.039999962</v>
      </c>
      <c r="I136" s="2">
        <v>0</v>
      </c>
      <c r="J136" s="2">
        <v>10</v>
      </c>
      <c r="K136" s="2">
        <v>2</v>
      </c>
      <c r="L136" s="2">
        <v>117</v>
      </c>
      <c r="M136" s="2">
        <v>1311</v>
      </c>
      <c r="N136" s="2">
        <v>4512</v>
      </c>
      <c r="O136" s="2">
        <v>2596</v>
      </c>
    </row>
    <row r="137" spans="1:15" x14ac:dyDescent="0.35">
      <c r="A137" s="2">
        <v>5577150313</v>
      </c>
      <c r="B137" s="3">
        <v>42490</v>
      </c>
      <c r="C137" s="2">
        <v>9.2399997710000008</v>
      </c>
      <c r="D137" s="2">
        <v>9.2399997710000008</v>
      </c>
      <c r="E137" s="2">
        <v>0</v>
      </c>
      <c r="F137" s="2">
        <v>5.829999924</v>
      </c>
      <c r="G137" s="2">
        <v>0.790000021</v>
      </c>
      <c r="H137" s="2">
        <v>2.6099998950000001</v>
      </c>
      <c r="I137" s="2">
        <v>0</v>
      </c>
      <c r="J137" s="2">
        <v>207</v>
      </c>
      <c r="K137" s="2">
        <v>45</v>
      </c>
      <c r="L137" s="2">
        <v>163</v>
      </c>
      <c r="M137" s="2">
        <v>621</v>
      </c>
      <c r="N137" s="2">
        <v>12363</v>
      </c>
      <c r="O137" s="2">
        <v>4501</v>
      </c>
    </row>
    <row r="138" spans="1:15" x14ac:dyDescent="0.35">
      <c r="A138" s="2">
        <v>3977333714</v>
      </c>
      <c r="B138" s="3">
        <v>42482</v>
      </c>
      <c r="C138" s="2">
        <v>5.9600000380000004</v>
      </c>
      <c r="D138" s="2">
        <v>5.9600000380000004</v>
      </c>
      <c r="E138" s="2">
        <v>0</v>
      </c>
      <c r="F138" s="2">
        <v>2.329999924</v>
      </c>
      <c r="G138" s="2">
        <v>0.579999983</v>
      </c>
      <c r="H138" s="2">
        <v>3.0599999430000002</v>
      </c>
      <c r="I138" s="2">
        <v>0</v>
      </c>
      <c r="J138" s="2">
        <v>33</v>
      </c>
      <c r="K138" s="2">
        <v>12</v>
      </c>
      <c r="L138" s="2">
        <v>188</v>
      </c>
      <c r="M138" s="2">
        <v>731</v>
      </c>
      <c r="N138" s="2">
        <v>8911</v>
      </c>
      <c r="O138" s="2">
        <v>1481</v>
      </c>
    </row>
    <row r="139" spans="1:15" x14ac:dyDescent="0.35">
      <c r="A139" s="2">
        <v>1927972279</v>
      </c>
      <c r="B139" s="3">
        <v>42486</v>
      </c>
      <c r="C139" s="2">
        <v>2.5999999049999998</v>
      </c>
      <c r="D139" s="2">
        <v>2.5999999049999998</v>
      </c>
      <c r="E139" s="2">
        <v>0</v>
      </c>
      <c r="F139" s="2">
        <v>0</v>
      </c>
      <c r="G139" s="2">
        <v>0</v>
      </c>
      <c r="H139" s="2">
        <v>2.5999999049999998</v>
      </c>
      <c r="I139" s="2">
        <v>0</v>
      </c>
      <c r="J139" s="2">
        <v>0</v>
      </c>
      <c r="K139" s="2">
        <v>0</v>
      </c>
      <c r="L139" s="2">
        <v>192</v>
      </c>
      <c r="M139" s="2">
        <v>1058</v>
      </c>
      <c r="N139" s="2">
        <v>3761</v>
      </c>
      <c r="O139" s="2">
        <v>2638</v>
      </c>
    </row>
    <row r="140" spans="1:15" x14ac:dyDescent="0.35">
      <c r="A140" s="2">
        <v>8877689391</v>
      </c>
      <c r="B140" s="3">
        <v>42481</v>
      </c>
      <c r="C140" s="2">
        <v>17.620000839999999</v>
      </c>
      <c r="D140" s="2">
        <v>17.620000839999999</v>
      </c>
      <c r="E140" s="2">
        <v>0</v>
      </c>
      <c r="F140" s="2">
        <v>12.289999959999999</v>
      </c>
      <c r="G140" s="2">
        <v>0.41999998700000002</v>
      </c>
      <c r="H140" s="2">
        <v>4.8899998660000001</v>
      </c>
      <c r="I140" s="2">
        <v>0</v>
      </c>
      <c r="J140" s="2">
        <v>82</v>
      </c>
      <c r="K140" s="2">
        <v>13</v>
      </c>
      <c r="L140" s="2">
        <v>226</v>
      </c>
      <c r="M140" s="2">
        <v>1119</v>
      </c>
      <c r="N140" s="2">
        <v>19377</v>
      </c>
      <c r="O140" s="2">
        <v>3659</v>
      </c>
    </row>
    <row r="141" spans="1:15" x14ac:dyDescent="0.35">
      <c r="A141" s="2">
        <v>3372868164</v>
      </c>
      <c r="B141" s="3">
        <v>42490</v>
      </c>
      <c r="C141" s="2">
        <v>3.579999924</v>
      </c>
      <c r="D141" s="2">
        <v>3.579999924</v>
      </c>
      <c r="E141" s="2">
        <v>0</v>
      </c>
      <c r="F141" s="2">
        <v>1.059999943</v>
      </c>
      <c r="G141" s="2">
        <v>9.0000003999999995E-2</v>
      </c>
      <c r="H141" s="2">
        <v>2.420000076</v>
      </c>
      <c r="I141" s="2">
        <v>0.01</v>
      </c>
      <c r="J141" s="2">
        <v>17</v>
      </c>
      <c r="K141" s="2">
        <v>4</v>
      </c>
      <c r="L141" s="2">
        <v>300</v>
      </c>
      <c r="M141" s="2">
        <v>1119</v>
      </c>
      <c r="N141" s="2">
        <v>5250</v>
      </c>
      <c r="O141" s="2">
        <v>1946</v>
      </c>
    </row>
    <row r="142" spans="1:15" x14ac:dyDescent="0.35">
      <c r="A142" s="2">
        <v>4445114986</v>
      </c>
      <c r="B142" s="3">
        <v>42374</v>
      </c>
      <c r="C142" s="2">
        <v>3.5099999899999998</v>
      </c>
      <c r="D142" s="2">
        <v>3.5099999899999998</v>
      </c>
      <c r="E142" s="2">
        <v>0</v>
      </c>
      <c r="F142" s="2">
        <v>0</v>
      </c>
      <c r="G142" s="2">
        <v>0</v>
      </c>
      <c r="H142" s="2">
        <v>3.5099999899999998</v>
      </c>
      <c r="I142" s="2">
        <v>0</v>
      </c>
      <c r="J142" s="2">
        <v>0</v>
      </c>
      <c r="K142" s="2">
        <v>0</v>
      </c>
      <c r="L142" s="2">
        <v>240</v>
      </c>
      <c r="M142" s="2">
        <v>741</v>
      </c>
      <c r="N142" s="2">
        <v>5232</v>
      </c>
      <c r="O142" s="2">
        <v>2246</v>
      </c>
    </row>
    <row r="143" spans="1:15" x14ac:dyDescent="0.35">
      <c r="A143" s="2">
        <v>8583815059</v>
      </c>
      <c r="B143" s="3">
        <v>42474</v>
      </c>
      <c r="C143" s="2">
        <v>2.4500000480000002</v>
      </c>
      <c r="D143" s="2">
        <v>2.4500000480000002</v>
      </c>
      <c r="E143" s="2">
        <v>0</v>
      </c>
      <c r="F143" s="2">
        <v>0</v>
      </c>
      <c r="G143" s="2">
        <v>0</v>
      </c>
      <c r="H143" s="2">
        <v>2.4300000669999999</v>
      </c>
      <c r="I143" s="2">
        <v>0</v>
      </c>
      <c r="J143" s="2">
        <v>0</v>
      </c>
      <c r="K143" s="2">
        <v>0</v>
      </c>
      <c r="L143" s="2">
        <v>134</v>
      </c>
      <c r="M143" s="2">
        <v>1306</v>
      </c>
      <c r="N143" s="2">
        <v>3135</v>
      </c>
      <c r="O143" s="2">
        <v>2443</v>
      </c>
    </row>
    <row r="144" spans="1:15" x14ac:dyDescent="0.35">
      <c r="A144" s="2">
        <v>4319703577</v>
      </c>
      <c r="B144" s="3">
        <v>42485</v>
      </c>
      <c r="C144" s="2">
        <v>6.2100000380000004</v>
      </c>
      <c r="D144" s="2">
        <v>6.2100000380000004</v>
      </c>
      <c r="E144" s="2">
        <v>0</v>
      </c>
      <c r="F144" s="2">
        <v>0</v>
      </c>
      <c r="G144" s="2">
        <v>0.280000001</v>
      </c>
      <c r="H144" s="2">
        <v>5.9299998279999997</v>
      </c>
      <c r="I144" s="2">
        <v>0</v>
      </c>
      <c r="J144" s="2">
        <v>0</v>
      </c>
      <c r="K144" s="2">
        <v>8</v>
      </c>
      <c r="L144" s="2">
        <v>390</v>
      </c>
      <c r="M144" s="2">
        <v>544</v>
      </c>
      <c r="N144" s="2">
        <v>9259</v>
      </c>
      <c r="O144" s="2">
        <v>2314</v>
      </c>
    </row>
    <row r="145" spans="1:15" x14ac:dyDescent="0.35">
      <c r="A145" s="2">
        <v>4702921684</v>
      </c>
      <c r="B145" s="3">
        <v>42486</v>
      </c>
      <c r="C145" s="2">
        <v>4.9499998090000004</v>
      </c>
      <c r="D145" s="2">
        <v>4.9499998090000004</v>
      </c>
      <c r="E145" s="2">
        <v>0</v>
      </c>
      <c r="F145" s="2">
        <v>7.0000000000000007E-2</v>
      </c>
      <c r="G145" s="2">
        <v>0.34999999399999998</v>
      </c>
      <c r="H145" s="2">
        <v>4.5399999619999996</v>
      </c>
      <c r="I145" s="2">
        <v>0</v>
      </c>
      <c r="J145" s="2">
        <v>1</v>
      </c>
      <c r="K145" s="2">
        <v>8</v>
      </c>
      <c r="L145" s="2">
        <v>216</v>
      </c>
      <c r="M145" s="2">
        <v>765</v>
      </c>
      <c r="N145" s="2">
        <v>6108</v>
      </c>
      <c r="O145" s="2">
        <v>2784</v>
      </c>
    </row>
    <row r="146" spans="1:15" x14ac:dyDescent="0.35">
      <c r="A146" s="2">
        <v>4702921684</v>
      </c>
      <c r="B146" s="3">
        <v>42679</v>
      </c>
      <c r="C146" s="2">
        <v>7.9600000380000004</v>
      </c>
      <c r="D146" s="2">
        <v>7.9600000380000004</v>
      </c>
      <c r="E146" s="2">
        <v>0</v>
      </c>
      <c r="F146" s="2">
        <v>0.77999997099999996</v>
      </c>
      <c r="G146" s="2">
        <v>2.1600000860000002</v>
      </c>
      <c r="H146" s="2">
        <v>4.9800000190000002</v>
      </c>
      <c r="I146" s="2">
        <v>0</v>
      </c>
      <c r="J146" s="2">
        <v>10</v>
      </c>
      <c r="K146" s="2">
        <v>41</v>
      </c>
      <c r="L146" s="2">
        <v>235</v>
      </c>
      <c r="M146" s="2">
        <v>784</v>
      </c>
      <c r="N146" s="2">
        <v>9810</v>
      </c>
      <c r="O146" s="2">
        <v>3069</v>
      </c>
    </row>
    <row r="147" spans="1:15" x14ac:dyDescent="0.35">
      <c r="A147" s="2">
        <v>2873212765</v>
      </c>
      <c r="B147" s="3">
        <v>42679</v>
      </c>
      <c r="C147" s="2">
        <v>4.329999924</v>
      </c>
      <c r="D147" s="2">
        <v>4.329999924</v>
      </c>
      <c r="E147" s="2">
        <v>0</v>
      </c>
      <c r="F147" s="2">
        <v>0</v>
      </c>
      <c r="G147" s="2">
        <v>0</v>
      </c>
      <c r="H147" s="2">
        <v>4.3200001720000003</v>
      </c>
      <c r="I147" s="2">
        <v>0.01</v>
      </c>
      <c r="J147" s="2">
        <v>0</v>
      </c>
      <c r="K147" s="2">
        <v>0</v>
      </c>
      <c r="L147" s="2">
        <v>319</v>
      </c>
      <c r="M147" s="2">
        <v>1121</v>
      </c>
      <c r="N147" s="2">
        <v>6440</v>
      </c>
      <c r="O147" s="2">
        <v>1826</v>
      </c>
    </row>
    <row r="148" spans="1:15" x14ac:dyDescent="0.35">
      <c r="A148" s="2">
        <v>5553957443</v>
      </c>
      <c r="B148" s="3">
        <v>42474</v>
      </c>
      <c r="C148" s="2">
        <v>11.119999890000001</v>
      </c>
      <c r="D148" s="2">
        <v>11.119999890000001</v>
      </c>
      <c r="E148" s="2">
        <v>0</v>
      </c>
      <c r="F148" s="2">
        <v>4</v>
      </c>
      <c r="G148" s="2">
        <v>2.4500000480000002</v>
      </c>
      <c r="H148" s="2">
        <v>4.670000076</v>
      </c>
      <c r="I148" s="2">
        <v>0</v>
      </c>
      <c r="J148" s="2">
        <v>61</v>
      </c>
      <c r="K148" s="2">
        <v>41</v>
      </c>
      <c r="L148" s="2">
        <v>256</v>
      </c>
      <c r="M148" s="2">
        <v>693</v>
      </c>
      <c r="N148" s="2">
        <v>17022</v>
      </c>
      <c r="O148" s="2">
        <v>2324</v>
      </c>
    </row>
    <row r="149" spans="1:15" x14ac:dyDescent="0.35">
      <c r="A149" s="2">
        <v>4388161847</v>
      </c>
      <c r="B149" s="3">
        <v>42708</v>
      </c>
      <c r="C149" s="2">
        <v>7.7800002099999999</v>
      </c>
      <c r="D149" s="2">
        <v>7.7800002099999999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1440</v>
      </c>
      <c r="N149" s="2">
        <v>10122</v>
      </c>
      <c r="O149" s="2">
        <v>2955</v>
      </c>
    </row>
    <row r="150" spans="1:15" x14ac:dyDescent="0.35">
      <c r="A150" s="2">
        <v>1644430081</v>
      </c>
      <c r="B150" s="3">
        <v>42488</v>
      </c>
      <c r="C150" s="2">
        <v>6.8400001530000001</v>
      </c>
      <c r="D150" s="2">
        <v>6.8400001530000001</v>
      </c>
      <c r="E150" s="2">
        <v>0</v>
      </c>
      <c r="F150" s="2">
        <v>0.20000000300000001</v>
      </c>
      <c r="G150" s="2">
        <v>2.3199999330000001</v>
      </c>
      <c r="H150" s="2">
        <v>4.3099999430000002</v>
      </c>
      <c r="I150" s="2">
        <v>0</v>
      </c>
      <c r="J150" s="2">
        <v>3</v>
      </c>
      <c r="K150" s="2">
        <v>53</v>
      </c>
      <c r="L150" s="2">
        <v>227</v>
      </c>
      <c r="M150" s="2">
        <v>1157</v>
      </c>
      <c r="N150" s="2">
        <v>9405</v>
      </c>
      <c r="O150" s="2">
        <v>3108</v>
      </c>
    </row>
    <row r="151" spans="1:15" x14ac:dyDescent="0.35">
      <c r="A151" s="2">
        <v>2347167796</v>
      </c>
      <c r="B151" s="3">
        <v>42485</v>
      </c>
      <c r="C151" s="2">
        <v>6.3800001139999996</v>
      </c>
      <c r="D151" s="2">
        <v>6.3800001139999996</v>
      </c>
      <c r="E151" s="2">
        <v>0</v>
      </c>
      <c r="F151" s="2">
        <v>1.269999981</v>
      </c>
      <c r="G151" s="2">
        <v>0.519999981</v>
      </c>
      <c r="H151" s="2">
        <v>4.5999999049999998</v>
      </c>
      <c r="I151" s="2">
        <v>0</v>
      </c>
      <c r="J151" s="2">
        <v>15</v>
      </c>
      <c r="K151" s="2">
        <v>11</v>
      </c>
      <c r="L151" s="2">
        <v>277</v>
      </c>
      <c r="M151" s="2">
        <v>653</v>
      </c>
      <c r="N151" s="2">
        <v>9482</v>
      </c>
      <c r="O151" s="2">
        <v>2095</v>
      </c>
    </row>
    <row r="152" spans="1:15" x14ac:dyDescent="0.35">
      <c r="A152" s="2">
        <v>2320127002</v>
      </c>
      <c r="B152" s="3">
        <v>42487</v>
      </c>
      <c r="C152" s="2">
        <v>1.1599999670000001</v>
      </c>
      <c r="D152" s="2">
        <v>1.1599999670000001</v>
      </c>
      <c r="E152" s="2">
        <v>0</v>
      </c>
      <c r="F152" s="2">
        <v>0</v>
      </c>
      <c r="G152" s="2">
        <v>0</v>
      </c>
      <c r="H152" s="2">
        <v>1.1599999670000001</v>
      </c>
      <c r="I152" s="2">
        <v>0</v>
      </c>
      <c r="J152" s="2">
        <v>0</v>
      </c>
      <c r="K152" s="2">
        <v>0</v>
      </c>
      <c r="L152" s="2">
        <v>82</v>
      </c>
      <c r="M152" s="2">
        <v>1358</v>
      </c>
      <c r="N152" s="2">
        <v>1715</v>
      </c>
      <c r="O152" s="2">
        <v>1481</v>
      </c>
    </row>
    <row r="153" spans="1:15" x14ac:dyDescent="0.35">
      <c r="A153" s="2">
        <v>8053475328</v>
      </c>
      <c r="B153" s="3">
        <v>42481</v>
      </c>
      <c r="C153" s="2">
        <v>12.510000229999999</v>
      </c>
      <c r="D153" s="2">
        <v>12.510000229999999</v>
      </c>
      <c r="E153" s="2">
        <v>0</v>
      </c>
      <c r="F153" s="2">
        <v>9.6700000760000009</v>
      </c>
      <c r="G153" s="2">
        <v>0.25</v>
      </c>
      <c r="H153" s="2">
        <v>2.579999924</v>
      </c>
      <c r="I153" s="2">
        <v>0</v>
      </c>
      <c r="J153" s="2">
        <v>100</v>
      </c>
      <c r="K153" s="2">
        <v>6</v>
      </c>
      <c r="L153" s="2">
        <v>170</v>
      </c>
      <c r="M153" s="2">
        <v>1164</v>
      </c>
      <c r="N153" s="2">
        <v>16057</v>
      </c>
      <c r="O153" s="2">
        <v>3103</v>
      </c>
    </row>
    <row r="154" spans="1:15" x14ac:dyDescent="0.35">
      <c r="A154" s="2">
        <v>5553957443</v>
      </c>
      <c r="B154" s="3">
        <v>42480</v>
      </c>
      <c r="C154" s="2">
        <v>1.769999981</v>
      </c>
      <c r="D154" s="2">
        <v>1.769999981</v>
      </c>
      <c r="E154" s="2">
        <v>0</v>
      </c>
      <c r="F154" s="2">
        <v>0</v>
      </c>
      <c r="G154" s="2">
        <v>0</v>
      </c>
      <c r="H154" s="2">
        <v>1.769999981</v>
      </c>
      <c r="I154" s="2">
        <v>0</v>
      </c>
      <c r="J154" s="2">
        <v>0</v>
      </c>
      <c r="K154" s="2">
        <v>0</v>
      </c>
      <c r="L154" s="2">
        <v>148</v>
      </c>
      <c r="M154" s="2">
        <v>598</v>
      </c>
      <c r="N154" s="2">
        <v>2713</v>
      </c>
      <c r="O154" s="2">
        <v>1570</v>
      </c>
    </row>
    <row r="155" spans="1:15" x14ac:dyDescent="0.35">
      <c r="A155" s="2">
        <v>6117666160</v>
      </c>
      <c r="B155" s="3">
        <v>42477</v>
      </c>
      <c r="C155" s="2">
        <v>5.4000000950000002</v>
      </c>
      <c r="D155" s="2">
        <v>5.4000000950000002</v>
      </c>
      <c r="E155" s="2">
        <v>0</v>
      </c>
      <c r="F155" s="2">
        <v>0</v>
      </c>
      <c r="G155" s="2">
        <v>0</v>
      </c>
      <c r="H155" s="2">
        <v>5.4000000950000002</v>
      </c>
      <c r="I155" s="2">
        <v>0</v>
      </c>
      <c r="J155" s="2">
        <v>0</v>
      </c>
      <c r="K155" s="2">
        <v>0</v>
      </c>
      <c r="L155" s="2">
        <v>312</v>
      </c>
      <c r="M155" s="2">
        <v>702</v>
      </c>
      <c r="N155" s="2">
        <v>7150</v>
      </c>
      <c r="O155" s="2">
        <v>2225</v>
      </c>
    </row>
    <row r="156" spans="1:15" x14ac:dyDescent="0.35">
      <c r="A156" s="2">
        <v>4702921684</v>
      </c>
      <c r="B156" s="3">
        <v>42405</v>
      </c>
      <c r="C156" s="2">
        <v>5.920000076</v>
      </c>
      <c r="D156" s="2">
        <v>5.920000076</v>
      </c>
      <c r="E156" s="2">
        <v>0</v>
      </c>
      <c r="F156" s="2">
        <v>0.37999999499999998</v>
      </c>
      <c r="G156" s="2">
        <v>1.7400000099999999</v>
      </c>
      <c r="H156" s="2">
        <v>3.7599999899999998</v>
      </c>
      <c r="I156" s="2">
        <v>0</v>
      </c>
      <c r="J156" s="2">
        <v>5</v>
      </c>
      <c r="K156" s="2">
        <v>40</v>
      </c>
      <c r="L156" s="2">
        <v>195</v>
      </c>
      <c r="M156" s="2">
        <v>1131</v>
      </c>
      <c r="N156" s="2">
        <v>7245</v>
      </c>
      <c r="O156" s="2">
        <v>2859</v>
      </c>
    </row>
    <row r="157" spans="1:15" x14ac:dyDescent="0.35">
      <c r="A157" s="2">
        <v>4388161847</v>
      </c>
      <c r="B157" s="3">
        <v>42405</v>
      </c>
      <c r="C157" s="2">
        <v>8.3999996190000008</v>
      </c>
      <c r="D157" s="2">
        <v>8.3999996190000008</v>
      </c>
      <c r="E157" s="2">
        <v>0</v>
      </c>
      <c r="F157" s="2">
        <v>3.7699999809999998</v>
      </c>
      <c r="G157" s="2">
        <v>7.9999998000000003E-2</v>
      </c>
      <c r="H157" s="2">
        <v>4.5500001909999996</v>
      </c>
      <c r="I157" s="2">
        <v>0</v>
      </c>
      <c r="J157" s="2">
        <v>33</v>
      </c>
      <c r="K157" s="2">
        <v>4</v>
      </c>
      <c r="L157" s="2">
        <v>204</v>
      </c>
      <c r="M157" s="2">
        <v>935</v>
      </c>
      <c r="N157" s="2">
        <v>10096</v>
      </c>
      <c r="O157" s="2">
        <v>3147</v>
      </c>
    </row>
    <row r="158" spans="1:15" x14ac:dyDescent="0.35">
      <c r="A158" s="2">
        <v>1644430081</v>
      </c>
      <c r="B158" s="3">
        <v>42475</v>
      </c>
      <c r="C158" s="2">
        <v>3.829999924</v>
      </c>
      <c r="D158" s="2">
        <v>3.829999924</v>
      </c>
      <c r="E158" s="2">
        <v>0</v>
      </c>
      <c r="F158" s="2">
        <v>0.219999999</v>
      </c>
      <c r="G158" s="2">
        <v>0.15000000599999999</v>
      </c>
      <c r="H158" s="2">
        <v>3.4500000480000002</v>
      </c>
      <c r="I158" s="2">
        <v>0</v>
      </c>
      <c r="J158" s="2">
        <v>3</v>
      </c>
      <c r="K158" s="2">
        <v>4</v>
      </c>
      <c r="L158" s="2">
        <v>170</v>
      </c>
      <c r="M158" s="2">
        <v>1263</v>
      </c>
      <c r="N158" s="2">
        <v>5263</v>
      </c>
      <c r="O158" s="2">
        <v>2750</v>
      </c>
    </row>
    <row r="159" spans="1:15" x14ac:dyDescent="0.35">
      <c r="A159" s="2">
        <v>1927972279</v>
      </c>
      <c r="B159" s="3">
        <v>42490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1440</v>
      </c>
      <c r="N159" s="2">
        <v>0</v>
      </c>
      <c r="O159" s="2">
        <v>2064</v>
      </c>
    </row>
    <row r="160" spans="1:15" x14ac:dyDescent="0.35">
      <c r="A160" s="2">
        <v>4020332650</v>
      </c>
      <c r="B160" s="3">
        <v>42489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1440</v>
      </c>
      <c r="N160" s="2">
        <v>0</v>
      </c>
      <c r="O160" s="2">
        <v>1980</v>
      </c>
    </row>
    <row r="161" spans="1:15" x14ac:dyDescent="0.35">
      <c r="A161" s="2">
        <v>4020332650</v>
      </c>
      <c r="B161" s="3">
        <v>42708</v>
      </c>
      <c r="C161" s="2">
        <v>6.1199998860000004</v>
      </c>
      <c r="D161" s="2">
        <v>6.1199998860000004</v>
      </c>
      <c r="E161" s="2">
        <v>0</v>
      </c>
      <c r="F161" s="2">
        <v>0.15000000599999999</v>
      </c>
      <c r="G161" s="2">
        <v>0.23999999499999999</v>
      </c>
      <c r="H161" s="2">
        <v>5.6799998279999997</v>
      </c>
      <c r="I161" s="2">
        <v>0</v>
      </c>
      <c r="J161" s="2">
        <v>4</v>
      </c>
      <c r="K161" s="2">
        <v>15</v>
      </c>
      <c r="L161" s="2">
        <v>331</v>
      </c>
      <c r="M161" s="2">
        <v>712</v>
      </c>
      <c r="N161" s="2">
        <v>8539</v>
      </c>
      <c r="O161" s="2">
        <v>3654</v>
      </c>
    </row>
    <row r="162" spans="1:15" x14ac:dyDescent="0.35">
      <c r="A162" s="2">
        <v>4702921684</v>
      </c>
      <c r="B162" s="3">
        <v>42587</v>
      </c>
      <c r="C162" s="2">
        <v>10.43000031</v>
      </c>
      <c r="D162" s="2">
        <v>10.43000031</v>
      </c>
      <c r="E162" s="2">
        <v>0</v>
      </c>
      <c r="F162" s="2">
        <v>0.68000000699999996</v>
      </c>
      <c r="G162" s="2">
        <v>6.2100000380000004</v>
      </c>
      <c r="H162" s="2">
        <v>3.539999962</v>
      </c>
      <c r="I162" s="2">
        <v>0</v>
      </c>
      <c r="J162" s="2">
        <v>9</v>
      </c>
      <c r="K162" s="2">
        <v>125</v>
      </c>
      <c r="L162" s="2">
        <v>192</v>
      </c>
      <c r="M162" s="2">
        <v>1019</v>
      </c>
      <c r="N162" s="2">
        <v>12857</v>
      </c>
      <c r="O162" s="2">
        <v>3287</v>
      </c>
    </row>
    <row r="163" spans="1:15" x14ac:dyDescent="0.35">
      <c r="A163" s="2">
        <v>8792009665</v>
      </c>
      <c r="B163" s="3">
        <v>42473</v>
      </c>
      <c r="C163" s="2">
        <v>0.83999997400000004</v>
      </c>
      <c r="D163" s="2">
        <v>0.83999997400000004</v>
      </c>
      <c r="E163" s="2">
        <v>0</v>
      </c>
      <c r="F163" s="2">
        <v>0</v>
      </c>
      <c r="G163" s="2">
        <v>0</v>
      </c>
      <c r="H163" s="2">
        <v>0.83999997400000004</v>
      </c>
      <c r="I163" s="2">
        <v>0</v>
      </c>
      <c r="J163" s="2">
        <v>0</v>
      </c>
      <c r="K163" s="2">
        <v>0</v>
      </c>
      <c r="L163" s="2">
        <v>82</v>
      </c>
      <c r="M163" s="2">
        <v>806</v>
      </c>
      <c r="N163" s="2">
        <v>1320</v>
      </c>
      <c r="O163" s="2">
        <v>1934</v>
      </c>
    </row>
    <row r="164" spans="1:15" x14ac:dyDescent="0.35">
      <c r="A164" s="2">
        <v>8378563200</v>
      </c>
      <c r="B164" s="3">
        <v>42482</v>
      </c>
      <c r="C164" s="2">
        <v>9.6700000760000009</v>
      </c>
      <c r="D164" s="2">
        <v>9.6700000760000009</v>
      </c>
      <c r="E164" s="2">
        <v>2.0921471120000001</v>
      </c>
      <c r="F164" s="2">
        <v>4.9099998469999999</v>
      </c>
      <c r="G164" s="2">
        <v>0.58999997400000004</v>
      </c>
      <c r="H164" s="2">
        <v>4.1799998279999997</v>
      </c>
      <c r="I164" s="2">
        <v>0</v>
      </c>
      <c r="J164" s="2">
        <v>113</v>
      </c>
      <c r="K164" s="2">
        <v>12</v>
      </c>
      <c r="L164" s="2">
        <v>159</v>
      </c>
      <c r="M164" s="2">
        <v>769</v>
      </c>
      <c r="N164" s="2">
        <v>12200</v>
      </c>
      <c r="O164" s="2">
        <v>4044</v>
      </c>
    </row>
    <row r="165" spans="1:15" x14ac:dyDescent="0.35">
      <c r="A165" s="2">
        <v>3977333714</v>
      </c>
      <c r="B165" s="3">
        <v>42648</v>
      </c>
      <c r="C165" s="2">
        <v>8.7799997330000004</v>
      </c>
      <c r="D165" s="2">
        <v>8.7799997330000004</v>
      </c>
      <c r="E165" s="2">
        <v>0</v>
      </c>
      <c r="F165" s="2">
        <v>7.0000000000000007E-2</v>
      </c>
      <c r="G165" s="2">
        <v>5.4000000950000002</v>
      </c>
      <c r="H165" s="2">
        <v>3.3099999430000002</v>
      </c>
      <c r="I165" s="2">
        <v>0</v>
      </c>
      <c r="J165" s="2">
        <v>1</v>
      </c>
      <c r="K165" s="2">
        <v>115</v>
      </c>
      <c r="L165" s="2">
        <v>196</v>
      </c>
      <c r="M165" s="2">
        <v>676</v>
      </c>
      <c r="N165" s="2">
        <v>13072</v>
      </c>
      <c r="O165" s="2">
        <v>1630</v>
      </c>
    </row>
    <row r="166" spans="1:15" x14ac:dyDescent="0.35">
      <c r="A166" s="2">
        <v>4319703577</v>
      </c>
      <c r="B166" s="3">
        <v>42489</v>
      </c>
      <c r="C166" s="2">
        <v>5.3600001339999999</v>
      </c>
      <c r="D166" s="2">
        <v>5.3600001339999999</v>
      </c>
      <c r="E166" s="2">
        <v>0</v>
      </c>
      <c r="F166" s="2">
        <v>0.44999998800000002</v>
      </c>
      <c r="G166" s="2">
        <v>0.790000021</v>
      </c>
      <c r="H166" s="2">
        <v>4.1199998860000004</v>
      </c>
      <c r="I166" s="2">
        <v>0</v>
      </c>
      <c r="J166" s="2">
        <v>6</v>
      </c>
      <c r="K166" s="2">
        <v>18</v>
      </c>
      <c r="L166" s="2">
        <v>289</v>
      </c>
      <c r="M166" s="2">
        <v>624</v>
      </c>
      <c r="N166" s="2">
        <v>7990</v>
      </c>
      <c r="O166" s="2">
        <v>2175</v>
      </c>
    </row>
    <row r="167" spans="1:15" x14ac:dyDescent="0.35">
      <c r="A167" s="2">
        <v>4020332650</v>
      </c>
      <c r="B167" s="3">
        <v>42483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1440</v>
      </c>
      <c r="N167" s="2">
        <v>0</v>
      </c>
      <c r="O167" s="2">
        <v>1980</v>
      </c>
    </row>
    <row r="168" spans="1:15" x14ac:dyDescent="0.35">
      <c r="A168" s="2">
        <v>2347167796</v>
      </c>
      <c r="B168" s="3">
        <v>42486</v>
      </c>
      <c r="C168" s="2">
        <v>3.9500000480000002</v>
      </c>
      <c r="D168" s="2">
        <v>3.9500000480000002</v>
      </c>
      <c r="E168" s="2">
        <v>0</v>
      </c>
      <c r="F168" s="2">
        <v>0</v>
      </c>
      <c r="G168" s="2">
        <v>0</v>
      </c>
      <c r="H168" s="2">
        <v>3.9500000480000002</v>
      </c>
      <c r="I168" s="2">
        <v>0</v>
      </c>
      <c r="J168" s="2">
        <v>0</v>
      </c>
      <c r="K168" s="2">
        <v>0</v>
      </c>
      <c r="L168" s="2">
        <v>227</v>
      </c>
      <c r="M168" s="2">
        <v>732</v>
      </c>
      <c r="N168" s="2">
        <v>5980</v>
      </c>
      <c r="O168" s="2">
        <v>1861</v>
      </c>
    </row>
    <row r="169" spans="1:15" x14ac:dyDescent="0.35">
      <c r="A169" s="2">
        <v>1624580081</v>
      </c>
      <c r="B169" s="3">
        <v>42490</v>
      </c>
      <c r="C169" s="2">
        <v>4.3000001909999996</v>
      </c>
      <c r="D169" s="2">
        <v>4.3000001909999996</v>
      </c>
      <c r="E169" s="2">
        <v>0</v>
      </c>
      <c r="F169" s="2">
        <v>0.89999997600000003</v>
      </c>
      <c r="G169" s="2">
        <v>1.2799999710000001</v>
      </c>
      <c r="H169" s="2">
        <v>2.119999886</v>
      </c>
      <c r="I169" s="2">
        <v>0.01</v>
      </c>
      <c r="J169" s="2">
        <v>11</v>
      </c>
      <c r="K169" s="2">
        <v>23</v>
      </c>
      <c r="L169" s="2">
        <v>224</v>
      </c>
      <c r="M169" s="2">
        <v>1182</v>
      </c>
      <c r="N169" s="2">
        <v>6474</v>
      </c>
      <c r="O169" s="2">
        <v>1655</v>
      </c>
    </row>
    <row r="170" spans="1:15" x14ac:dyDescent="0.35">
      <c r="A170" s="2">
        <v>6962181067</v>
      </c>
      <c r="B170" s="3">
        <v>42474</v>
      </c>
      <c r="C170" s="2">
        <v>1.0299999710000001</v>
      </c>
      <c r="D170" s="2">
        <v>1.0299999710000001</v>
      </c>
      <c r="E170" s="2">
        <v>0</v>
      </c>
      <c r="F170" s="2">
        <v>0</v>
      </c>
      <c r="G170" s="2">
        <v>0</v>
      </c>
      <c r="H170" s="2">
        <v>1.0299999710000001</v>
      </c>
      <c r="I170" s="2">
        <v>0</v>
      </c>
      <c r="J170" s="2">
        <v>0</v>
      </c>
      <c r="K170" s="2">
        <v>0</v>
      </c>
      <c r="L170" s="2">
        <v>86</v>
      </c>
      <c r="M170" s="2">
        <v>862</v>
      </c>
      <c r="N170" s="2">
        <v>1551</v>
      </c>
      <c r="O170" s="2">
        <v>1466</v>
      </c>
    </row>
    <row r="171" spans="1:15" x14ac:dyDescent="0.35">
      <c r="A171" s="2">
        <v>7007744171</v>
      </c>
      <c r="B171" s="3">
        <v>42526</v>
      </c>
      <c r="C171" s="2">
        <v>7.670000076</v>
      </c>
      <c r="D171" s="2">
        <v>7.670000076</v>
      </c>
      <c r="E171" s="2">
        <v>0</v>
      </c>
      <c r="F171" s="2">
        <v>3</v>
      </c>
      <c r="G171" s="2">
        <v>0.810000002</v>
      </c>
      <c r="H171" s="2">
        <v>3.8599998950000001</v>
      </c>
      <c r="I171" s="2">
        <v>0</v>
      </c>
      <c r="J171" s="2">
        <v>44</v>
      </c>
      <c r="K171" s="2">
        <v>13</v>
      </c>
      <c r="L171" s="2">
        <v>247</v>
      </c>
      <c r="M171" s="2">
        <v>1136</v>
      </c>
      <c r="N171" s="2">
        <v>11459</v>
      </c>
      <c r="O171" s="2">
        <v>2553</v>
      </c>
    </row>
    <row r="172" spans="1:15" x14ac:dyDescent="0.35">
      <c r="A172" s="2">
        <v>2320127002</v>
      </c>
      <c r="B172" s="3">
        <v>42474</v>
      </c>
      <c r="C172" s="2">
        <v>2.6800000669999999</v>
      </c>
      <c r="D172" s="2">
        <v>2.6800000669999999</v>
      </c>
      <c r="E172" s="2">
        <v>0</v>
      </c>
      <c r="F172" s="2">
        <v>0</v>
      </c>
      <c r="G172" s="2">
        <v>0</v>
      </c>
      <c r="H172" s="2">
        <v>2.6800000669999999</v>
      </c>
      <c r="I172" s="2">
        <v>0</v>
      </c>
      <c r="J172" s="2">
        <v>0</v>
      </c>
      <c r="K172" s="2">
        <v>0</v>
      </c>
      <c r="L172" s="2">
        <v>191</v>
      </c>
      <c r="M172" s="2">
        <v>1249</v>
      </c>
      <c r="N172" s="2">
        <v>3973</v>
      </c>
      <c r="O172" s="2">
        <v>1696</v>
      </c>
    </row>
    <row r="173" spans="1:15" x14ac:dyDescent="0.35">
      <c r="A173" s="2">
        <v>8378563200</v>
      </c>
      <c r="B173" s="3">
        <v>42679</v>
      </c>
      <c r="C173" s="2">
        <v>7.25</v>
      </c>
      <c r="D173" s="2">
        <v>7.25</v>
      </c>
      <c r="E173" s="2">
        <v>2.0921471120000001</v>
      </c>
      <c r="F173" s="2">
        <v>1.3899999860000001</v>
      </c>
      <c r="G173" s="2">
        <v>0.58999997400000004</v>
      </c>
      <c r="H173" s="2">
        <v>5.2699999809999998</v>
      </c>
      <c r="I173" s="2">
        <v>0</v>
      </c>
      <c r="J173" s="2">
        <v>72</v>
      </c>
      <c r="K173" s="2">
        <v>10</v>
      </c>
      <c r="L173" s="2">
        <v>184</v>
      </c>
      <c r="M173" s="2">
        <v>763</v>
      </c>
      <c r="N173" s="2">
        <v>9143</v>
      </c>
      <c r="O173" s="2">
        <v>3788</v>
      </c>
    </row>
    <row r="174" spans="1:15" x14ac:dyDescent="0.35">
      <c r="A174" s="2">
        <v>4558609924</v>
      </c>
      <c r="B174" s="3">
        <v>42481</v>
      </c>
      <c r="C174" s="2">
        <v>9.0799999239999991</v>
      </c>
      <c r="D174" s="2">
        <v>9.0799999239999991</v>
      </c>
      <c r="E174" s="2">
        <v>0</v>
      </c>
      <c r="F174" s="2">
        <v>0.41999998700000002</v>
      </c>
      <c r="G174" s="2">
        <v>0.97000002900000004</v>
      </c>
      <c r="H174" s="2">
        <v>7.6999998090000004</v>
      </c>
      <c r="I174" s="2">
        <v>0</v>
      </c>
      <c r="J174" s="2">
        <v>6</v>
      </c>
      <c r="K174" s="2">
        <v>21</v>
      </c>
      <c r="L174" s="2">
        <v>432</v>
      </c>
      <c r="M174" s="2">
        <v>844</v>
      </c>
      <c r="N174" s="2">
        <v>13743</v>
      </c>
      <c r="O174" s="2">
        <v>2486</v>
      </c>
    </row>
    <row r="175" spans="1:15" x14ac:dyDescent="0.35">
      <c r="A175" s="2">
        <v>3372868164</v>
      </c>
      <c r="B175" s="3">
        <v>42474</v>
      </c>
      <c r="C175" s="2">
        <v>6.0300002099999999</v>
      </c>
      <c r="D175" s="2">
        <v>6.0300002099999999</v>
      </c>
      <c r="E175" s="2">
        <v>0</v>
      </c>
      <c r="F175" s="2">
        <v>0.34000000400000002</v>
      </c>
      <c r="G175" s="2">
        <v>1.0299999710000001</v>
      </c>
      <c r="H175" s="2">
        <v>4.6500000950000002</v>
      </c>
      <c r="I175" s="2">
        <v>0.01</v>
      </c>
      <c r="J175" s="2">
        <v>6</v>
      </c>
      <c r="K175" s="2">
        <v>25</v>
      </c>
      <c r="L175" s="2">
        <v>370</v>
      </c>
      <c r="M175" s="2">
        <v>1039</v>
      </c>
      <c r="N175" s="2">
        <v>8844</v>
      </c>
      <c r="O175" s="2">
        <v>2065</v>
      </c>
    </row>
    <row r="176" spans="1:15" x14ac:dyDescent="0.35">
      <c r="A176" s="2">
        <v>8877689391</v>
      </c>
      <c r="B176" s="3">
        <v>42556</v>
      </c>
      <c r="C176" s="2">
        <v>8.1300001139999996</v>
      </c>
      <c r="D176" s="2">
        <v>8.1300001139999996</v>
      </c>
      <c r="E176" s="2">
        <v>0</v>
      </c>
      <c r="F176" s="2">
        <v>7.9999998000000003E-2</v>
      </c>
      <c r="G176" s="2">
        <v>0.959999979</v>
      </c>
      <c r="H176" s="2">
        <v>6.9899997709999999</v>
      </c>
      <c r="I176" s="2">
        <v>0</v>
      </c>
      <c r="J176" s="2">
        <v>105</v>
      </c>
      <c r="K176" s="2">
        <v>28</v>
      </c>
      <c r="L176" s="2">
        <v>271</v>
      </c>
      <c r="M176" s="2">
        <v>1036</v>
      </c>
      <c r="N176" s="2">
        <v>12332</v>
      </c>
      <c r="O176" s="2">
        <v>4142</v>
      </c>
    </row>
    <row r="177" spans="1:15" x14ac:dyDescent="0.35">
      <c r="A177" s="2">
        <v>6775888955</v>
      </c>
      <c r="B177" s="3">
        <v>42495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1440</v>
      </c>
      <c r="N177" s="2">
        <v>0</v>
      </c>
      <c r="O177" s="2">
        <v>1841</v>
      </c>
    </row>
    <row r="178" spans="1:15" x14ac:dyDescent="0.35">
      <c r="A178" s="2">
        <v>5553957443</v>
      </c>
      <c r="B178" s="3">
        <v>42475</v>
      </c>
      <c r="C178" s="2">
        <v>10.85999966</v>
      </c>
      <c r="D178" s="2">
        <v>10.85999966</v>
      </c>
      <c r="E178" s="2">
        <v>0</v>
      </c>
      <c r="F178" s="2">
        <v>4.1599998469999999</v>
      </c>
      <c r="G178" s="2">
        <v>1.980000019</v>
      </c>
      <c r="H178" s="2">
        <v>4.7100000380000004</v>
      </c>
      <c r="I178" s="2">
        <v>0</v>
      </c>
      <c r="J178" s="2">
        <v>58</v>
      </c>
      <c r="K178" s="2">
        <v>38</v>
      </c>
      <c r="L178" s="2">
        <v>239</v>
      </c>
      <c r="M178" s="2">
        <v>689</v>
      </c>
      <c r="N178" s="2">
        <v>16556</v>
      </c>
      <c r="O178" s="2">
        <v>2254</v>
      </c>
    </row>
    <row r="179" spans="1:15" x14ac:dyDescent="0.35">
      <c r="A179" s="2">
        <v>1624580081</v>
      </c>
      <c r="B179" s="3">
        <v>42474</v>
      </c>
      <c r="C179" s="2">
        <v>5.920000076</v>
      </c>
      <c r="D179" s="2">
        <v>5.920000076</v>
      </c>
      <c r="E179" s="2">
        <v>0</v>
      </c>
      <c r="F179" s="2">
        <v>0</v>
      </c>
      <c r="G179" s="2">
        <v>0</v>
      </c>
      <c r="H179" s="2">
        <v>5.9099998469999999</v>
      </c>
      <c r="I179" s="2">
        <v>0.01</v>
      </c>
      <c r="J179" s="2">
        <v>0</v>
      </c>
      <c r="K179" s="2">
        <v>0</v>
      </c>
      <c r="L179" s="2">
        <v>236</v>
      </c>
      <c r="M179" s="2">
        <v>1204</v>
      </c>
      <c r="N179" s="2">
        <v>9107</v>
      </c>
      <c r="O179" s="2">
        <v>1572</v>
      </c>
    </row>
    <row r="180" spans="1:15" x14ac:dyDescent="0.35">
      <c r="A180" s="2">
        <v>1624580081</v>
      </c>
      <c r="B180" s="3">
        <v>42708</v>
      </c>
      <c r="C180" s="2">
        <v>5.3099999430000002</v>
      </c>
      <c r="D180" s="2">
        <v>5.3099999430000002</v>
      </c>
      <c r="E180" s="2">
        <v>0</v>
      </c>
      <c r="F180" s="2">
        <v>0</v>
      </c>
      <c r="G180" s="2">
        <v>0</v>
      </c>
      <c r="H180" s="2">
        <v>5.3099999430000002</v>
      </c>
      <c r="I180" s="2">
        <v>0</v>
      </c>
      <c r="J180" s="2">
        <v>0</v>
      </c>
      <c r="K180" s="2">
        <v>0</v>
      </c>
      <c r="L180" s="2">
        <v>146</v>
      </c>
      <c r="M180" s="2">
        <v>1294</v>
      </c>
      <c r="N180" s="2">
        <v>8163</v>
      </c>
      <c r="O180" s="2">
        <v>1432</v>
      </c>
    </row>
    <row r="181" spans="1:15" x14ac:dyDescent="0.35">
      <c r="A181" s="2">
        <v>8877689391</v>
      </c>
      <c r="B181" s="3">
        <v>42526</v>
      </c>
      <c r="C181" s="2">
        <v>19.340000150000002</v>
      </c>
      <c r="D181" s="2">
        <v>19.340000150000002</v>
      </c>
      <c r="E181" s="2">
        <v>0</v>
      </c>
      <c r="F181" s="2">
        <v>12.789999959999999</v>
      </c>
      <c r="G181" s="2">
        <v>0.28999999199999998</v>
      </c>
      <c r="H181" s="2">
        <v>6.1599998469999999</v>
      </c>
      <c r="I181" s="2">
        <v>0</v>
      </c>
      <c r="J181" s="2">
        <v>96</v>
      </c>
      <c r="K181" s="2">
        <v>17</v>
      </c>
      <c r="L181" s="2">
        <v>232</v>
      </c>
      <c r="M181" s="2">
        <v>1095</v>
      </c>
      <c r="N181" s="2">
        <v>21727</v>
      </c>
      <c r="O181" s="2">
        <v>4015</v>
      </c>
    </row>
    <row r="182" spans="1:15" x14ac:dyDescent="0.35">
      <c r="A182" s="2">
        <v>4388161847</v>
      </c>
      <c r="B182" s="3">
        <v>42709</v>
      </c>
      <c r="C182" s="2">
        <v>2.5899999139999998</v>
      </c>
      <c r="D182" s="2">
        <v>2.5899999139999998</v>
      </c>
      <c r="E182" s="2">
        <v>0</v>
      </c>
      <c r="F182" s="2">
        <v>0</v>
      </c>
      <c r="G182" s="2">
        <v>0</v>
      </c>
      <c r="H182" s="2">
        <v>2.5899999139999998</v>
      </c>
      <c r="I182" s="2">
        <v>0</v>
      </c>
      <c r="J182" s="2">
        <v>0</v>
      </c>
      <c r="K182" s="2">
        <v>0</v>
      </c>
      <c r="L182" s="2">
        <v>108</v>
      </c>
      <c r="M182" s="2">
        <v>825</v>
      </c>
      <c r="N182" s="2">
        <v>3369</v>
      </c>
      <c r="O182" s="2">
        <v>1623</v>
      </c>
    </row>
    <row r="183" spans="1:15" x14ac:dyDescent="0.35">
      <c r="A183" s="2">
        <v>2873212765</v>
      </c>
      <c r="B183" s="3">
        <v>42487</v>
      </c>
      <c r="C183" s="2">
        <v>2.3599998950000001</v>
      </c>
      <c r="D183" s="2">
        <v>2.3599998950000001</v>
      </c>
      <c r="E183" s="2">
        <v>0</v>
      </c>
      <c r="F183" s="2">
        <v>0</v>
      </c>
      <c r="G183" s="2">
        <v>0</v>
      </c>
      <c r="H183" s="2">
        <v>2.3599998950000001</v>
      </c>
      <c r="I183" s="2">
        <v>0</v>
      </c>
      <c r="J183" s="2">
        <v>46</v>
      </c>
      <c r="K183" s="2">
        <v>0</v>
      </c>
      <c r="L183" s="2">
        <v>197</v>
      </c>
      <c r="M183" s="2">
        <v>1197</v>
      </c>
      <c r="N183" s="2">
        <v>3516</v>
      </c>
      <c r="O183" s="2">
        <v>1966</v>
      </c>
    </row>
    <row r="184" spans="1:15" x14ac:dyDescent="0.35">
      <c r="A184" s="2">
        <v>6775888955</v>
      </c>
      <c r="B184" s="3">
        <v>42485</v>
      </c>
      <c r="C184" s="2">
        <v>4.6399998660000001</v>
      </c>
      <c r="D184" s="2">
        <v>4.6399998660000001</v>
      </c>
      <c r="E184" s="2">
        <v>0</v>
      </c>
      <c r="F184" s="2">
        <v>2.2699999809999998</v>
      </c>
      <c r="G184" s="2">
        <v>0.46000000800000002</v>
      </c>
      <c r="H184" s="2">
        <v>1.8999999759999999</v>
      </c>
      <c r="I184" s="2">
        <v>0</v>
      </c>
      <c r="J184" s="2">
        <v>33</v>
      </c>
      <c r="K184" s="2">
        <v>13</v>
      </c>
      <c r="L184" s="2">
        <v>92</v>
      </c>
      <c r="M184" s="2">
        <v>1302</v>
      </c>
      <c r="N184" s="2">
        <v>6474</v>
      </c>
      <c r="O184" s="2">
        <v>2484</v>
      </c>
    </row>
    <row r="185" spans="1:15" x14ac:dyDescent="0.35">
      <c r="A185" s="2">
        <v>2873212765</v>
      </c>
      <c r="B185" s="3">
        <v>42708</v>
      </c>
      <c r="C185" s="2">
        <v>5.9099998469999999</v>
      </c>
      <c r="D185" s="2">
        <v>5.9099998469999999</v>
      </c>
      <c r="E185" s="2">
        <v>0</v>
      </c>
      <c r="F185" s="2">
        <v>0.109999999</v>
      </c>
      <c r="G185" s="2">
        <v>0.93000000699999996</v>
      </c>
      <c r="H185" s="2">
        <v>4.8800001139999996</v>
      </c>
      <c r="I185" s="2">
        <v>0</v>
      </c>
      <c r="J185" s="2">
        <v>2</v>
      </c>
      <c r="K185" s="2">
        <v>21</v>
      </c>
      <c r="L185" s="2">
        <v>356</v>
      </c>
      <c r="M185" s="2">
        <v>1061</v>
      </c>
      <c r="N185" s="2">
        <v>8796</v>
      </c>
      <c r="O185" s="2">
        <v>1982</v>
      </c>
    </row>
    <row r="186" spans="1:15" x14ac:dyDescent="0.35">
      <c r="A186" s="2">
        <v>1844505072</v>
      </c>
      <c r="B186" s="3">
        <v>42489</v>
      </c>
      <c r="C186" s="2">
        <v>3.25</v>
      </c>
      <c r="D186" s="2">
        <v>3.25</v>
      </c>
      <c r="E186" s="2">
        <v>0</v>
      </c>
      <c r="F186" s="2">
        <v>0</v>
      </c>
      <c r="G186" s="2">
        <v>0</v>
      </c>
      <c r="H186" s="2">
        <v>3.25</v>
      </c>
      <c r="I186" s="2">
        <v>0</v>
      </c>
      <c r="J186" s="2">
        <v>0</v>
      </c>
      <c r="K186" s="2">
        <v>0</v>
      </c>
      <c r="L186" s="2">
        <v>247</v>
      </c>
      <c r="M186" s="2">
        <v>1082</v>
      </c>
      <c r="N186" s="2">
        <v>4920</v>
      </c>
      <c r="O186" s="2">
        <v>1856</v>
      </c>
    </row>
    <row r="187" spans="1:15" x14ac:dyDescent="0.35">
      <c r="A187" s="2">
        <v>1644430081</v>
      </c>
      <c r="B187" s="3">
        <v>42487</v>
      </c>
      <c r="C187" s="2">
        <v>2.2000000480000002</v>
      </c>
      <c r="D187" s="2">
        <v>2.2000000480000002</v>
      </c>
      <c r="E187" s="2">
        <v>0</v>
      </c>
      <c r="F187" s="2">
        <v>0</v>
      </c>
      <c r="G187" s="2">
        <v>0</v>
      </c>
      <c r="H187" s="2">
        <v>2.2000000480000002</v>
      </c>
      <c r="I187" s="2">
        <v>0</v>
      </c>
      <c r="J187" s="2">
        <v>0</v>
      </c>
      <c r="K187" s="2">
        <v>0</v>
      </c>
      <c r="L187" s="2">
        <v>118</v>
      </c>
      <c r="M187" s="2">
        <v>1322</v>
      </c>
      <c r="N187" s="2">
        <v>3032</v>
      </c>
      <c r="O187" s="2">
        <v>2489</v>
      </c>
    </row>
    <row r="188" spans="1:15" x14ac:dyDescent="0.35">
      <c r="A188" s="2">
        <v>2026352035</v>
      </c>
      <c r="B188" s="3">
        <v>42648</v>
      </c>
      <c r="C188" s="2">
        <v>0.15999999600000001</v>
      </c>
      <c r="D188" s="2">
        <v>0.15999999600000001</v>
      </c>
      <c r="E188" s="2">
        <v>0</v>
      </c>
      <c r="F188" s="2">
        <v>0</v>
      </c>
      <c r="G188" s="2">
        <v>0</v>
      </c>
      <c r="H188" s="2">
        <v>0.15999999600000001</v>
      </c>
      <c r="I188" s="2">
        <v>0</v>
      </c>
      <c r="J188" s="2">
        <v>0</v>
      </c>
      <c r="K188" s="2">
        <v>0</v>
      </c>
      <c r="L188" s="2">
        <v>17</v>
      </c>
      <c r="M188" s="2">
        <v>1002</v>
      </c>
      <c r="N188" s="2">
        <v>254</v>
      </c>
      <c r="O188" s="2">
        <v>1141</v>
      </c>
    </row>
    <row r="189" spans="1:15" x14ac:dyDescent="0.35">
      <c r="A189" s="2">
        <v>7086361926</v>
      </c>
      <c r="B189" s="3">
        <v>42490</v>
      </c>
      <c r="C189" s="2">
        <v>9.4099998469999999</v>
      </c>
      <c r="D189" s="2">
        <v>9.4099998469999999</v>
      </c>
      <c r="E189" s="2">
        <v>0</v>
      </c>
      <c r="F189" s="2">
        <v>3.119999886</v>
      </c>
      <c r="G189" s="2">
        <v>1.039999962</v>
      </c>
      <c r="H189" s="2">
        <v>5.2399997709999999</v>
      </c>
      <c r="I189" s="2">
        <v>0</v>
      </c>
      <c r="J189" s="2">
        <v>42</v>
      </c>
      <c r="K189" s="2">
        <v>17</v>
      </c>
      <c r="L189" s="2">
        <v>308</v>
      </c>
      <c r="M189" s="2">
        <v>584</v>
      </c>
      <c r="N189" s="2">
        <v>14560</v>
      </c>
      <c r="O189" s="2">
        <v>2995</v>
      </c>
    </row>
    <row r="190" spans="1:15" x14ac:dyDescent="0.35">
      <c r="A190" s="2">
        <v>1644430081</v>
      </c>
      <c r="B190" s="3">
        <v>42405</v>
      </c>
      <c r="C190" s="2">
        <v>2.7300000190000002</v>
      </c>
      <c r="D190" s="2">
        <v>2.7300000190000002</v>
      </c>
      <c r="E190" s="2">
        <v>0</v>
      </c>
      <c r="F190" s="2">
        <v>7.0000000000000007E-2</v>
      </c>
      <c r="G190" s="2">
        <v>0.310000002</v>
      </c>
      <c r="H190" s="2">
        <v>2.3499999049999998</v>
      </c>
      <c r="I190" s="2">
        <v>0</v>
      </c>
      <c r="J190" s="2">
        <v>1</v>
      </c>
      <c r="K190" s="2">
        <v>7</v>
      </c>
      <c r="L190" s="2">
        <v>148</v>
      </c>
      <c r="M190" s="2">
        <v>682</v>
      </c>
      <c r="N190" s="2">
        <v>3758</v>
      </c>
      <c r="O190" s="2">
        <v>2580</v>
      </c>
    </row>
    <row r="191" spans="1:15" x14ac:dyDescent="0.35">
      <c r="A191" s="2">
        <v>8877689391</v>
      </c>
      <c r="B191" s="3">
        <v>42465</v>
      </c>
      <c r="C191" s="2">
        <v>16.299999239999998</v>
      </c>
      <c r="D191" s="2">
        <v>16.299999239999998</v>
      </c>
      <c r="E191" s="2">
        <v>0</v>
      </c>
      <c r="F191" s="2">
        <v>10.420000079999999</v>
      </c>
      <c r="G191" s="2">
        <v>0.310000002</v>
      </c>
      <c r="H191" s="2">
        <v>5.5300002099999999</v>
      </c>
      <c r="I191" s="2">
        <v>0</v>
      </c>
      <c r="J191" s="2">
        <v>66</v>
      </c>
      <c r="K191" s="2">
        <v>8</v>
      </c>
      <c r="L191" s="2">
        <v>212</v>
      </c>
      <c r="M191" s="2">
        <v>1154</v>
      </c>
      <c r="N191" s="2">
        <v>18193</v>
      </c>
      <c r="O191" s="2">
        <v>3477</v>
      </c>
    </row>
    <row r="192" spans="1:15" x14ac:dyDescent="0.35">
      <c r="A192" s="2">
        <v>7086361926</v>
      </c>
      <c r="B192" s="3">
        <v>42476</v>
      </c>
      <c r="C192" s="2">
        <v>0.01</v>
      </c>
      <c r="D192" s="2">
        <v>0.01</v>
      </c>
      <c r="E192" s="2">
        <v>0</v>
      </c>
      <c r="F192" s="2">
        <v>0</v>
      </c>
      <c r="G192" s="2">
        <v>0</v>
      </c>
      <c r="H192" s="2">
        <v>0.01</v>
      </c>
      <c r="I192" s="2">
        <v>0</v>
      </c>
      <c r="J192" s="2">
        <v>0</v>
      </c>
      <c r="K192" s="2">
        <v>0</v>
      </c>
      <c r="L192" s="2">
        <v>3</v>
      </c>
      <c r="M192" s="2">
        <v>1437</v>
      </c>
      <c r="N192" s="2">
        <v>31</v>
      </c>
      <c r="O192" s="2">
        <v>1635</v>
      </c>
    </row>
    <row r="193" spans="1:15" x14ac:dyDescent="0.35">
      <c r="A193" s="2">
        <v>8877689391</v>
      </c>
      <c r="B193" s="3">
        <v>42489</v>
      </c>
      <c r="C193" s="2">
        <v>7.3899998660000001</v>
      </c>
      <c r="D193" s="2">
        <v>7.3899998660000001</v>
      </c>
      <c r="E193" s="2">
        <v>0</v>
      </c>
      <c r="F193" s="2">
        <v>1.3799999949999999</v>
      </c>
      <c r="G193" s="2">
        <v>0.17000000200000001</v>
      </c>
      <c r="H193" s="2">
        <v>5.7899999619999996</v>
      </c>
      <c r="I193" s="2">
        <v>0</v>
      </c>
      <c r="J193" s="2">
        <v>18</v>
      </c>
      <c r="K193" s="2">
        <v>5</v>
      </c>
      <c r="L193" s="2">
        <v>210</v>
      </c>
      <c r="M193" s="2">
        <v>1207</v>
      </c>
      <c r="N193" s="2">
        <v>9733</v>
      </c>
      <c r="O193" s="2">
        <v>2698</v>
      </c>
    </row>
    <row r="194" spans="1:15" x14ac:dyDescent="0.35">
      <c r="A194" s="2">
        <v>8583815059</v>
      </c>
      <c r="B194" s="3">
        <v>42648</v>
      </c>
      <c r="C194" s="2">
        <v>6.4299998279999997</v>
      </c>
      <c r="D194" s="2">
        <v>6.4299998279999997</v>
      </c>
      <c r="E194" s="2">
        <v>0</v>
      </c>
      <c r="F194" s="2">
        <v>0.689999998</v>
      </c>
      <c r="G194" s="2">
        <v>2.0099999899999998</v>
      </c>
      <c r="H194" s="2">
        <v>3.7200000289999999</v>
      </c>
      <c r="I194" s="2">
        <v>0</v>
      </c>
      <c r="J194" s="2">
        <v>9</v>
      </c>
      <c r="K194" s="2">
        <v>43</v>
      </c>
      <c r="L194" s="2">
        <v>162</v>
      </c>
      <c r="M194" s="2">
        <v>1226</v>
      </c>
      <c r="N194" s="2">
        <v>8240</v>
      </c>
      <c r="O194" s="2">
        <v>2846</v>
      </c>
    </row>
    <row r="195" spans="1:15" x14ac:dyDescent="0.35">
      <c r="A195" s="2">
        <v>1503960366</v>
      </c>
      <c r="B195" s="3">
        <v>42474</v>
      </c>
      <c r="C195" s="2">
        <v>6.7399997709999999</v>
      </c>
      <c r="D195" s="2">
        <v>6.7399997709999999</v>
      </c>
      <c r="E195" s="2">
        <v>0</v>
      </c>
      <c r="F195" s="2">
        <v>2.4400000569999998</v>
      </c>
      <c r="G195" s="2">
        <v>0.40000000600000002</v>
      </c>
      <c r="H195" s="2">
        <v>3.9100000860000002</v>
      </c>
      <c r="I195" s="2">
        <v>0</v>
      </c>
      <c r="J195" s="2">
        <v>30</v>
      </c>
      <c r="K195" s="2">
        <v>11</v>
      </c>
      <c r="L195" s="2">
        <v>181</v>
      </c>
      <c r="M195" s="2">
        <v>1218</v>
      </c>
      <c r="N195" s="2">
        <v>10460</v>
      </c>
      <c r="O195" s="2">
        <v>1776</v>
      </c>
    </row>
    <row r="196" spans="1:15" x14ac:dyDescent="0.35">
      <c r="A196" s="2">
        <v>1844505072</v>
      </c>
      <c r="B196" s="3">
        <v>42481</v>
      </c>
      <c r="C196" s="2">
        <v>5.3200001720000003</v>
      </c>
      <c r="D196" s="2">
        <v>5.3200001720000003</v>
      </c>
      <c r="E196" s="2">
        <v>0</v>
      </c>
      <c r="F196" s="2">
        <v>0.119999997</v>
      </c>
      <c r="G196" s="2">
        <v>0.519999981</v>
      </c>
      <c r="H196" s="2">
        <v>4.6799998279999997</v>
      </c>
      <c r="I196" s="2">
        <v>0</v>
      </c>
      <c r="J196" s="2">
        <v>2</v>
      </c>
      <c r="K196" s="2">
        <v>13</v>
      </c>
      <c r="L196" s="2">
        <v>308</v>
      </c>
      <c r="M196" s="2">
        <v>1117</v>
      </c>
      <c r="N196" s="2">
        <v>8054</v>
      </c>
      <c r="O196" s="2">
        <v>2062</v>
      </c>
    </row>
    <row r="197" spans="1:15" x14ac:dyDescent="0.35">
      <c r="A197" s="2">
        <v>7086361926</v>
      </c>
      <c r="B197" s="3">
        <v>42648</v>
      </c>
      <c r="C197" s="2">
        <v>10.789999959999999</v>
      </c>
      <c r="D197" s="2">
        <v>10.789999959999999</v>
      </c>
      <c r="E197" s="2">
        <v>0</v>
      </c>
      <c r="F197" s="2">
        <v>7.1100001339999999</v>
      </c>
      <c r="G197" s="2">
        <v>1.2000000479999999</v>
      </c>
      <c r="H197" s="2">
        <v>2.4500000480000002</v>
      </c>
      <c r="I197" s="2">
        <v>0</v>
      </c>
      <c r="J197" s="2">
        <v>72</v>
      </c>
      <c r="K197" s="2">
        <v>23</v>
      </c>
      <c r="L197" s="2">
        <v>106</v>
      </c>
      <c r="M197" s="2">
        <v>1182</v>
      </c>
      <c r="N197" s="2">
        <v>14433</v>
      </c>
      <c r="O197" s="2">
        <v>2800</v>
      </c>
    </row>
    <row r="198" spans="1:15" x14ac:dyDescent="0.35">
      <c r="A198" s="2">
        <v>8877689391</v>
      </c>
      <c r="B198" s="3">
        <v>42477</v>
      </c>
      <c r="C198" s="2">
        <v>8.8699998860000004</v>
      </c>
      <c r="D198" s="2">
        <v>8.8699998860000004</v>
      </c>
      <c r="E198" s="2">
        <v>0</v>
      </c>
      <c r="F198" s="2">
        <v>0</v>
      </c>
      <c r="G198" s="2">
        <v>7.0000000000000007E-2</v>
      </c>
      <c r="H198" s="2">
        <v>8.7899999619999996</v>
      </c>
      <c r="I198" s="2">
        <v>0</v>
      </c>
      <c r="J198" s="2">
        <v>58</v>
      </c>
      <c r="K198" s="2">
        <v>15</v>
      </c>
      <c r="L198" s="2">
        <v>307</v>
      </c>
      <c r="M198" s="2">
        <v>1060</v>
      </c>
      <c r="N198" s="2">
        <v>15118</v>
      </c>
      <c r="O198" s="2">
        <v>3545</v>
      </c>
    </row>
    <row r="199" spans="1:15" x14ac:dyDescent="0.35">
      <c r="A199" s="2">
        <v>4702921684</v>
      </c>
      <c r="B199" s="3">
        <v>42526</v>
      </c>
      <c r="C199" s="2">
        <v>5.6300001139999996</v>
      </c>
      <c r="D199" s="2">
        <v>5.6300001139999996</v>
      </c>
      <c r="E199" s="2">
        <v>0</v>
      </c>
      <c r="F199" s="2">
        <v>7.9999998000000003E-2</v>
      </c>
      <c r="G199" s="2">
        <v>0.66000002599999996</v>
      </c>
      <c r="H199" s="2">
        <v>4.8699998860000004</v>
      </c>
      <c r="I199" s="2">
        <v>0</v>
      </c>
      <c r="J199" s="2">
        <v>1</v>
      </c>
      <c r="K199" s="2">
        <v>16</v>
      </c>
      <c r="L199" s="2">
        <v>207</v>
      </c>
      <c r="M199" s="2">
        <v>682</v>
      </c>
      <c r="N199" s="2">
        <v>6943</v>
      </c>
      <c r="O199" s="2">
        <v>2859</v>
      </c>
    </row>
    <row r="200" spans="1:15" x14ac:dyDescent="0.35">
      <c r="A200" s="2">
        <v>1503960366</v>
      </c>
      <c r="B200" s="3">
        <v>42477</v>
      </c>
      <c r="C200" s="2">
        <v>6.4800000190000002</v>
      </c>
      <c r="D200" s="2">
        <v>6.4800000190000002</v>
      </c>
      <c r="E200" s="2">
        <v>0</v>
      </c>
      <c r="F200" s="2">
        <v>3.1900000569999998</v>
      </c>
      <c r="G200" s="2">
        <v>0.77999997099999996</v>
      </c>
      <c r="H200" s="2">
        <v>2.5099999899999998</v>
      </c>
      <c r="I200" s="2">
        <v>0</v>
      </c>
      <c r="J200" s="2">
        <v>38</v>
      </c>
      <c r="K200" s="2">
        <v>20</v>
      </c>
      <c r="L200" s="2">
        <v>164</v>
      </c>
      <c r="M200" s="2">
        <v>539</v>
      </c>
      <c r="N200" s="2">
        <v>9705</v>
      </c>
      <c r="O200" s="2">
        <v>1728</v>
      </c>
    </row>
    <row r="201" spans="1:15" x14ac:dyDescent="0.35">
      <c r="A201" s="2">
        <v>1624580081</v>
      </c>
      <c r="B201" s="3">
        <v>42495</v>
      </c>
      <c r="C201" s="2">
        <v>1.6100000139999999</v>
      </c>
      <c r="D201" s="2">
        <v>1.6100000139999999</v>
      </c>
      <c r="E201" s="2">
        <v>0</v>
      </c>
      <c r="F201" s="2">
        <v>0</v>
      </c>
      <c r="G201" s="2">
        <v>0</v>
      </c>
      <c r="H201" s="2">
        <v>1.5800000430000001</v>
      </c>
      <c r="I201" s="2">
        <v>0.02</v>
      </c>
      <c r="J201" s="2">
        <v>0</v>
      </c>
      <c r="K201" s="2">
        <v>0</v>
      </c>
      <c r="L201" s="2">
        <v>117</v>
      </c>
      <c r="M201" s="2">
        <v>1323</v>
      </c>
      <c r="N201" s="2">
        <v>2470</v>
      </c>
      <c r="O201" s="2">
        <v>1370</v>
      </c>
    </row>
    <row r="202" spans="1:15" x14ac:dyDescent="0.35">
      <c r="A202" s="2">
        <v>4388161847</v>
      </c>
      <c r="B202" s="3">
        <v>42648</v>
      </c>
      <c r="C202" s="2">
        <v>7.920000076</v>
      </c>
      <c r="D202" s="2">
        <v>7.920000076</v>
      </c>
      <c r="E202" s="2">
        <v>0</v>
      </c>
      <c r="F202" s="2">
        <v>0.810000002</v>
      </c>
      <c r="G202" s="2">
        <v>0.64999997600000003</v>
      </c>
      <c r="H202" s="2">
        <v>6.4600000380000004</v>
      </c>
      <c r="I202" s="2">
        <v>0</v>
      </c>
      <c r="J202" s="2">
        <v>13</v>
      </c>
      <c r="K202" s="2">
        <v>14</v>
      </c>
      <c r="L202" s="2">
        <v>267</v>
      </c>
      <c r="M202" s="2">
        <v>648</v>
      </c>
      <c r="N202" s="2">
        <v>10299</v>
      </c>
      <c r="O202" s="2">
        <v>3061</v>
      </c>
    </row>
    <row r="203" spans="1:15" x14ac:dyDescent="0.35">
      <c r="A203" s="2">
        <v>6117666160</v>
      </c>
      <c r="B203" s="3">
        <v>42556</v>
      </c>
      <c r="C203" s="2">
        <v>5.5399999619999996</v>
      </c>
      <c r="D203" s="2">
        <v>5.5399999619999996</v>
      </c>
      <c r="E203" s="2">
        <v>0</v>
      </c>
      <c r="F203" s="2">
        <v>0</v>
      </c>
      <c r="G203" s="2">
        <v>0</v>
      </c>
      <c r="H203" s="2">
        <v>5.5399999619999996</v>
      </c>
      <c r="I203" s="2">
        <v>0</v>
      </c>
      <c r="J203" s="2">
        <v>0</v>
      </c>
      <c r="K203" s="2">
        <v>0</v>
      </c>
      <c r="L203" s="2">
        <v>412</v>
      </c>
      <c r="M203" s="2">
        <v>456</v>
      </c>
      <c r="N203" s="2">
        <v>7336</v>
      </c>
      <c r="O203" s="2">
        <v>2469</v>
      </c>
    </row>
    <row r="204" spans="1:15" x14ac:dyDescent="0.35">
      <c r="A204" s="2">
        <v>4702921684</v>
      </c>
      <c r="B204" s="3">
        <v>42490</v>
      </c>
      <c r="C204" s="2">
        <v>8.2299995419999998</v>
      </c>
      <c r="D204" s="2">
        <v>8.2299995419999998</v>
      </c>
      <c r="E204" s="2">
        <v>0</v>
      </c>
      <c r="F204" s="2">
        <v>0.31999999299999998</v>
      </c>
      <c r="G204" s="2">
        <v>2.0299999710000001</v>
      </c>
      <c r="H204" s="2">
        <v>5.8800001139999996</v>
      </c>
      <c r="I204" s="2">
        <v>0</v>
      </c>
      <c r="J204" s="2">
        <v>4</v>
      </c>
      <c r="K204" s="2">
        <v>36</v>
      </c>
      <c r="L204" s="2">
        <v>263</v>
      </c>
      <c r="M204" s="2">
        <v>728</v>
      </c>
      <c r="N204" s="2">
        <v>10144</v>
      </c>
      <c r="O204" s="2">
        <v>3115</v>
      </c>
    </row>
    <row r="205" spans="1:15" x14ac:dyDescent="0.35">
      <c r="A205" s="2">
        <v>8253242879</v>
      </c>
      <c r="B205" s="3">
        <v>42483</v>
      </c>
      <c r="C205" s="2">
        <v>6.2600002290000001</v>
      </c>
      <c r="D205" s="2">
        <v>6.2600002290000001</v>
      </c>
      <c r="E205" s="2">
        <v>0</v>
      </c>
      <c r="F205" s="2">
        <v>2.0899999139999998</v>
      </c>
      <c r="G205" s="2">
        <v>1.039999962</v>
      </c>
      <c r="H205" s="2">
        <v>3.130000114</v>
      </c>
      <c r="I205" s="2">
        <v>0</v>
      </c>
      <c r="J205" s="2">
        <v>30</v>
      </c>
      <c r="K205" s="2">
        <v>26</v>
      </c>
      <c r="L205" s="2">
        <v>191</v>
      </c>
      <c r="M205" s="2">
        <v>1193</v>
      </c>
      <c r="N205" s="2">
        <v>9282</v>
      </c>
      <c r="O205" s="2">
        <v>2132</v>
      </c>
    </row>
    <row r="206" spans="1:15" x14ac:dyDescent="0.35">
      <c r="A206" s="2">
        <v>1844505072</v>
      </c>
      <c r="B206" s="3">
        <v>42477</v>
      </c>
      <c r="C206" s="2">
        <v>2.9900000100000002</v>
      </c>
      <c r="D206" s="2">
        <v>2.9900000100000002</v>
      </c>
      <c r="E206" s="2">
        <v>0</v>
      </c>
      <c r="F206" s="2">
        <v>0.14000000100000001</v>
      </c>
      <c r="G206" s="2">
        <v>0.25999999000000001</v>
      </c>
      <c r="H206" s="2">
        <v>2.5899999139999998</v>
      </c>
      <c r="I206" s="2">
        <v>0</v>
      </c>
      <c r="J206" s="2">
        <v>2</v>
      </c>
      <c r="K206" s="2">
        <v>8</v>
      </c>
      <c r="L206" s="2">
        <v>199</v>
      </c>
      <c r="M206" s="2">
        <v>1231</v>
      </c>
      <c r="N206" s="2">
        <v>4525</v>
      </c>
      <c r="O206" s="2">
        <v>1793</v>
      </c>
    </row>
    <row r="207" spans="1:15" x14ac:dyDescent="0.35">
      <c r="A207" s="2">
        <v>8053475328</v>
      </c>
      <c r="B207" s="3">
        <v>42474</v>
      </c>
      <c r="C207" s="2">
        <v>15.97000027</v>
      </c>
      <c r="D207" s="2">
        <v>15.97000027</v>
      </c>
      <c r="E207" s="2">
        <v>0</v>
      </c>
      <c r="F207" s="2">
        <v>12.34000015</v>
      </c>
      <c r="G207" s="2">
        <v>0.209999993</v>
      </c>
      <c r="H207" s="2">
        <v>3.3599998950000001</v>
      </c>
      <c r="I207" s="2">
        <v>0</v>
      </c>
      <c r="J207" s="2">
        <v>119</v>
      </c>
      <c r="K207" s="2">
        <v>5</v>
      </c>
      <c r="L207" s="2">
        <v>193</v>
      </c>
      <c r="M207" s="2">
        <v>1123</v>
      </c>
      <c r="N207" s="2">
        <v>20159</v>
      </c>
      <c r="O207" s="2">
        <v>3411</v>
      </c>
    </row>
    <row r="208" spans="1:15" x14ac:dyDescent="0.35">
      <c r="A208" s="2">
        <v>6290855005</v>
      </c>
      <c r="B208" s="3">
        <v>42475</v>
      </c>
      <c r="C208" s="2">
        <v>7.1799998279999997</v>
      </c>
      <c r="D208" s="2">
        <v>7.1799998279999997</v>
      </c>
      <c r="E208" s="2">
        <v>0</v>
      </c>
      <c r="F208" s="2">
        <v>0</v>
      </c>
      <c r="G208" s="2">
        <v>0</v>
      </c>
      <c r="H208" s="2">
        <v>7.170000076</v>
      </c>
      <c r="I208" s="2">
        <v>0.01</v>
      </c>
      <c r="J208" s="2">
        <v>0</v>
      </c>
      <c r="K208" s="2">
        <v>0</v>
      </c>
      <c r="L208" s="2">
        <v>328</v>
      </c>
      <c r="M208" s="2">
        <v>1112</v>
      </c>
      <c r="N208" s="2">
        <v>9501</v>
      </c>
      <c r="O208" s="2">
        <v>2896</v>
      </c>
    </row>
    <row r="209" spans="1:15" x14ac:dyDescent="0.35">
      <c r="A209" s="2">
        <v>2026352035</v>
      </c>
      <c r="B209" s="3">
        <v>42709</v>
      </c>
      <c r="C209" s="2">
        <v>5.5100002290000001</v>
      </c>
      <c r="D209" s="2">
        <v>5.5100002290000001</v>
      </c>
      <c r="E209" s="2">
        <v>0</v>
      </c>
      <c r="F209" s="2">
        <v>0</v>
      </c>
      <c r="G209" s="2">
        <v>0</v>
      </c>
      <c r="H209" s="2">
        <v>5.5100002290000001</v>
      </c>
      <c r="I209" s="2">
        <v>0</v>
      </c>
      <c r="J209" s="2">
        <v>0</v>
      </c>
      <c r="K209" s="2">
        <v>0</v>
      </c>
      <c r="L209" s="2">
        <v>343</v>
      </c>
      <c r="M209" s="2">
        <v>330</v>
      </c>
      <c r="N209" s="2">
        <v>8891</v>
      </c>
      <c r="O209" s="2">
        <v>1364</v>
      </c>
    </row>
    <row r="210" spans="1:15" x14ac:dyDescent="0.35">
      <c r="A210" s="2">
        <v>5577150313</v>
      </c>
      <c r="B210" s="3">
        <v>42679</v>
      </c>
      <c r="C210" s="2">
        <v>3.039999962</v>
      </c>
      <c r="D210" s="2">
        <v>3.039999962</v>
      </c>
      <c r="E210" s="2">
        <v>0</v>
      </c>
      <c r="F210" s="2">
        <v>1.8300000430000001</v>
      </c>
      <c r="G210" s="2">
        <v>0.30000001199999998</v>
      </c>
      <c r="H210" s="2">
        <v>0.88999998599999997</v>
      </c>
      <c r="I210" s="2">
        <v>0</v>
      </c>
      <c r="J210" s="2">
        <v>45</v>
      </c>
      <c r="K210" s="2">
        <v>15</v>
      </c>
      <c r="L210" s="2">
        <v>63</v>
      </c>
      <c r="M210" s="2">
        <v>257</v>
      </c>
      <c r="N210" s="2">
        <v>4038</v>
      </c>
      <c r="O210" s="2">
        <v>1665</v>
      </c>
    </row>
    <row r="211" spans="1:15" x14ac:dyDescent="0.35">
      <c r="A211" s="2">
        <v>8792009665</v>
      </c>
      <c r="B211" s="3">
        <v>42405</v>
      </c>
      <c r="C211" s="2">
        <v>1.1699999569999999</v>
      </c>
      <c r="D211" s="2">
        <v>1.1699999569999999</v>
      </c>
      <c r="E211" s="2">
        <v>0</v>
      </c>
      <c r="F211" s="2">
        <v>0</v>
      </c>
      <c r="G211" s="2">
        <v>0</v>
      </c>
      <c r="H211" s="2">
        <v>1.1699999569999999</v>
      </c>
      <c r="I211" s="2">
        <v>0</v>
      </c>
      <c r="J211" s="2">
        <v>0</v>
      </c>
      <c r="K211" s="2">
        <v>0</v>
      </c>
      <c r="L211" s="2">
        <v>101</v>
      </c>
      <c r="M211" s="2">
        <v>916</v>
      </c>
      <c r="N211" s="2">
        <v>1831</v>
      </c>
      <c r="O211" s="2">
        <v>2015</v>
      </c>
    </row>
    <row r="212" spans="1:15" x14ac:dyDescent="0.35">
      <c r="A212" s="2">
        <v>8378563200</v>
      </c>
      <c r="B212" s="3">
        <v>42476</v>
      </c>
      <c r="C212" s="2">
        <v>8.8900003430000005</v>
      </c>
      <c r="D212" s="2">
        <v>8.8900003430000005</v>
      </c>
      <c r="E212" s="2">
        <v>0</v>
      </c>
      <c r="F212" s="2">
        <v>5.3699998860000004</v>
      </c>
      <c r="G212" s="2">
        <v>1.0700000519999999</v>
      </c>
      <c r="H212" s="2">
        <v>2.4400000569999998</v>
      </c>
      <c r="I212" s="2">
        <v>0</v>
      </c>
      <c r="J212" s="2">
        <v>64</v>
      </c>
      <c r="K212" s="2">
        <v>21</v>
      </c>
      <c r="L212" s="2">
        <v>142</v>
      </c>
      <c r="M212" s="2">
        <v>563</v>
      </c>
      <c r="N212" s="2">
        <v>11207</v>
      </c>
      <c r="O212" s="2">
        <v>3363</v>
      </c>
    </row>
    <row r="213" spans="1:15" x14ac:dyDescent="0.35">
      <c r="A213" s="2">
        <v>8378563200</v>
      </c>
      <c r="B213" s="3">
        <v>42587</v>
      </c>
      <c r="C213" s="2">
        <v>2.329999924</v>
      </c>
      <c r="D213" s="2">
        <v>2.329999924</v>
      </c>
      <c r="E213" s="2">
        <v>0</v>
      </c>
      <c r="F213" s="2">
        <v>0</v>
      </c>
      <c r="G213" s="2">
        <v>0</v>
      </c>
      <c r="H213" s="2">
        <v>2.329999924</v>
      </c>
      <c r="I213" s="2">
        <v>0</v>
      </c>
      <c r="J213" s="2">
        <v>0</v>
      </c>
      <c r="K213" s="2">
        <v>0</v>
      </c>
      <c r="L213" s="2">
        <v>139</v>
      </c>
      <c r="M213" s="2">
        <v>621</v>
      </c>
      <c r="N213" s="2">
        <v>2943</v>
      </c>
      <c r="O213" s="2">
        <v>2685</v>
      </c>
    </row>
    <row r="214" spans="1:15" x14ac:dyDescent="0.35">
      <c r="A214" s="2">
        <v>1503960366</v>
      </c>
      <c r="B214" s="3">
        <v>42556</v>
      </c>
      <c r="C214" s="2">
        <v>7.7100000380000004</v>
      </c>
      <c r="D214" s="2">
        <v>7.7100000380000004</v>
      </c>
      <c r="E214" s="2">
        <v>0</v>
      </c>
      <c r="F214" s="2">
        <v>2.460000038</v>
      </c>
      <c r="G214" s="2">
        <v>2.119999886</v>
      </c>
      <c r="H214" s="2">
        <v>3.130000114</v>
      </c>
      <c r="I214" s="2">
        <v>0</v>
      </c>
      <c r="J214" s="2">
        <v>37</v>
      </c>
      <c r="K214" s="2">
        <v>46</v>
      </c>
      <c r="L214" s="2">
        <v>175</v>
      </c>
      <c r="M214" s="2">
        <v>833</v>
      </c>
      <c r="N214" s="2">
        <v>11992</v>
      </c>
      <c r="O214" s="2">
        <v>1821</v>
      </c>
    </row>
    <row r="215" spans="1:15" x14ac:dyDescent="0.35">
      <c r="A215" s="2">
        <v>1644430081</v>
      </c>
      <c r="B215" s="3">
        <v>42465</v>
      </c>
      <c r="C215" s="2">
        <v>1.6799999480000001</v>
      </c>
      <c r="D215" s="2">
        <v>1.6799999480000001</v>
      </c>
      <c r="E215" s="2">
        <v>0</v>
      </c>
      <c r="F215" s="2">
        <v>0</v>
      </c>
      <c r="G215" s="2">
        <v>0</v>
      </c>
      <c r="H215" s="2">
        <v>1.6599999670000001</v>
      </c>
      <c r="I215" s="2">
        <v>0.02</v>
      </c>
      <c r="J215" s="2">
        <v>0</v>
      </c>
      <c r="K215" s="2">
        <v>0</v>
      </c>
      <c r="L215" s="2">
        <v>52</v>
      </c>
      <c r="M215" s="2">
        <v>1388</v>
      </c>
      <c r="N215" s="2">
        <v>2309</v>
      </c>
      <c r="O215" s="2">
        <v>2222</v>
      </c>
    </row>
    <row r="216" spans="1:15" x14ac:dyDescent="0.35">
      <c r="A216" s="2">
        <v>1503960366</v>
      </c>
      <c r="B216" s="3">
        <v>42482</v>
      </c>
      <c r="C216" s="2">
        <v>8.1300001139999996</v>
      </c>
      <c r="D216" s="2">
        <v>8.1300001139999996</v>
      </c>
      <c r="E216" s="2">
        <v>0</v>
      </c>
      <c r="F216" s="2">
        <v>4.7600002290000001</v>
      </c>
      <c r="G216" s="2">
        <v>1.1200000050000001</v>
      </c>
      <c r="H216" s="2">
        <v>2.2400000100000002</v>
      </c>
      <c r="I216" s="2">
        <v>0</v>
      </c>
      <c r="J216" s="2">
        <v>66</v>
      </c>
      <c r="K216" s="2">
        <v>27</v>
      </c>
      <c r="L216" s="2">
        <v>130</v>
      </c>
      <c r="M216" s="2">
        <v>1217</v>
      </c>
      <c r="N216" s="2">
        <v>12764</v>
      </c>
      <c r="O216" s="2">
        <v>1827</v>
      </c>
    </row>
    <row r="217" spans="1:15" x14ac:dyDescent="0.35">
      <c r="A217" s="2">
        <v>4020332650</v>
      </c>
      <c r="B217" s="3">
        <v>42487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1440</v>
      </c>
      <c r="N217" s="2">
        <v>0</v>
      </c>
      <c r="O217" s="2">
        <v>1980</v>
      </c>
    </row>
    <row r="218" spans="1:15" x14ac:dyDescent="0.35">
      <c r="A218" s="2">
        <v>3977333714</v>
      </c>
      <c r="B218" s="3">
        <v>42487</v>
      </c>
      <c r="C218" s="2">
        <v>5.0399999619999996</v>
      </c>
      <c r="D218" s="2">
        <v>5.0399999619999996</v>
      </c>
      <c r="E218" s="2">
        <v>0</v>
      </c>
      <c r="F218" s="2">
        <v>0</v>
      </c>
      <c r="G218" s="2">
        <v>0.41999998700000002</v>
      </c>
      <c r="H218" s="2">
        <v>4.6199998860000004</v>
      </c>
      <c r="I218" s="2">
        <v>0</v>
      </c>
      <c r="J218" s="2">
        <v>0</v>
      </c>
      <c r="K218" s="2">
        <v>10</v>
      </c>
      <c r="L218" s="2">
        <v>176</v>
      </c>
      <c r="M218" s="2">
        <v>714</v>
      </c>
      <c r="N218" s="2">
        <v>7193</v>
      </c>
      <c r="O218" s="2">
        <v>1377</v>
      </c>
    </row>
    <row r="219" spans="1:15" x14ac:dyDescent="0.35">
      <c r="A219" s="2">
        <v>4388161847</v>
      </c>
      <c r="B219" s="3">
        <v>42482</v>
      </c>
      <c r="C219" s="2">
        <v>9.3400001530000001</v>
      </c>
      <c r="D219" s="2">
        <v>9.3400001530000001</v>
      </c>
      <c r="E219" s="2">
        <v>0</v>
      </c>
      <c r="F219" s="2">
        <v>3.2999999519999998</v>
      </c>
      <c r="G219" s="2">
        <v>1.1100000139999999</v>
      </c>
      <c r="H219" s="2">
        <v>4.920000076</v>
      </c>
      <c r="I219" s="2">
        <v>0</v>
      </c>
      <c r="J219" s="2">
        <v>77</v>
      </c>
      <c r="K219" s="2">
        <v>25</v>
      </c>
      <c r="L219" s="2">
        <v>220</v>
      </c>
      <c r="M219" s="2">
        <v>945</v>
      </c>
      <c r="N219" s="2">
        <v>12139</v>
      </c>
      <c r="O219" s="2">
        <v>3544</v>
      </c>
    </row>
    <row r="220" spans="1:15" x14ac:dyDescent="0.35">
      <c r="A220" s="2">
        <v>4558609924</v>
      </c>
      <c r="B220" s="3">
        <v>42618</v>
      </c>
      <c r="C220" s="2">
        <v>7.5700001720000003</v>
      </c>
      <c r="D220" s="2">
        <v>7.5700001720000003</v>
      </c>
      <c r="E220" s="2">
        <v>0</v>
      </c>
      <c r="F220" s="2">
        <v>0.43000000700000002</v>
      </c>
      <c r="G220" s="2">
        <v>1.6200000050000001</v>
      </c>
      <c r="H220" s="2">
        <v>5.5199999809999998</v>
      </c>
      <c r="I220" s="2">
        <v>0</v>
      </c>
      <c r="J220" s="2">
        <v>6</v>
      </c>
      <c r="K220" s="2">
        <v>30</v>
      </c>
      <c r="L220" s="2">
        <v>339</v>
      </c>
      <c r="M220" s="2">
        <v>1065</v>
      </c>
      <c r="N220" s="2">
        <v>11451</v>
      </c>
      <c r="O220" s="2">
        <v>2223</v>
      </c>
    </row>
    <row r="221" spans="1:15" x14ac:dyDescent="0.35">
      <c r="A221" s="2">
        <v>4388161847</v>
      </c>
      <c r="B221" s="3">
        <v>42488</v>
      </c>
      <c r="C221" s="2">
        <v>7.75</v>
      </c>
      <c r="D221" s="2">
        <v>7.75</v>
      </c>
      <c r="E221" s="2">
        <v>0</v>
      </c>
      <c r="F221" s="2">
        <v>1.289999962</v>
      </c>
      <c r="G221" s="2">
        <v>0.43000000700000002</v>
      </c>
      <c r="H221" s="2">
        <v>6.0300002099999999</v>
      </c>
      <c r="I221" s="2">
        <v>0</v>
      </c>
      <c r="J221" s="2">
        <v>19</v>
      </c>
      <c r="K221" s="2">
        <v>9</v>
      </c>
      <c r="L221" s="2">
        <v>234</v>
      </c>
      <c r="M221" s="2">
        <v>878</v>
      </c>
      <c r="N221" s="2">
        <v>10074</v>
      </c>
      <c r="O221" s="2">
        <v>2969</v>
      </c>
    </row>
    <row r="222" spans="1:15" x14ac:dyDescent="0.35">
      <c r="A222" s="2">
        <v>1844505072</v>
      </c>
      <c r="B222" s="3">
        <v>42587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1440</v>
      </c>
      <c r="N222" s="2">
        <v>0</v>
      </c>
      <c r="O222" s="2">
        <v>1347</v>
      </c>
    </row>
    <row r="223" spans="1:15" x14ac:dyDescent="0.35">
      <c r="A223" s="2">
        <v>8583815059</v>
      </c>
      <c r="B223" s="3">
        <v>42618</v>
      </c>
      <c r="C223" s="2">
        <v>7.6999998090000004</v>
      </c>
      <c r="D223" s="2">
        <v>7.6999998090000004</v>
      </c>
      <c r="E223" s="2">
        <v>0</v>
      </c>
      <c r="F223" s="2">
        <v>5.7600002290000001</v>
      </c>
      <c r="G223" s="2">
        <v>0.17000000200000001</v>
      </c>
      <c r="H223" s="2">
        <v>1.730000019</v>
      </c>
      <c r="I223" s="2">
        <v>0</v>
      </c>
      <c r="J223" s="2">
        <v>66</v>
      </c>
      <c r="K223" s="2">
        <v>4</v>
      </c>
      <c r="L223" s="2">
        <v>110</v>
      </c>
      <c r="M223" s="2">
        <v>1260</v>
      </c>
      <c r="N223" s="2">
        <v>9877</v>
      </c>
      <c r="O223" s="2">
        <v>2947</v>
      </c>
    </row>
    <row r="224" spans="1:15" x14ac:dyDescent="0.35">
      <c r="A224" s="2">
        <v>3977333714</v>
      </c>
      <c r="B224" s="3">
        <v>42587</v>
      </c>
      <c r="C224" s="2">
        <v>9.0900001530000001</v>
      </c>
      <c r="D224" s="2">
        <v>9.0900001530000001</v>
      </c>
      <c r="E224" s="2">
        <v>0</v>
      </c>
      <c r="F224" s="2">
        <v>0.68000000699999996</v>
      </c>
      <c r="G224" s="2">
        <v>5.2399997709999999</v>
      </c>
      <c r="H224" s="2">
        <v>3.170000076</v>
      </c>
      <c r="I224" s="2">
        <v>0</v>
      </c>
      <c r="J224" s="2">
        <v>9</v>
      </c>
      <c r="K224" s="2">
        <v>116</v>
      </c>
      <c r="L224" s="2">
        <v>171</v>
      </c>
      <c r="M224" s="2">
        <v>688</v>
      </c>
      <c r="N224" s="2">
        <v>13585</v>
      </c>
      <c r="O224" s="2">
        <v>1633</v>
      </c>
    </row>
    <row r="225" spans="1:15" x14ac:dyDescent="0.35">
      <c r="A225" s="2">
        <v>1503960366</v>
      </c>
      <c r="B225" s="3">
        <v>42679</v>
      </c>
      <c r="C225" s="2">
        <v>8.1300001139999996</v>
      </c>
      <c r="D225" s="2">
        <v>8.1300001139999996</v>
      </c>
      <c r="E225" s="2">
        <v>0</v>
      </c>
      <c r="F225" s="2">
        <v>2.5599999430000002</v>
      </c>
      <c r="G225" s="2">
        <v>1.0099999900000001</v>
      </c>
      <c r="H225" s="2">
        <v>4.5500001909999996</v>
      </c>
      <c r="I225" s="2">
        <v>0</v>
      </c>
      <c r="J225" s="2">
        <v>36</v>
      </c>
      <c r="K225" s="2">
        <v>23</v>
      </c>
      <c r="L225" s="2">
        <v>251</v>
      </c>
      <c r="M225" s="2">
        <v>669</v>
      </c>
      <c r="N225" s="2">
        <v>12770</v>
      </c>
      <c r="O225" s="2">
        <v>1783</v>
      </c>
    </row>
    <row r="226" spans="1:15" x14ac:dyDescent="0.35">
      <c r="A226" s="2">
        <v>1624580081</v>
      </c>
      <c r="B226" s="3">
        <v>42526</v>
      </c>
      <c r="C226" s="2">
        <v>1.1200000050000001</v>
      </c>
      <c r="D226" s="2">
        <v>1.1200000050000001</v>
      </c>
      <c r="E226" s="2">
        <v>0</v>
      </c>
      <c r="F226" s="2">
        <v>0</v>
      </c>
      <c r="G226" s="2">
        <v>0</v>
      </c>
      <c r="H226" s="2">
        <v>1.1200000050000001</v>
      </c>
      <c r="I226" s="2">
        <v>0.01</v>
      </c>
      <c r="J226" s="2">
        <v>0</v>
      </c>
      <c r="K226" s="2">
        <v>0</v>
      </c>
      <c r="L226" s="2">
        <v>102</v>
      </c>
      <c r="M226" s="2">
        <v>1338</v>
      </c>
      <c r="N226" s="2">
        <v>1727</v>
      </c>
      <c r="O226" s="2">
        <v>1341</v>
      </c>
    </row>
    <row r="227" spans="1:15" x14ac:dyDescent="0.35">
      <c r="A227" s="2">
        <v>4445114986</v>
      </c>
      <c r="B227" s="3">
        <v>42485</v>
      </c>
      <c r="C227" s="2">
        <v>2.2699999809999998</v>
      </c>
      <c r="D227" s="2">
        <v>2.2699999809999998</v>
      </c>
      <c r="E227" s="2">
        <v>0</v>
      </c>
      <c r="F227" s="2">
        <v>0</v>
      </c>
      <c r="G227" s="2">
        <v>0</v>
      </c>
      <c r="H227" s="2">
        <v>2.2699999809999998</v>
      </c>
      <c r="I227" s="2">
        <v>0</v>
      </c>
      <c r="J227" s="2">
        <v>0</v>
      </c>
      <c r="K227" s="2">
        <v>0</v>
      </c>
      <c r="L227" s="2">
        <v>179</v>
      </c>
      <c r="M227" s="2">
        <v>916</v>
      </c>
      <c r="N227" s="2">
        <v>3385</v>
      </c>
      <c r="O227" s="2">
        <v>2070</v>
      </c>
    </row>
    <row r="228" spans="1:15" x14ac:dyDescent="0.35">
      <c r="A228" s="2">
        <v>3977333714</v>
      </c>
      <c r="B228" s="3">
        <v>42708</v>
      </c>
      <c r="C228" s="2">
        <v>5.9800000190000002</v>
      </c>
      <c r="D228" s="2">
        <v>5.9800000190000002</v>
      </c>
      <c r="E228" s="2">
        <v>0</v>
      </c>
      <c r="F228" s="2">
        <v>3.0599999430000002</v>
      </c>
      <c r="G228" s="2">
        <v>0.91000002599999996</v>
      </c>
      <c r="H228" s="2">
        <v>2.0099999899999998</v>
      </c>
      <c r="I228" s="2">
        <v>0</v>
      </c>
      <c r="J228" s="2">
        <v>44</v>
      </c>
      <c r="K228" s="2">
        <v>19</v>
      </c>
      <c r="L228" s="2">
        <v>131</v>
      </c>
      <c r="M228" s="2">
        <v>777</v>
      </c>
      <c r="N228" s="2">
        <v>8856</v>
      </c>
      <c r="O228" s="2">
        <v>1450</v>
      </c>
    </row>
    <row r="229" spans="1:15" x14ac:dyDescent="0.35">
      <c r="A229" s="2">
        <v>8792009665</v>
      </c>
      <c r="B229" s="3">
        <v>42526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1440</v>
      </c>
      <c r="N229" s="2">
        <v>0</v>
      </c>
      <c r="O229" s="2">
        <v>1688</v>
      </c>
    </row>
    <row r="230" spans="1:15" x14ac:dyDescent="0.35">
      <c r="A230" s="2">
        <v>8378563200</v>
      </c>
      <c r="B230" s="3">
        <v>42618</v>
      </c>
      <c r="C230" s="2">
        <v>6.6500000950000002</v>
      </c>
      <c r="D230" s="2">
        <v>6.6500000950000002</v>
      </c>
      <c r="E230" s="2">
        <v>2.0921471120000001</v>
      </c>
      <c r="F230" s="2">
        <v>1.269999981</v>
      </c>
      <c r="G230" s="2">
        <v>0.66000002599999996</v>
      </c>
      <c r="H230" s="2">
        <v>4.7199997900000001</v>
      </c>
      <c r="I230" s="2">
        <v>0</v>
      </c>
      <c r="J230" s="2">
        <v>71</v>
      </c>
      <c r="K230" s="2">
        <v>13</v>
      </c>
      <c r="L230" s="2">
        <v>171</v>
      </c>
      <c r="M230" s="2">
        <v>772</v>
      </c>
      <c r="N230" s="2">
        <v>8382</v>
      </c>
      <c r="O230" s="2">
        <v>3721</v>
      </c>
    </row>
    <row r="231" spans="1:15" x14ac:dyDescent="0.35">
      <c r="A231" s="2">
        <v>2026352035</v>
      </c>
      <c r="B231" s="3">
        <v>42483</v>
      </c>
      <c r="C231" s="2">
        <v>7.7100000380000004</v>
      </c>
      <c r="D231" s="2">
        <v>7.7100000380000004</v>
      </c>
      <c r="E231" s="2">
        <v>0</v>
      </c>
      <c r="F231" s="2">
        <v>0</v>
      </c>
      <c r="G231" s="2">
        <v>0</v>
      </c>
      <c r="H231" s="2">
        <v>7.7100000380000004</v>
      </c>
      <c r="I231" s="2">
        <v>0</v>
      </c>
      <c r="J231" s="2">
        <v>0</v>
      </c>
      <c r="K231" s="2">
        <v>0</v>
      </c>
      <c r="L231" s="2">
        <v>432</v>
      </c>
      <c r="M231" s="2">
        <v>458</v>
      </c>
      <c r="N231" s="2">
        <v>12357</v>
      </c>
      <c r="O231" s="2">
        <v>1916</v>
      </c>
    </row>
    <row r="232" spans="1:15" x14ac:dyDescent="0.35">
      <c r="A232" s="2">
        <v>8583815059</v>
      </c>
      <c r="B232" s="3">
        <v>42473</v>
      </c>
      <c r="C232" s="2">
        <v>4.3499999049999998</v>
      </c>
      <c r="D232" s="2">
        <v>4.3499999049999998</v>
      </c>
      <c r="E232" s="2">
        <v>0</v>
      </c>
      <c r="F232" s="2">
        <v>0.15000000599999999</v>
      </c>
      <c r="G232" s="2">
        <v>0.97000002900000004</v>
      </c>
      <c r="H232" s="2">
        <v>3.2300000190000002</v>
      </c>
      <c r="I232" s="2">
        <v>0</v>
      </c>
      <c r="J232" s="2">
        <v>2</v>
      </c>
      <c r="K232" s="2">
        <v>23</v>
      </c>
      <c r="L232" s="2">
        <v>163</v>
      </c>
      <c r="M232" s="2">
        <v>1252</v>
      </c>
      <c r="N232" s="2">
        <v>5571</v>
      </c>
      <c r="O232" s="2">
        <v>2654</v>
      </c>
    </row>
    <row r="233" spans="1:15" x14ac:dyDescent="0.35">
      <c r="A233" s="2">
        <v>1644430081</v>
      </c>
      <c r="B233" s="3">
        <v>42374</v>
      </c>
      <c r="C233" s="2">
        <v>4.4600000380000004</v>
      </c>
      <c r="D233" s="2">
        <v>4.4600000380000004</v>
      </c>
      <c r="E233" s="2">
        <v>0</v>
      </c>
      <c r="F233" s="2">
        <v>0.23999999499999999</v>
      </c>
      <c r="G233" s="2">
        <v>0.99000001000000004</v>
      </c>
      <c r="H233" s="2">
        <v>3.2300000190000002</v>
      </c>
      <c r="I233" s="2">
        <v>0</v>
      </c>
      <c r="J233" s="2">
        <v>3</v>
      </c>
      <c r="K233" s="2">
        <v>24</v>
      </c>
      <c r="L233" s="2">
        <v>146</v>
      </c>
      <c r="M233" s="2">
        <v>908</v>
      </c>
      <c r="N233" s="2">
        <v>6132</v>
      </c>
      <c r="O233" s="2">
        <v>2696</v>
      </c>
    </row>
    <row r="234" spans="1:15" x14ac:dyDescent="0.35">
      <c r="A234" s="2">
        <v>8378563200</v>
      </c>
      <c r="B234" s="3">
        <v>42474</v>
      </c>
      <c r="C234" s="2">
        <v>10.56000042</v>
      </c>
      <c r="D234" s="2">
        <v>10.56000042</v>
      </c>
      <c r="E234" s="2">
        <v>2.2530810830000001</v>
      </c>
      <c r="F234" s="2">
        <v>5.6199998860000004</v>
      </c>
      <c r="G234" s="2">
        <v>1.0299999710000001</v>
      </c>
      <c r="H234" s="2">
        <v>3.9100000860000002</v>
      </c>
      <c r="I234" s="2">
        <v>0</v>
      </c>
      <c r="J234" s="2">
        <v>123</v>
      </c>
      <c r="K234" s="2">
        <v>21</v>
      </c>
      <c r="L234" s="2">
        <v>174</v>
      </c>
      <c r="M234" s="2">
        <v>699</v>
      </c>
      <c r="N234" s="2">
        <v>13318</v>
      </c>
      <c r="O234" s="2">
        <v>4163</v>
      </c>
    </row>
    <row r="235" spans="1:15" x14ac:dyDescent="0.35">
      <c r="A235" s="2">
        <v>4319703577</v>
      </c>
      <c r="B235" s="3">
        <v>42618</v>
      </c>
      <c r="C235" s="2">
        <v>6.9600000380000004</v>
      </c>
      <c r="D235" s="2">
        <v>6.9600000380000004</v>
      </c>
      <c r="E235" s="2">
        <v>0</v>
      </c>
      <c r="F235" s="2">
        <v>0.14000000100000001</v>
      </c>
      <c r="G235" s="2">
        <v>0.560000002</v>
      </c>
      <c r="H235" s="2">
        <v>6.25</v>
      </c>
      <c r="I235" s="2">
        <v>0</v>
      </c>
      <c r="J235" s="2">
        <v>2</v>
      </c>
      <c r="K235" s="2">
        <v>14</v>
      </c>
      <c r="L235" s="2">
        <v>374</v>
      </c>
      <c r="M235" s="2">
        <v>490</v>
      </c>
      <c r="N235" s="2">
        <v>10378</v>
      </c>
      <c r="O235" s="2">
        <v>2345</v>
      </c>
    </row>
    <row r="236" spans="1:15" x14ac:dyDescent="0.35">
      <c r="A236" s="2">
        <v>5577150313</v>
      </c>
      <c r="B236" s="3">
        <v>42485</v>
      </c>
      <c r="C236" s="2">
        <v>4.7800002099999999</v>
      </c>
      <c r="D236" s="2">
        <v>4.7800002099999999</v>
      </c>
      <c r="E236" s="2">
        <v>0</v>
      </c>
      <c r="F236" s="2">
        <v>1.3500000240000001</v>
      </c>
      <c r="G236" s="2">
        <v>0.670000017</v>
      </c>
      <c r="H236" s="2">
        <v>2.7599999899999998</v>
      </c>
      <c r="I236" s="2">
        <v>0</v>
      </c>
      <c r="J236" s="2">
        <v>61</v>
      </c>
      <c r="K236" s="2">
        <v>38</v>
      </c>
      <c r="L236" s="2">
        <v>214</v>
      </c>
      <c r="M236" s="2">
        <v>743</v>
      </c>
      <c r="N236" s="2">
        <v>6393</v>
      </c>
      <c r="O236" s="2">
        <v>3374</v>
      </c>
    </row>
    <row r="237" spans="1:15" x14ac:dyDescent="0.35">
      <c r="A237" s="2">
        <v>8378563200</v>
      </c>
      <c r="B237" s="3">
        <v>42374</v>
      </c>
      <c r="C237" s="2">
        <v>9.0600004199999997</v>
      </c>
      <c r="D237" s="2">
        <v>9.0600004199999997</v>
      </c>
      <c r="E237" s="2">
        <v>0</v>
      </c>
      <c r="F237" s="2">
        <v>6.0300002099999999</v>
      </c>
      <c r="G237" s="2">
        <v>0.560000002</v>
      </c>
      <c r="H237" s="2">
        <v>2.4700000289999999</v>
      </c>
      <c r="I237" s="2">
        <v>0</v>
      </c>
      <c r="J237" s="2">
        <v>71</v>
      </c>
      <c r="K237" s="2">
        <v>10</v>
      </c>
      <c r="L237" s="2">
        <v>127</v>
      </c>
      <c r="M237" s="2">
        <v>669</v>
      </c>
      <c r="N237" s="2">
        <v>11419</v>
      </c>
      <c r="O237" s="2">
        <v>3369</v>
      </c>
    </row>
    <row r="238" spans="1:15" x14ac:dyDescent="0.35">
      <c r="A238" s="2">
        <v>8378563200</v>
      </c>
      <c r="B238" s="3">
        <v>42478</v>
      </c>
      <c r="C238" s="2">
        <v>10.81000042</v>
      </c>
      <c r="D238" s="2">
        <v>10.81000042</v>
      </c>
      <c r="E238" s="2">
        <v>2.0921471120000001</v>
      </c>
      <c r="F238" s="2">
        <v>5.0500001909999996</v>
      </c>
      <c r="G238" s="2">
        <v>0.560000002</v>
      </c>
      <c r="H238" s="2">
        <v>5.1999998090000004</v>
      </c>
      <c r="I238" s="2">
        <v>0</v>
      </c>
      <c r="J238" s="2">
        <v>117</v>
      </c>
      <c r="K238" s="2">
        <v>10</v>
      </c>
      <c r="L238" s="2">
        <v>174</v>
      </c>
      <c r="M238" s="2">
        <v>720</v>
      </c>
      <c r="N238" s="2">
        <v>13630</v>
      </c>
      <c r="O238" s="2">
        <v>4157</v>
      </c>
    </row>
    <row r="239" spans="1:15" x14ac:dyDescent="0.35">
      <c r="A239" s="2">
        <v>4445114986</v>
      </c>
      <c r="B239" s="3">
        <v>42477</v>
      </c>
      <c r="C239" s="2">
        <v>1.519999981</v>
      </c>
      <c r="D239" s="2">
        <v>1.519999981</v>
      </c>
      <c r="E239" s="2">
        <v>0</v>
      </c>
      <c r="F239" s="2">
        <v>0</v>
      </c>
      <c r="G239" s="2">
        <v>0</v>
      </c>
      <c r="H239" s="2">
        <v>1.519999981</v>
      </c>
      <c r="I239" s="2">
        <v>0</v>
      </c>
      <c r="J239" s="2">
        <v>0</v>
      </c>
      <c r="K239" s="2">
        <v>0</v>
      </c>
      <c r="L239" s="2">
        <v>114</v>
      </c>
      <c r="M239" s="2">
        <v>1219</v>
      </c>
      <c r="N239" s="2">
        <v>2268</v>
      </c>
      <c r="O239" s="2">
        <v>1933</v>
      </c>
    </row>
    <row r="240" spans="1:15" x14ac:dyDescent="0.35">
      <c r="A240" s="2">
        <v>2026352035</v>
      </c>
      <c r="B240" s="3">
        <v>42374</v>
      </c>
      <c r="C240" s="2">
        <v>2.2799999710000001</v>
      </c>
      <c r="D240" s="2">
        <v>2.2799999710000001</v>
      </c>
      <c r="E240" s="2">
        <v>0</v>
      </c>
      <c r="F240" s="2">
        <v>0</v>
      </c>
      <c r="G240" s="2">
        <v>0</v>
      </c>
      <c r="H240" s="2">
        <v>2.2799999710000001</v>
      </c>
      <c r="I240" s="2">
        <v>0</v>
      </c>
      <c r="J240" s="2">
        <v>0</v>
      </c>
      <c r="K240" s="2">
        <v>0</v>
      </c>
      <c r="L240" s="2">
        <v>191</v>
      </c>
      <c r="M240" s="2">
        <v>716</v>
      </c>
      <c r="N240" s="2">
        <v>3609</v>
      </c>
      <c r="O240" s="2">
        <v>1447</v>
      </c>
    </row>
    <row r="241" spans="1:15" x14ac:dyDescent="0.35">
      <c r="A241" s="2">
        <v>2026352035</v>
      </c>
      <c r="B241" s="3">
        <v>42587</v>
      </c>
      <c r="C241" s="2">
        <v>3.4500000480000002</v>
      </c>
      <c r="D241" s="2">
        <v>3.4500000480000002</v>
      </c>
      <c r="E241" s="2">
        <v>0</v>
      </c>
      <c r="F241" s="2">
        <v>0</v>
      </c>
      <c r="G241" s="2">
        <v>0</v>
      </c>
      <c r="H241" s="2">
        <v>3.4500000480000002</v>
      </c>
      <c r="I241" s="2">
        <v>0</v>
      </c>
      <c r="J241" s="2">
        <v>0</v>
      </c>
      <c r="K241" s="2">
        <v>0</v>
      </c>
      <c r="L241" s="2">
        <v>258</v>
      </c>
      <c r="M241" s="2">
        <v>610</v>
      </c>
      <c r="N241" s="2">
        <v>5528</v>
      </c>
      <c r="O241" s="2">
        <v>1555</v>
      </c>
    </row>
    <row r="242" spans="1:15" x14ac:dyDescent="0.35">
      <c r="A242" s="2">
        <v>8792009665</v>
      </c>
      <c r="B242" s="3">
        <v>42482</v>
      </c>
      <c r="C242" s="2">
        <v>2.5999999049999998</v>
      </c>
      <c r="D242" s="2">
        <v>2.5999999049999998</v>
      </c>
      <c r="E242" s="2">
        <v>0</v>
      </c>
      <c r="F242" s="2">
        <v>5.0000001000000002E-2</v>
      </c>
      <c r="G242" s="2">
        <v>0.280000001</v>
      </c>
      <c r="H242" s="2">
        <v>2.2699999809999998</v>
      </c>
      <c r="I242" s="2">
        <v>0</v>
      </c>
      <c r="J242" s="2">
        <v>1</v>
      </c>
      <c r="K242" s="2">
        <v>20</v>
      </c>
      <c r="L242" s="2">
        <v>195</v>
      </c>
      <c r="M242" s="2">
        <v>817</v>
      </c>
      <c r="N242" s="2">
        <v>4068</v>
      </c>
      <c r="O242" s="2">
        <v>2419</v>
      </c>
    </row>
    <row r="243" spans="1:15" x14ac:dyDescent="0.35">
      <c r="A243" s="2">
        <v>6775888955</v>
      </c>
      <c r="B243" s="3">
        <v>42374</v>
      </c>
      <c r="C243" s="2">
        <v>1.7799999710000001</v>
      </c>
      <c r="D243" s="2">
        <v>1.7799999710000001</v>
      </c>
      <c r="E243" s="2">
        <v>0</v>
      </c>
      <c r="F243" s="2">
        <v>0.47999998900000002</v>
      </c>
      <c r="G243" s="2">
        <v>0.62000000499999997</v>
      </c>
      <c r="H243" s="2">
        <v>0.68000000699999996</v>
      </c>
      <c r="I243" s="2">
        <v>0</v>
      </c>
      <c r="J243" s="2">
        <v>9</v>
      </c>
      <c r="K243" s="2">
        <v>34</v>
      </c>
      <c r="L243" s="2">
        <v>50</v>
      </c>
      <c r="M243" s="2">
        <v>1347</v>
      </c>
      <c r="N243" s="2">
        <v>2487</v>
      </c>
      <c r="O243" s="2">
        <v>2319</v>
      </c>
    </row>
    <row r="244" spans="1:15" x14ac:dyDescent="0.35">
      <c r="A244" s="2">
        <v>3372868164</v>
      </c>
      <c r="B244" s="3">
        <v>42487</v>
      </c>
      <c r="C244" s="2">
        <v>5.420000076</v>
      </c>
      <c r="D244" s="2">
        <v>5.420000076</v>
      </c>
      <c r="E244" s="2">
        <v>0</v>
      </c>
      <c r="F244" s="2">
        <v>1.5800000430000001</v>
      </c>
      <c r="G244" s="2">
        <v>0.62999999500000003</v>
      </c>
      <c r="H244" s="2">
        <v>3.1900000569999998</v>
      </c>
      <c r="I244" s="2">
        <v>0.01</v>
      </c>
      <c r="J244" s="2">
        <v>24</v>
      </c>
      <c r="K244" s="2">
        <v>13</v>
      </c>
      <c r="L244" s="2">
        <v>346</v>
      </c>
      <c r="M244" s="2">
        <v>1057</v>
      </c>
      <c r="N244" s="2">
        <v>7904</v>
      </c>
      <c r="O244" s="2">
        <v>2095</v>
      </c>
    </row>
    <row r="245" spans="1:15" x14ac:dyDescent="0.35">
      <c r="A245" s="2">
        <v>8792009665</v>
      </c>
      <c r="B245" s="3">
        <v>42465</v>
      </c>
      <c r="C245" s="2">
        <v>1.460000038</v>
      </c>
      <c r="D245" s="2">
        <v>1.460000038</v>
      </c>
      <c r="E245" s="2">
        <v>0</v>
      </c>
      <c r="F245" s="2">
        <v>0</v>
      </c>
      <c r="G245" s="2">
        <v>0</v>
      </c>
      <c r="H245" s="2">
        <v>1.460000038</v>
      </c>
      <c r="I245" s="2">
        <v>0</v>
      </c>
      <c r="J245" s="2">
        <v>0</v>
      </c>
      <c r="K245" s="2">
        <v>0</v>
      </c>
      <c r="L245" s="2">
        <v>129</v>
      </c>
      <c r="M245" s="2">
        <v>848</v>
      </c>
      <c r="N245" s="2">
        <v>2283</v>
      </c>
      <c r="O245" s="2">
        <v>2067</v>
      </c>
    </row>
    <row r="246" spans="1:15" x14ac:dyDescent="0.35">
      <c r="A246" s="2">
        <v>5553957443</v>
      </c>
      <c r="B246" s="3">
        <v>42495</v>
      </c>
      <c r="C246" s="2">
        <v>9.5100002289999992</v>
      </c>
      <c r="D246" s="2">
        <v>9.5100002289999992</v>
      </c>
      <c r="E246" s="2">
        <v>0</v>
      </c>
      <c r="F246" s="2">
        <v>3.4300000669999999</v>
      </c>
      <c r="G246" s="2">
        <v>1.6599999670000001</v>
      </c>
      <c r="H246" s="2">
        <v>4.4299998279999997</v>
      </c>
      <c r="I246" s="2">
        <v>0</v>
      </c>
      <c r="J246" s="2">
        <v>44</v>
      </c>
      <c r="K246" s="2">
        <v>29</v>
      </c>
      <c r="L246" s="2">
        <v>241</v>
      </c>
      <c r="M246" s="2">
        <v>692</v>
      </c>
      <c r="N246" s="2">
        <v>14331</v>
      </c>
      <c r="O246" s="2">
        <v>2156</v>
      </c>
    </row>
    <row r="247" spans="1:15" x14ac:dyDescent="0.35">
      <c r="A247" s="2">
        <v>4319703577</v>
      </c>
      <c r="B247" s="3">
        <v>42479</v>
      </c>
      <c r="C247" s="2">
        <v>5.9899997709999999</v>
      </c>
      <c r="D247" s="2">
        <v>5.9899997709999999</v>
      </c>
      <c r="E247" s="2">
        <v>0</v>
      </c>
      <c r="F247" s="2">
        <v>0</v>
      </c>
      <c r="G247" s="2">
        <v>0</v>
      </c>
      <c r="H247" s="2">
        <v>5.9899997709999999</v>
      </c>
      <c r="I247" s="2">
        <v>0</v>
      </c>
      <c r="J247" s="2">
        <v>0</v>
      </c>
      <c r="K247" s="2">
        <v>0</v>
      </c>
      <c r="L247" s="2">
        <v>311</v>
      </c>
      <c r="M247" s="2">
        <v>604</v>
      </c>
      <c r="N247" s="2">
        <v>8925</v>
      </c>
      <c r="O247" s="2">
        <v>2200</v>
      </c>
    </row>
    <row r="248" spans="1:15" x14ac:dyDescent="0.35">
      <c r="A248" s="2">
        <v>2320127002</v>
      </c>
      <c r="B248" s="3">
        <v>42483</v>
      </c>
      <c r="C248" s="2">
        <v>3.420000076</v>
      </c>
      <c r="D248" s="2">
        <v>3.420000076</v>
      </c>
      <c r="E248" s="2">
        <v>0</v>
      </c>
      <c r="F248" s="2">
        <v>0</v>
      </c>
      <c r="G248" s="2">
        <v>0</v>
      </c>
      <c r="H248" s="2">
        <v>3.420000076</v>
      </c>
      <c r="I248" s="2">
        <v>0</v>
      </c>
      <c r="J248" s="2">
        <v>0</v>
      </c>
      <c r="K248" s="2">
        <v>0</v>
      </c>
      <c r="L248" s="2">
        <v>242</v>
      </c>
      <c r="M248" s="2">
        <v>1129</v>
      </c>
      <c r="N248" s="2">
        <v>5079</v>
      </c>
      <c r="O248" s="2">
        <v>1804</v>
      </c>
    </row>
    <row r="249" spans="1:15" x14ac:dyDescent="0.35">
      <c r="A249" s="2">
        <v>8253242879</v>
      </c>
      <c r="B249" s="3">
        <v>42476</v>
      </c>
      <c r="C249" s="2">
        <v>6.1399998660000001</v>
      </c>
      <c r="D249" s="2">
        <v>6.1399998660000001</v>
      </c>
      <c r="E249" s="2">
        <v>0</v>
      </c>
      <c r="F249" s="2">
        <v>0.43000000700000002</v>
      </c>
      <c r="G249" s="2">
        <v>3.2699999809999998</v>
      </c>
      <c r="H249" s="2">
        <v>2.4500000480000002</v>
      </c>
      <c r="I249" s="2">
        <v>0</v>
      </c>
      <c r="J249" s="2">
        <v>6</v>
      </c>
      <c r="K249" s="2">
        <v>51</v>
      </c>
      <c r="L249" s="2">
        <v>115</v>
      </c>
      <c r="M249" s="2">
        <v>1268</v>
      </c>
      <c r="N249" s="2">
        <v>9256</v>
      </c>
      <c r="O249" s="2">
        <v>1880</v>
      </c>
    </row>
    <row r="250" spans="1:15" x14ac:dyDescent="0.35">
      <c r="A250" s="2">
        <v>4388161847</v>
      </c>
      <c r="B250" s="3">
        <v>42485</v>
      </c>
      <c r="C250" s="2">
        <v>9.9700002669999996</v>
      </c>
      <c r="D250" s="2">
        <v>9.9700002669999996</v>
      </c>
      <c r="E250" s="2">
        <v>0</v>
      </c>
      <c r="F250" s="2">
        <v>0.730000019</v>
      </c>
      <c r="G250" s="2">
        <v>1.3999999759999999</v>
      </c>
      <c r="H250" s="2">
        <v>7.8400001530000001</v>
      </c>
      <c r="I250" s="2">
        <v>0</v>
      </c>
      <c r="J250" s="2">
        <v>11</v>
      </c>
      <c r="K250" s="2">
        <v>31</v>
      </c>
      <c r="L250" s="2">
        <v>301</v>
      </c>
      <c r="M250" s="2">
        <v>1054</v>
      </c>
      <c r="N250" s="2">
        <v>12961</v>
      </c>
      <c r="O250" s="2">
        <v>3288</v>
      </c>
    </row>
    <row r="251" spans="1:15" x14ac:dyDescent="0.35">
      <c r="A251" s="2">
        <v>6962181067</v>
      </c>
      <c r="B251" s="3">
        <v>42708</v>
      </c>
      <c r="C251" s="2">
        <v>6.7399997709999999</v>
      </c>
      <c r="D251" s="2">
        <v>6.7399997709999999</v>
      </c>
      <c r="E251" s="2">
        <v>0</v>
      </c>
      <c r="F251" s="2">
        <v>3.4000000950000002</v>
      </c>
      <c r="G251" s="2">
        <v>0.829999983</v>
      </c>
      <c r="H251" s="2">
        <v>2.5099999899999998</v>
      </c>
      <c r="I251" s="2">
        <v>0</v>
      </c>
      <c r="J251" s="2">
        <v>50</v>
      </c>
      <c r="K251" s="2">
        <v>14</v>
      </c>
      <c r="L251" s="2">
        <v>189</v>
      </c>
      <c r="M251" s="2">
        <v>796</v>
      </c>
      <c r="N251" s="2">
        <v>10199</v>
      </c>
      <c r="O251" s="2">
        <v>1994</v>
      </c>
    </row>
    <row r="252" spans="1:15" x14ac:dyDescent="0.35">
      <c r="A252" s="2">
        <v>8378563200</v>
      </c>
      <c r="B252" s="3">
        <v>42483</v>
      </c>
      <c r="C252" s="2">
        <v>4.5300002099999999</v>
      </c>
      <c r="D252" s="2">
        <v>4.5300002099999999</v>
      </c>
      <c r="E252" s="2">
        <v>0</v>
      </c>
      <c r="F252" s="2">
        <v>1.519999981</v>
      </c>
      <c r="G252" s="2">
        <v>0.519999981</v>
      </c>
      <c r="H252" s="2">
        <v>2.4800000190000002</v>
      </c>
      <c r="I252" s="2">
        <v>0</v>
      </c>
      <c r="J252" s="2">
        <v>19</v>
      </c>
      <c r="K252" s="2">
        <v>10</v>
      </c>
      <c r="L252" s="2">
        <v>136</v>
      </c>
      <c r="M252" s="2">
        <v>740</v>
      </c>
      <c r="N252" s="2">
        <v>5709</v>
      </c>
      <c r="O252" s="2">
        <v>2908</v>
      </c>
    </row>
    <row r="253" spans="1:15" x14ac:dyDescent="0.35">
      <c r="A253" s="2">
        <v>8877689391</v>
      </c>
      <c r="B253" s="3">
        <v>42405</v>
      </c>
      <c r="C253" s="2">
        <v>3.6400001049999999</v>
      </c>
      <c r="D253" s="2">
        <v>3.6400001049999999</v>
      </c>
      <c r="E253" s="2">
        <v>0</v>
      </c>
      <c r="F253" s="2">
        <v>0</v>
      </c>
      <c r="G253" s="2">
        <v>0</v>
      </c>
      <c r="H253" s="2">
        <v>3.5599999430000002</v>
      </c>
      <c r="I253" s="2">
        <v>0</v>
      </c>
      <c r="J253" s="2">
        <v>0</v>
      </c>
      <c r="K253" s="2">
        <v>0</v>
      </c>
      <c r="L253" s="2">
        <v>105</v>
      </c>
      <c r="M253" s="2">
        <v>1335</v>
      </c>
      <c r="N253" s="2">
        <v>4790</v>
      </c>
      <c r="O253" s="2">
        <v>2189</v>
      </c>
    </row>
    <row r="254" spans="1:15" x14ac:dyDescent="0.35">
      <c r="A254" s="2">
        <v>1624580081</v>
      </c>
      <c r="B254" s="3">
        <v>42648</v>
      </c>
      <c r="C254" s="2">
        <v>1.9299999480000001</v>
      </c>
      <c r="D254" s="2">
        <v>1.9299999480000001</v>
      </c>
      <c r="E254" s="2">
        <v>0</v>
      </c>
      <c r="F254" s="2">
        <v>0</v>
      </c>
      <c r="G254" s="2">
        <v>0</v>
      </c>
      <c r="H254" s="2">
        <v>1.9199999569999999</v>
      </c>
      <c r="I254" s="2">
        <v>0.01</v>
      </c>
      <c r="J254" s="2">
        <v>0</v>
      </c>
      <c r="K254" s="2">
        <v>0</v>
      </c>
      <c r="L254" s="2">
        <v>139</v>
      </c>
      <c r="M254" s="2">
        <v>1301</v>
      </c>
      <c r="N254" s="2">
        <v>2969</v>
      </c>
      <c r="O254" s="2">
        <v>1393</v>
      </c>
    </row>
    <row r="255" spans="1:15" x14ac:dyDescent="0.35">
      <c r="A255" s="2">
        <v>4558609924</v>
      </c>
      <c r="B255" s="3">
        <v>42479</v>
      </c>
      <c r="C255" s="2">
        <v>3.5699999330000001</v>
      </c>
      <c r="D255" s="2">
        <v>3.5699999330000001</v>
      </c>
      <c r="E255" s="2">
        <v>0</v>
      </c>
      <c r="F255" s="2">
        <v>5.0000001000000002E-2</v>
      </c>
      <c r="G255" s="2">
        <v>0.36000001399999998</v>
      </c>
      <c r="H255" s="2">
        <v>3.1600000860000002</v>
      </c>
      <c r="I255" s="2">
        <v>0</v>
      </c>
      <c r="J255" s="2">
        <v>1</v>
      </c>
      <c r="K255" s="2">
        <v>9</v>
      </c>
      <c r="L255" s="2">
        <v>248</v>
      </c>
      <c r="M255" s="2">
        <v>1182</v>
      </c>
      <c r="N255" s="2">
        <v>5401</v>
      </c>
      <c r="O255" s="2">
        <v>1876</v>
      </c>
    </row>
    <row r="256" spans="1:15" x14ac:dyDescent="0.35">
      <c r="A256" s="2">
        <v>3372868164</v>
      </c>
      <c r="B256" s="3">
        <v>42488</v>
      </c>
      <c r="C256" s="2">
        <v>3.7599999899999998</v>
      </c>
      <c r="D256" s="2">
        <v>3.7599999899999998</v>
      </c>
      <c r="E256" s="2">
        <v>0</v>
      </c>
      <c r="F256" s="2">
        <v>0</v>
      </c>
      <c r="G256" s="2">
        <v>0</v>
      </c>
      <c r="H256" s="2">
        <v>3.7599999899999998</v>
      </c>
      <c r="I256" s="2">
        <v>0</v>
      </c>
      <c r="J256" s="2">
        <v>0</v>
      </c>
      <c r="K256" s="2">
        <v>0</v>
      </c>
      <c r="L256" s="2">
        <v>385</v>
      </c>
      <c r="M256" s="2">
        <v>1055</v>
      </c>
      <c r="N256" s="2">
        <v>5512</v>
      </c>
      <c r="O256" s="2">
        <v>1972</v>
      </c>
    </row>
    <row r="257" spans="1:15" x14ac:dyDescent="0.35">
      <c r="A257" s="2">
        <v>6775888955</v>
      </c>
      <c r="B257" s="3">
        <v>42484</v>
      </c>
      <c r="C257" s="2">
        <v>1.539999962</v>
      </c>
      <c r="D257" s="2">
        <v>1.539999962</v>
      </c>
      <c r="E257" s="2">
        <v>0</v>
      </c>
      <c r="F257" s="2">
        <v>0.769999981</v>
      </c>
      <c r="G257" s="2">
        <v>0.62000000499999997</v>
      </c>
      <c r="H257" s="2">
        <v>0.15000000599999999</v>
      </c>
      <c r="I257" s="2">
        <v>0</v>
      </c>
      <c r="J257" s="2">
        <v>11</v>
      </c>
      <c r="K257" s="2">
        <v>18</v>
      </c>
      <c r="L257" s="2">
        <v>11</v>
      </c>
      <c r="M257" s="2">
        <v>1400</v>
      </c>
      <c r="N257" s="2">
        <v>2153</v>
      </c>
      <c r="O257" s="2">
        <v>2053</v>
      </c>
    </row>
    <row r="258" spans="1:15" x14ac:dyDescent="0.35">
      <c r="A258" s="2">
        <v>8583815059</v>
      </c>
      <c r="B258" s="3">
        <v>42709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1440</v>
      </c>
      <c r="N258" s="2">
        <v>0</v>
      </c>
      <c r="O258" s="2">
        <v>0</v>
      </c>
    </row>
    <row r="259" spans="1:15" x14ac:dyDescent="0.35">
      <c r="A259" s="2">
        <v>8053475328</v>
      </c>
      <c r="B259" s="3">
        <v>42465</v>
      </c>
      <c r="C259" s="2">
        <v>11.149999619999999</v>
      </c>
      <c r="D259" s="2">
        <v>11.149999619999999</v>
      </c>
      <c r="E259" s="2">
        <v>0</v>
      </c>
      <c r="F259" s="2">
        <v>8.8199996949999999</v>
      </c>
      <c r="G259" s="2">
        <v>0.40000000600000002</v>
      </c>
      <c r="H259" s="2">
        <v>1.9099999670000001</v>
      </c>
      <c r="I259" s="2">
        <v>0</v>
      </c>
      <c r="J259" s="2">
        <v>89</v>
      </c>
      <c r="K259" s="2">
        <v>8</v>
      </c>
      <c r="L259" s="2">
        <v>123</v>
      </c>
      <c r="M259" s="2">
        <v>1220</v>
      </c>
      <c r="N259" s="2">
        <v>14581</v>
      </c>
      <c r="O259" s="2">
        <v>2918</v>
      </c>
    </row>
    <row r="260" spans="1:15" x14ac:dyDescent="0.35">
      <c r="A260" s="2">
        <v>1503960366</v>
      </c>
      <c r="B260" s="3">
        <v>42479</v>
      </c>
      <c r="C260" s="2">
        <v>9.8800001139999996</v>
      </c>
      <c r="D260" s="2">
        <v>9.8800001139999996</v>
      </c>
      <c r="E260" s="2">
        <v>0</v>
      </c>
      <c r="F260" s="2">
        <v>3.5299999710000001</v>
      </c>
      <c r="G260" s="2">
        <v>1.3200000519999999</v>
      </c>
      <c r="H260" s="2">
        <v>5.0300002099999999</v>
      </c>
      <c r="I260" s="2">
        <v>0</v>
      </c>
      <c r="J260" s="2">
        <v>50</v>
      </c>
      <c r="K260" s="2">
        <v>31</v>
      </c>
      <c r="L260" s="2">
        <v>264</v>
      </c>
      <c r="M260" s="2">
        <v>775</v>
      </c>
      <c r="N260" s="2">
        <v>15506</v>
      </c>
      <c r="O260" s="2">
        <v>2035</v>
      </c>
    </row>
    <row r="261" spans="1:15" x14ac:dyDescent="0.35">
      <c r="A261" s="2">
        <v>2022484408</v>
      </c>
      <c r="B261" s="3">
        <v>42473</v>
      </c>
      <c r="C261" s="2">
        <v>8.5</v>
      </c>
      <c r="D261" s="2">
        <v>8.5</v>
      </c>
      <c r="E261" s="2">
        <v>0</v>
      </c>
      <c r="F261" s="2">
        <v>2.9900000100000002</v>
      </c>
      <c r="G261" s="2">
        <v>0.10000000100000001</v>
      </c>
      <c r="H261" s="2">
        <v>5.4099998469999999</v>
      </c>
      <c r="I261" s="2">
        <v>0</v>
      </c>
      <c r="J261" s="2">
        <v>43</v>
      </c>
      <c r="K261" s="2">
        <v>5</v>
      </c>
      <c r="L261" s="2">
        <v>292</v>
      </c>
      <c r="M261" s="2">
        <v>1100</v>
      </c>
      <c r="N261" s="2">
        <v>12024</v>
      </c>
      <c r="O261" s="2">
        <v>2601</v>
      </c>
    </row>
    <row r="262" spans="1:15" x14ac:dyDescent="0.35">
      <c r="A262" s="2">
        <v>4388161847</v>
      </c>
      <c r="B262" s="3">
        <v>42489</v>
      </c>
      <c r="C262" s="2">
        <v>7.0999999049999998</v>
      </c>
      <c r="D262" s="2">
        <v>7.0999999049999998</v>
      </c>
      <c r="E262" s="2">
        <v>0</v>
      </c>
      <c r="F262" s="2">
        <v>0.80000001200000004</v>
      </c>
      <c r="G262" s="2">
        <v>0.88999998599999997</v>
      </c>
      <c r="H262" s="2">
        <v>5.420000076</v>
      </c>
      <c r="I262" s="2">
        <v>0</v>
      </c>
      <c r="J262" s="2">
        <v>13</v>
      </c>
      <c r="K262" s="2">
        <v>16</v>
      </c>
      <c r="L262" s="2">
        <v>236</v>
      </c>
      <c r="M262" s="2">
        <v>1175</v>
      </c>
      <c r="N262" s="2">
        <v>9232</v>
      </c>
      <c r="O262" s="2">
        <v>2979</v>
      </c>
    </row>
    <row r="263" spans="1:15" x14ac:dyDescent="0.35">
      <c r="A263" s="2">
        <v>7086361926</v>
      </c>
      <c r="B263" s="3">
        <v>42556</v>
      </c>
      <c r="C263" s="2">
        <v>8.4799995419999998</v>
      </c>
      <c r="D263" s="2">
        <v>8.4799995419999998</v>
      </c>
      <c r="E263" s="2">
        <v>0</v>
      </c>
      <c r="F263" s="2">
        <v>1.460000038</v>
      </c>
      <c r="G263" s="2">
        <v>2.329999924</v>
      </c>
      <c r="H263" s="2">
        <v>4.6799998279999997</v>
      </c>
      <c r="I263" s="2">
        <v>0</v>
      </c>
      <c r="J263" s="2">
        <v>20</v>
      </c>
      <c r="K263" s="2">
        <v>42</v>
      </c>
      <c r="L263" s="2">
        <v>209</v>
      </c>
      <c r="M263" s="2">
        <v>621</v>
      </c>
      <c r="N263" s="2">
        <v>12827</v>
      </c>
      <c r="O263" s="2">
        <v>2739</v>
      </c>
    </row>
    <row r="264" spans="1:15" x14ac:dyDescent="0.35">
      <c r="A264" s="2">
        <v>4702921684</v>
      </c>
      <c r="B264" s="3">
        <v>42483</v>
      </c>
      <c r="C264" s="2">
        <v>12.27000046</v>
      </c>
      <c r="D264" s="2">
        <v>12.27000046</v>
      </c>
      <c r="E264" s="2">
        <v>0</v>
      </c>
      <c r="F264" s="2">
        <v>0.75999998999999996</v>
      </c>
      <c r="G264" s="2">
        <v>3.2400000100000002</v>
      </c>
      <c r="H264" s="2">
        <v>8.2700004580000002</v>
      </c>
      <c r="I264" s="2">
        <v>0</v>
      </c>
      <c r="J264" s="2">
        <v>9</v>
      </c>
      <c r="K264" s="2">
        <v>66</v>
      </c>
      <c r="L264" s="2">
        <v>408</v>
      </c>
      <c r="M264" s="2">
        <v>469</v>
      </c>
      <c r="N264" s="2">
        <v>15126</v>
      </c>
      <c r="O264" s="2">
        <v>3691</v>
      </c>
    </row>
    <row r="265" spans="1:15" x14ac:dyDescent="0.35">
      <c r="A265" s="2">
        <v>7007744171</v>
      </c>
      <c r="B265" s="3">
        <v>42405</v>
      </c>
      <c r="C265" s="2">
        <v>9.1800003050000001</v>
      </c>
      <c r="D265" s="2">
        <v>8.7200002669999996</v>
      </c>
      <c r="E265" s="2">
        <v>2.8323259350000001</v>
      </c>
      <c r="F265" s="2">
        <v>4.6399998660000001</v>
      </c>
      <c r="G265" s="2">
        <v>0.69999998799999996</v>
      </c>
      <c r="H265" s="2">
        <v>3.829999924</v>
      </c>
      <c r="I265" s="2">
        <v>0</v>
      </c>
      <c r="J265" s="2">
        <v>64</v>
      </c>
      <c r="K265" s="2">
        <v>14</v>
      </c>
      <c r="L265" s="2">
        <v>250</v>
      </c>
      <c r="M265" s="2">
        <v>1112</v>
      </c>
      <c r="N265" s="2">
        <v>13041</v>
      </c>
      <c r="O265" s="2">
        <v>2642</v>
      </c>
    </row>
    <row r="266" spans="1:15" x14ac:dyDescent="0.35">
      <c r="A266" s="2">
        <v>4702921684</v>
      </c>
      <c r="B266" s="3">
        <v>42556</v>
      </c>
      <c r="C266" s="2">
        <v>11.649999619999999</v>
      </c>
      <c r="D266" s="2">
        <v>11.649999619999999</v>
      </c>
      <c r="E266" s="2">
        <v>0</v>
      </c>
      <c r="F266" s="2">
        <v>0.37000000500000002</v>
      </c>
      <c r="G266" s="2">
        <v>2.3099999430000002</v>
      </c>
      <c r="H266" s="2">
        <v>8.9700002669999996</v>
      </c>
      <c r="I266" s="2">
        <v>0</v>
      </c>
      <c r="J266" s="2">
        <v>5</v>
      </c>
      <c r="K266" s="2">
        <v>46</v>
      </c>
      <c r="L266" s="2">
        <v>439</v>
      </c>
      <c r="M266" s="2">
        <v>577</v>
      </c>
      <c r="N266" s="2">
        <v>14370</v>
      </c>
      <c r="O266" s="2">
        <v>3683</v>
      </c>
    </row>
    <row r="267" spans="1:15" x14ac:dyDescent="0.35">
      <c r="A267" s="2">
        <v>5553957443</v>
      </c>
      <c r="B267" s="3">
        <v>42477</v>
      </c>
      <c r="C267" s="2">
        <v>0.43000000700000002</v>
      </c>
      <c r="D267" s="2">
        <v>0.43000000700000002</v>
      </c>
      <c r="E267" s="2">
        <v>0</v>
      </c>
      <c r="F267" s="2">
        <v>0</v>
      </c>
      <c r="G267" s="2">
        <v>0</v>
      </c>
      <c r="H267" s="2">
        <v>0.43000000700000002</v>
      </c>
      <c r="I267" s="2">
        <v>0</v>
      </c>
      <c r="J267" s="2">
        <v>0</v>
      </c>
      <c r="K267" s="2">
        <v>0</v>
      </c>
      <c r="L267" s="2">
        <v>46</v>
      </c>
      <c r="M267" s="2">
        <v>943</v>
      </c>
      <c r="N267" s="2">
        <v>655</v>
      </c>
      <c r="O267" s="2">
        <v>1397</v>
      </c>
    </row>
    <row r="268" spans="1:15" x14ac:dyDescent="0.35">
      <c r="A268" s="2">
        <v>7086361926</v>
      </c>
      <c r="B268" s="3">
        <v>42495</v>
      </c>
      <c r="C268" s="2">
        <v>5.5999999049999998</v>
      </c>
      <c r="D268" s="2">
        <v>5.5999999049999998</v>
      </c>
      <c r="E268" s="2">
        <v>0</v>
      </c>
      <c r="F268" s="2">
        <v>1.7799999710000001</v>
      </c>
      <c r="G268" s="2">
        <v>0.829999983</v>
      </c>
      <c r="H268" s="2">
        <v>2.9500000480000002</v>
      </c>
      <c r="I268" s="2">
        <v>0</v>
      </c>
      <c r="J268" s="2">
        <v>24</v>
      </c>
      <c r="K268" s="2">
        <v>14</v>
      </c>
      <c r="L268" s="2">
        <v>149</v>
      </c>
      <c r="M268" s="2">
        <v>1253</v>
      </c>
      <c r="N268" s="2">
        <v>8564</v>
      </c>
      <c r="O268" s="2">
        <v>2386</v>
      </c>
    </row>
    <row r="269" spans="1:15" x14ac:dyDescent="0.35">
      <c r="A269" s="2">
        <v>8792009665</v>
      </c>
      <c r="B269" s="3">
        <v>42483</v>
      </c>
      <c r="C269" s="2">
        <v>3.3599998950000001</v>
      </c>
      <c r="D269" s="2">
        <v>3.3599998950000001</v>
      </c>
      <c r="E269" s="2">
        <v>0</v>
      </c>
      <c r="F269" s="2">
        <v>0.15999999600000001</v>
      </c>
      <c r="G269" s="2">
        <v>0.439999998</v>
      </c>
      <c r="H269" s="2">
        <v>2.75</v>
      </c>
      <c r="I269" s="2">
        <v>0</v>
      </c>
      <c r="J269" s="2">
        <v>8</v>
      </c>
      <c r="K269" s="2">
        <v>45</v>
      </c>
      <c r="L269" s="2">
        <v>232</v>
      </c>
      <c r="M269" s="2">
        <v>795</v>
      </c>
      <c r="N269" s="2">
        <v>5245</v>
      </c>
      <c r="O269" s="2">
        <v>2748</v>
      </c>
    </row>
    <row r="270" spans="1:15" x14ac:dyDescent="0.35">
      <c r="A270" s="2">
        <v>4020332650</v>
      </c>
      <c r="B270" s="3">
        <v>42485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1440</v>
      </c>
      <c r="N270" s="2">
        <v>0</v>
      </c>
      <c r="O270" s="2">
        <v>1980</v>
      </c>
    </row>
    <row r="271" spans="1:15" x14ac:dyDescent="0.35">
      <c r="A271" s="2">
        <v>8792009665</v>
      </c>
      <c r="B271" s="3">
        <v>42434</v>
      </c>
      <c r="C271" s="2">
        <v>1.5499999520000001</v>
      </c>
      <c r="D271" s="2">
        <v>1.5499999520000001</v>
      </c>
      <c r="E271" s="2">
        <v>0</v>
      </c>
      <c r="F271" s="2">
        <v>0</v>
      </c>
      <c r="G271" s="2">
        <v>0</v>
      </c>
      <c r="H271" s="2">
        <v>1.5499999520000001</v>
      </c>
      <c r="I271" s="2">
        <v>0</v>
      </c>
      <c r="J271" s="2">
        <v>0</v>
      </c>
      <c r="K271" s="2">
        <v>0</v>
      </c>
      <c r="L271" s="2">
        <v>156</v>
      </c>
      <c r="M271" s="2">
        <v>739</v>
      </c>
      <c r="N271" s="2">
        <v>2421</v>
      </c>
      <c r="O271" s="2">
        <v>2297</v>
      </c>
    </row>
    <row r="272" spans="1:15" x14ac:dyDescent="0.35">
      <c r="A272" s="2">
        <v>5553957443</v>
      </c>
      <c r="B272" s="3">
        <v>42481</v>
      </c>
      <c r="C272" s="2">
        <v>8.0600004199999997</v>
      </c>
      <c r="D272" s="2">
        <v>8.0600004199999997</v>
      </c>
      <c r="E272" s="2">
        <v>0</v>
      </c>
      <c r="F272" s="2">
        <v>2.9500000480000002</v>
      </c>
      <c r="G272" s="2">
        <v>2.1600000860000002</v>
      </c>
      <c r="H272" s="2">
        <v>2.960000038</v>
      </c>
      <c r="I272" s="2">
        <v>0</v>
      </c>
      <c r="J272" s="2">
        <v>47</v>
      </c>
      <c r="K272" s="2">
        <v>42</v>
      </c>
      <c r="L272" s="2">
        <v>177</v>
      </c>
      <c r="M272" s="2">
        <v>801</v>
      </c>
      <c r="N272" s="2">
        <v>12346</v>
      </c>
      <c r="O272" s="2">
        <v>2066</v>
      </c>
    </row>
    <row r="273" spans="1:15" x14ac:dyDescent="0.35">
      <c r="A273" s="2">
        <v>4445114986</v>
      </c>
      <c r="B273" s="3">
        <v>42476</v>
      </c>
      <c r="C273" s="2">
        <v>2.6500000950000002</v>
      </c>
      <c r="D273" s="2">
        <v>2.6500000950000002</v>
      </c>
      <c r="E273" s="2">
        <v>0</v>
      </c>
      <c r="F273" s="2">
        <v>0</v>
      </c>
      <c r="G273" s="2">
        <v>0</v>
      </c>
      <c r="H273" s="2">
        <v>2.6500000950000002</v>
      </c>
      <c r="I273" s="2">
        <v>0</v>
      </c>
      <c r="J273" s="2">
        <v>0</v>
      </c>
      <c r="K273" s="2">
        <v>0</v>
      </c>
      <c r="L273" s="2">
        <v>225</v>
      </c>
      <c r="M273" s="2">
        <v>716</v>
      </c>
      <c r="N273" s="2">
        <v>3945</v>
      </c>
      <c r="O273" s="2">
        <v>2180</v>
      </c>
    </row>
    <row r="274" spans="1:15" x14ac:dyDescent="0.35">
      <c r="A274" s="2">
        <v>8583815059</v>
      </c>
      <c r="B274" s="3">
        <v>42482</v>
      </c>
      <c r="C274" s="2">
        <v>6.7800002099999999</v>
      </c>
      <c r="D274" s="2">
        <v>6.7800002099999999</v>
      </c>
      <c r="E274" s="2">
        <v>0</v>
      </c>
      <c r="F274" s="2">
        <v>0.28999999199999998</v>
      </c>
      <c r="G274" s="2">
        <v>2.4100000860000002</v>
      </c>
      <c r="H274" s="2">
        <v>4.079999924</v>
      </c>
      <c r="I274" s="2">
        <v>0</v>
      </c>
      <c r="J274" s="2">
        <v>4</v>
      </c>
      <c r="K274" s="2">
        <v>54</v>
      </c>
      <c r="L274" s="2">
        <v>212</v>
      </c>
      <c r="M274" s="2">
        <v>1170</v>
      </c>
      <c r="N274" s="2">
        <v>8687</v>
      </c>
      <c r="O274" s="2">
        <v>2944</v>
      </c>
    </row>
    <row r="275" spans="1:15" x14ac:dyDescent="0.35">
      <c r="A275" s="2">
        <v>4445114986</v>
      </c>
      <c r="B275" s="3">
        <v>42556</v>
      </c>
      <c r="C275" s="2">
        <v>3.5899999139999998</v>
      </c>
      <c r="D275" s="2">
        <v>3.5899999139999998</v>
      </c>
      <c r="E275" s="2">
        <v>0</v>
      </c>
      <c r="F275" s="2">
        <v>2.130000114</v>
      </c>
      <c r="G275" s="2">
        <v>0.189999998</v>
      </c>
      <c r="H275" s="2">
        <v>1.25</v>
      </c>
      <c r="I275" s="2">
        <v>0</v>
      </c>
      <c r="J275" s="2">
        <v>26</v>
      </c>
      <c r="K275" s="2">
        <v>4</v>
      </c>
      <c r="L275" s="2">
        <v>108</v>
      </c>
      <c r="M275" s="2">
        <v>866</v>
      </c>
      <c r="N275" s="2">
        <v>5183</v>
      </c>
      <c r="O275" s="2">
        <v>2123</v>
      </c>
    </row>
    <row r="276" spans="1:15" x14ac:dyDescent="0.35">
      <c r="A276" s="2">
        <v>2320127002</v>
      </c>
      <c r="B276" s="3">
        <v>42484</v>
      </c>
      <c r="C276" s="2">
        <v>2.8099999430000002</v>
      </c>
      <c r="D276" s="2">
        <v>2.8099999430000002</v>
      </c>
      <c r="E276" s="2">
        <v>0</v>
      </c>
      <c r="F276" s="2">
        <v>0</v>
      </c>
      <c r="G276" s="2">
        <v>0</v>
      </c>
      <c r="H276" s="2">
        <v>2.7999999519999998</v>
      </c>
      <c r="I276" s="2">
        <v>0</v>
      </c>
      <c r="J276" s="2">
        <v>0</v>
      </c>
      <c r="K276" s="2">
        <v>0</v>
      </c>
      <c r="L276" s="2">
        <v>204</v>
      </c>
      <c r="M276" s="2">
        <v>1236</v>
      </c>
      <c r="N276" s="2">
        <v>4165</v>
      </c>
      <c r="O276" s="2">
        <v>1725</v>
      </c>
    </row>
    <row r="277" spans="1:15" x14ac:dyDescent="0.35">
      <c r="A277" s="2">
        <v>3372868164</v>
      </c>
      <c r="B277" s="3">
        <v>42481</v>
      </c>
      <c r="C277" s="2">
        <v>6.0700001720000003</v>
      </c>
      <c r="D277" s="2">
        <v>6.0700001720000003</v>
      </c>
      <c r="E277" s="2">
        <v>0</v>
      </c>
      <c r="F277" s="2">
        <v>1.1499999759999999</v>
      </c>
      <c r="G277" s="2">
        <v>0.25999999000000001</v>
      </c>
      <c r="H277" s="2">
        <v>4.6399998660000001</v>
      </c>
      <c r="I277" s="2">
        <v>0.01</v>
      </c>
      <c r="J277" s="2">
        <v>18</v>
      </c>
      <c r="K277" s="2">
        <v>9</v>
      </c>
      <c r="L277" s="2">
        <v>376</v>
      </c>
      <c r="M277" s="2">
        <v>1037</v>
      </c>
      <c r="N277" s="2">
        <v>8857</v>
      </c>
      <c r="O277" s="2">
        <v>2124</v>
      </c>
    </row>
    <row r="278" spans="1:15" x14ac:dyDescent="0.35">
      <c r="A278" s="2">
        <v>6962181067</v>
      </c>
      <c r="B278" s="3">
        <v>42476</v>
      </c>
      <c r="C278" s="2">
        <v>8.7399997710000008</v>
      </c>
      <c r="D278" s="2">
        <v>8.7399997710000008</v>
      </c>
      <c r="E278" s="2">
        <v>0</v>
      </c>
      <c r="F278" s="2">
        <v>3.6600000860000002</v>
      </c>
      <c r="G278" s="2">
        <v>0.189999998</v>
      </c>
      <c r="H278" s="2">
        <v>4.8800001139999996</v>
      </c>
      <c r="I278" s="2">
        <v>0</v>
      </c>
      <c r="J278" s="2">
        <v>50</v>
      </c>
      <c r="K278" s="2">
        <v>3</v>
      </c>
      <c r="L278" s="2">
        <v>280</v>
      </c>
      <c r="M278" s="2">
        <v>741</v>
      </c>
      <c r="N278" s="2">
        <v>13217</v>
      </c>
      <c r="O278" s="2">
        <v>2173</v>
      </c>
    </row>
    <row r="279" spans="1:15" x14ac:dyDescent="0.35">
      <c r="A279" s="2">
        <v>2026352035</v>
      </c>
      <c r="B279" s="3">
        <v>42618</v>
      </c>
      <c r="C279" s="2">
        <v>6.6199998860000004</v>
      </c>
      <c r="D279" s="2">
        <v>6.6199998860000004</v>
      </c>
      <c r="E279" s="2">
        <v>0</v>
      </c>
      <c r="F279" s="2">
        <v>0</v>
      </c>
      <c r="G279" s="2">
        <v>0</v>
      </c>
      <c r="H279" s="2">
        <v>6.5999999049999998</v>
      </c>
      <c r="I279" s="2">
        <v>0</v>
      </c>
      <c r="J279" s="2">
        <v>0</v>
      </c>
      <c r="K279" s="2">
        <v>0</v>
      </c>
      <c r="L279" s="2">
        <v>401</v>
      </c>
      <c r="M279" s="2">
        <v>543</v>
      </c>
      <c r="N279" s="2">
        <v>10685</v>
      </c>
      <c r="O279" s="2">
        <v>1869</v>
      </c>
    </row>
    <row r="280" spans="1:15" x14ac:dyDescent="0.35">
      <c r="A280" s="2">
        <v>1644430081</v>
      </c>
      <c r="B280" s="3">
        <v>42489</v>
      </c>
      <c r="C280" s="2">
        <v>2.3099999430000002</v>
      </c>
      <c r="D280" s="2">
        <v>2.3099999430000002</v>
      </c>
      <c r="E280" s="2">
        <v>0</v>
      </c>
      <c r="F280" s="2">
        <v>0</v>
      </c>
      <c r="G280" s="2">
        <v>0</v>
      </c>
      <c r="H280" s="2">
        <v>2.3099999430000002</v>
      </c>
      <c r="I280" s="2">
        <v>0</v>
      </c>
      <c r="J280" s="2">
        <v>0</v>
      </c>
      <c r="K280" s="2">
        <v>0</v>
      </c>
      <c r="L280" s="2">
        <v>120</v>
      </c>
      <c r="M280" s="2">
        <v>1193</v>
      </c>
      <c r="N280" s="2">
        <v>3176</v>
      </c>
      <c r="O280" s="2">
        <v>2498</v>
      </c>
    </row>
    <row r="281" spans="1:15" x14ac:dyDescent="0.35">
      <c r="A281" s="2">
        <v>1927972279</v>
      </c>
      <c r="B281" s="3">
        <v>42556</v>
      </c>
      <c r="C281" s="2">
        <v>1.039999962</v>
      </c>
      <c r="D281" s="2">
        <v>1.039999962</v>
      </c>
      <c r="E281" s="2">
        <v>0</v>
      </c>
      <c r="F281" s="2">
        <v>0</v>
      </c>
      <c r="G281" s="2">
        <v>0</v>
      </c>
      <c r="H281" s="2">
        <v>1.039999962</v>
      </c>
      <c r="I281" s="2">
        <v>0</v>
      </c>
      <c r="J281" s="2">
        <v>0</v>
      </c>
      <c r="K281" s="2">
        <v>0</v>
      </c>
      <c r="L281" s="2">
        <v>48</v>
      </c>
      <c r="M281" s="2">
        <v>1392</v>
      </c>
      <c r="N281" s="2">
        <v>1510</v>
      </c>
      <c r="O281" s="2">
        <v>2229</v>
      </c>
    </row>
    <row r="282" spans="1:15" x14ac:dyDescent="0.35">
      <c r="A282" s="2">
        <v>3977333714</v>
      </c>
      <c r="B282" s="3">
        <v>42474</v>
      </c>
      <c r="C282" s="2">
        <v>5.1100001339999999</v>
      </c>
      <c r="D282" s="2">
        <v>5.1100001339999999</v>
      </c>
      <c r="E282" s="2">
        <v>0</v>
      </c>
      <c r="F282" s="2">
        <v>0.31999999299999998</v>
      </c>
      <c r="G282" s="2">
        <v>0.97000002900000004</v>
      </c>
      <c r="H282" s="2">
        <v>3.8199999330000001</v>
      </c>
      <c r="I282" s="2">
        <v>0</v>
      </c>
      <c r="J282" s="2">
        <v>5</v>
      </c>
      <c r="K282" s="2">
        <v>23</v>
      </c>
      <c r="L282" s="2">
        <v>214</v>
      </c>
      <c r="M282" s="2">
        <v>801</v>
      </c>
      <c r="N282" s="2">
        <v>7641</v>
      </c>
      <c r="O282" s="2">
        <v>1433</v>
      </c>
    </row>
    <row r="283" spans="1:15" x14ac:dyDescent="0.35">
      <c r="A283" s="2">
        <v>8877689391</v>
      </c>
      <c r="B283" s="3">
        <v>42679</v>
      </c>
      <c r="C283" s="2">
        <v>19.559999470000001</v>
      </c>
      <c r="D283" s="2">
        <v>19.559999470000001</v>
      </c>
      <c r="E283" s="2">
        <v>0</v>
      </c>
      <c r="F283" s="2">
        <v>13.22000027</v>
      </c>
      <c r="G283" s="2">
        <v>0.40999999599999998</v>
      </c>
      <c r="H283" s="2">
        <v>5.8899998660000001</v>
      </c>
      <c r="I283" s="2">
        <v>0</v>
      </c>
      <c r="J283" s="2">
        <v>88</v>
      </c>
      <c r="K283" s="2">
        <v>12</v>
      </c>
      <c r="L283" s="2">
        <v>213</v>
      </c>
      <c r="M283" s="2">
        <v>1127</v>
      </c>
      <c r="N283" s="2">
        <v>21420</v>
      </c>
      <c r="O283" s="2">
        <v>3832</v>
      </c>
    </row>
    <row r="284" spans="1:15" x14ac:dyDescent="0.35">
      <c r="A284" s="2">
        <v>3372868164</v>
      </c>
      <c r="B284" s="3">
        <v>42708</v>
      </c>
      <c r="C284" s="2">
        <v>3.2400000100000002</v>
      </c>
      <c r="D284" s="2">
        <v>3.2400000100000002</v>
      </c>
      <c r="E284" s="2">
        <v>0</v>
      </c>
      <c r="F284" s="2">
        <v>0</v>
      </c>
      <c r="G284" s="2">
        <v>0</v>
      </c>
      <c r="H284" s="2">
        <v>3.2300000190000002</v>
      </c>
      <c r="I284" s="2">
        <v>0.01</v>
      </c>
      <c r="J284" s="2">
        <v>0</v>
      </c>
      <c r="K284" s="2">
        <v>0</v>
      </c>
      <c r="L284" s="2">
        <v>280</v>
      </c>
      <c r="M284" s="2">
        <v>1160</v>
      </c>
      <c r="N284" s="2">
        <v>4747</v>
      </c>
      <c r="O284" s="2">
        <v>1788</v>
      </c>
    </row>
    <row r="285" spans="1:15" x14ac:dyDescent="0.35">
      <c r="A285" s="2">
        <v>4388161847</v>
      </c>
      <c r="B285" s="3">
        <v>42477</v>
      </c>
      <c r="C285" s="2">
        <v>3.579999924</v>
      </c>
      <c r="D285" s="2">
        <v>3.579999924</v>
      </c>
      <c r="E285" s="2">
        <v>0</v>
      </c>
      <c r="F285" s="2">
        <v>0</v>
      </c>
      <c r="G285" s="2">
        <v>0</v>
      </c>
      <c r="H285" s="2">
        <v>3.579999924</v>
      </c>
      <c r="I285" s="2">
        <v>0</v>
      </c>
      <c r="J285" s="2">
        <v>0</v>
      </c>
      <c r="K285" s="2">
        <v>0</v>
      </c>
      <c r="L285" s="2">
        <v>201</v>
      </c>
      <c r="M285" s="2">
        <v>721</v>
      </c>
      <c r="N285" s="2">
        <v>4660</v>
      </c>
      <c r="O285" s="2">
        <v>2572</v>
      </c>
    </row>
    <row r="286" spans="1:15" x14ac:dyDescent="0.35">
      <c r="A286" s="2">
        <v>3372868164</v>
      </c>
      <c r="B286" s="3">
        <v>42483</v>
      </c>
      <c r="C286" s="2">
        <v>5.0700001720000003</v>
      </c>
      <c r="D286" s="2">
        <v>5.0700001720000003</v>
      </c>
      <c r="E286" s="2">
        <v>0</v>
      </c>
      <c r="F286" s="2">
        <v>1.3999999759999999</v>
      </c>
      <c r="G286" s="2">
        <v>7.9999998000000003E-2</v>
      </c>
      <c r="H286" s="2">
        <v>3.579999924</v>
      </c>
      <c r="I286" s="2">
        <v>0</v>
      </c>
      <c r="J286" s="2">
        <v>20</v>
      </c>
      <c r="K286" s="2">
        <v>2</v>
      </c>
      <c r="L286" s="2">
        <v>303</v>
      </c>
      <c r="M286" s="2">
        <v>1115</v>
      </c>
      <c r="N286" s="2">
        <v>7396</v>
      </c>
      <c r="O286" s="2">
        <v>1995</v>
      </c>
    </row>
    <row r="287" spans="1:15" x14ac:dyDescent="0.35">
      <c r="A287" s="2">
        <v>1927972279</v>
      </c>
      <c r="B287" s="3">
        <v>42482</v>
      </c>
      <c r="C287" s="2">
        <v>0.10000000100000001</v>
      </c>
      <c r="D287" s="2">
        <v>0.10000000100000001</v>
      </c>
      <c r="E287" s="2">
        <v>0</v>
      </c>
      <c r="F287" s="2">
        <v>0</v>
      </c>
      <c r="G287" s="2">
        <v>0</v>
      </c>
      <c r="H287" s="2">
        <v>0.10000000100000001</v>
      </c>
      <c r="I287" s="2">
        <v>0</v>
      </c>
      <c r="J287" s="2">
        <v>0</v>
      </c>
      <c r="K287" s="2">
        <v>0</v>
      </c>
      <c r="L287" s="2">
        <v>10</v>
      </c>
      <c r="M287" s="2">
        <v>1430</v>
      </c>
      <c r="N287" s="2">
        <v>149</v>
      </c>
      <c r="O287" s="2">
        <v>2093</v>
      </c>
    </row>
    <row r="288" spans="1:15" x14ac:dyDescent="0.35">
      <c r="A288" s="2">
        <v>4702921684</v>
      </c>
      <c r="B288" s="3">
        <v>42481</v>
      </c>
      <c r="C288" s="2">
        <v>5.3000001909999996</v>
      </c>
      <c r="D288" s="2">
        <v>5.3000001909999996</v>
      </c>
      <c r="E288" s="2">
        <v>0</v>
      </c>
      <c r="F288" s="2">
        <v>0.310000002</v>
      </c>
      <c r="G288" s="2">
        <v>2.0499999519999998</v>
      </c>
      <c r="H288" s="2">
        <v>2.9400000569999998</v>
      </c>
      <c r="I288" s="2">
        <v>0</v>
      </c>
      <c r="J288" s="2">
        <v>4</v>
      </c>
      <c r="K288" s="2">
        <v>41</v>
      </c>
      <c r="L288" s="2">
        <v>144</v>
      </c>
      <c r="M288" s="2">
        <v>901</v>
      </c>
      <c r="N288" s="2">
        <v>6530</v>
      </c>
      <c r="O288" s="2">
        <v>2729</v>
      </c>
    </row>
    <row r="289" spans="1:15" x14ac:dyDescent="0.35">
      <c r="A289" s="2">
        <v>5577150313</v>
      </c>
      <c r="B289" s="3">
        <v>42473</v>
      </c>
      <c r="C289" s="2">
        <v>3.789999962</v>
      </c>
      <c r="D289" s="2">
        <v>3.789999962</v>
      </c>
      <c r="E289" s="2">
        <v>0</v>
      </c>
      <c r="F289" s="2">
        <v>0.31999999299999998</v>
      </c>
      <c r="G289" s="2">
        <v>0.219999999</v>
      </c>
      <c r="H289" s="2">
        <v>3.25</v>
      </c>
      <c r="I289" s="2">
        <v>0</v>
      </c>
      <c r="J289" s="2">
        <v>15</v>
      </c>
      <c r="K289" s="2">
        <v>11</v>
      </c>
      <c r="L289" s="2">
        <v>144</v>
      </c>
      <c r="M289" s="2">
        <v>776</v>
      </c>
      <c r="N289" s="2">
        <v>5077</v>
      </c>
      <c r="O289" s="2">
        <v>2551</v>
      </c>
    </row>
    <row r="290" spans="1:15" x14ac:dyDescent="0.35">
      <c r="A290" s="2">
        <v>4057192912</v>
      </c>
      <c r="B290" s="3">
        <v>42475</v>
      </c>
      <c r="C290" s="2">
        <v>2.9500000480000002</v>
      </c>
      <c r="D290" s="2">
        <v>2.9500000480000002</v>
      </c>
      <c r="E290" s="2">
        <v>0</v>
      </c>
      <c r="F290" s="2">
        <v>0.209999993</v>
      </c>
      <c r="G290" s="2">
        <v>0.25999999000000001</v>
      </c>
      <c r="H290" s="2">
        <v>2.4400000569999998</v>
      </c>
      <c r="I290" s="2">
        <v>0</v>
      </c>
      <c r="J290" s="2">
        <v>3</v>
      </c>
      <c r="K290" s="2">
        <v>6</v>
      </c>
      <c r="L290" s="2">
        <v>88</v>
      </c>
      <c r="M290" s="2">
        <v>873</v>
      </c>
      <c r="N290" s="2">
        <v>3984</v>
      </c>
      <c r="O290" s="2">
        <v>1527</v>
      </c>
    </row>
    <row r="291" spans="1:15" x14ac:dyDescent="0.35">
      <c r="A291" s="2">
        <v>4702921684</v>
      </c>
      <c r="B291" s="3">
        <v>42473</v>
      </c>
      <c r="C291" s="2">
        <v>5.579999924</v>
      </c>
      <c r="D291" s="2">
        <v>5.579999924</v>
      </c>
      <c r="E291" s="2">
        <v>0</v>
      </c>
      <c r="F291" s="2">
        <v>0</v>
      </c>
      <c r="G291" s="2">
        <v>0</v>
      </c>
      <c r="H291" s="2">
        <v>5.579999924</v>
      </c>
      <c r="I291" s="2">
        <v>0</v>
      </c>
      <c r="J291" s="2">
        <v>0</v>
      </c>
      <c r="K291" s="2">
        <v>0</v>
      </c>
      <c r="L291" s="2">
        <v>258</v>
      </c>
      <c r="M291" s="2">
        <v>777</v>
      </c>
      <c r="N291" s="2">
        <v>6877</v>
      </c>
      <c r="O291" s="2">
        <v>2898</v>
      </c>
    </row>
    <row r="292" spans="1:15" x14ac:dyDescent="0.35">
      <c r="A292" s="2">
        <v>6775888955</v>
      </c>
      <c r="B292" s="3">
        <v>42480</v>
      </c>
      <c r="C292" s="2">
        <v>7.7199997900000001</v>
      </c>
      <c r="D292" s="2">
        <v>7.7199997900000001</v>
      </c>
      <c r="E292" s="2">
        <v>0</v>
      </c>
      <c r="F292" s="2">
        <v>3.7699999809999998</v>
      </c>
      <c r="G292" s="2">
        <v>1.7400000099999999</v>
      </c>
      <c r="H292" s="2">
        <v>2.2200000289999999</v>
      </c>
      <c r="I292" s="2">
        <v>0</v>
      </c>
      <c r="J292" s="2">
        <v>70</v>
      </c>
      <c r="K292" s="2">
        <v>113</v>
      </c>
      <c r="L292" s="2">
        <v>178</v>
      </c>
      <c r="M292" s="2">
        <v>1079</v>
      </c>
      <c r="N292" s="2">
        <v>10771</v>
      </c>
      <c r="O292" s="2">
        <v>3727</v>
      </c>
    </row>
    <row r="293" spans="1:15" x14ac:dyDescent="0.35">
      <c r="A293" s="2">
        <v>8583815059</v>
      </c>
      <c r="B293" s="3">
        <v>42488</v>
      </c>
      <c r="C293" s="2">
        <v>4.8200001720000003</v>
      </c>
      <c r="D293" s="2">
        <v>4.8200001720000003</v>
      </c>
      <c r="E293" s="2">
        <v>0</v>
      </c>
      <c r="F293" s="2">
        <v>0</v>
      </c>
      <c r="G293" s="2">
        <v>1.2000000479999999</v>
      </c>
      <c r="H293" s="2">
        <v>3.6099998950000001</v>
      </c>
      <c r="I293" s="2">
        <v>0</v>
      </c>
      <c r="J293" s="2">
        <v>0</v>
      </c>
      <c r="K293" s="2">
        <v>28</v>
      </c>
      <c r="L293" s="2">
        <v>203</v>
      </c>
      <c r="M293" s="2">
        <v>1209</v>
      </c>
      <c r="N293" s="2">
        <v>6174</v>
      </c>
      <c r="O293" s="2">
        <v>2757</v>
      </c>
    </row>
    <row r="294" spans="1:15" x14ac:dyDescent="0.35">
      <c r="A294" s="2">
        <v>6290855005</v>
      </c>
      <c r="B294" s="3">
        <v>42648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1440</v>
      </c>
      <c r="N294" s="2">
        <v>0</v>
      </c>
      <c r="O294" s="2">
        <v>0</v>
      </c>
    </row>
    <row r="295" spans="1:15" x14ac:dyDescent="0.35">
      <c r="A295" s="2">
        <v>5553957443</v>
      </c>
      <c r="B295" s="3">
        <v>42487</v>
      </c>
      <c r="C295" s="2">
        <v>6.8800001139999996</v>
      </c>
      <c r="D295" s="2">
        <v>6.8800001139999996</v>
      </c>
      <c r="E295" s="2">
        <v>0</v>
      </c>
      <c r="F295" s="2">
        <v>1.1399999860000001</v>
      </c>
      <c r="G295" s="2">
        <v>1</v>
      </c>
      <c r="H295" s="2">
        <v>4.7399997709999999</v>
      </c>
      <c r="I295" s="2">
        <v>0</v>
      </c>
      <c r="J295" s="2">
        <v>16</v>
      </c>
      <c r="K295" s="2">
        <v>16</v>
      </c>
      <c r="L295" s="2">
        <v>206</v>
      </c>
      <c r="M295" s="2">
        <v>745</v>
      </c>
      <c r="N295" s="2">
        <v>10538</v>
      </c>
      <c r="O295" s="2">
        <v>1922</v>
      </c>
    </row>
    <row r="296" spans="1:15" x14ac:dyDescent="0.35">
      <c r="A296" s="2">
        <v>4319703577</v>
      </c>
      <c r="B296" s="3">
        <v>42648</v>
      </c>
      <c r="C296" s="2">
        <v>6.3699998860000004</v>
      </c>
      <c r="D296" s="2">
        <v>6.3699998860000004</v>
      </c>
      <c r="E296" s="2">
        <v>0</v>
      </c>
      <c r="F296" s="2">
        <v>0.209999993</v>
      </c>
      <c r="G296" s="2">
        <v>0.46000000800000002</v>
      </c>
      <c r="H296" s="2">
        <v>5.6999998090000004</v>
      </c>
      <c r="I296" s="2">
        <v>0</v>
      </c>
      <c r="J296" s="2">
        <v>3</v>
      </c>
      <c r="K296" s="2">
        <v>12</v>
      </c>
      <c r="L296" s="2">
        <v>329</v>
      </c>
      <c r="M296" s="2">
        <v>555</v>
      </c>
      <c r="N296" s="2">
        <v>9487</v>
      </c>
      <c r="O296" s="2">
        <v>2260</v>
      </c>
    </row>
    <row r="297" spans="1:15" x14ac:dyDescent="0.35">
      <c r="A297" s="2">
        <v>3977333714</v>
      </c>
      <c r="B297" s="3">
        <v>42477</v>
      </c>
      <c r="C297" s="2">
        <v>6.9699997900000001</v>
      </c>
      <c r="D297" s="2">
        <v>6.9699997900000001</v>
      </c>
      <c r="E297" s="2">
        <v>0</v>
      </c>
      <c r="F297" s="2">
        <v>0.69999998799999996</v>
      </c>
      <c r="G297" s="2">
        <v>2.3499999049999998</v>
      </c>
      <c r="H297" s="2">
        <v>3.920000076</v>
      </c>
      <c r="I297" s="2">
        <v>0</v>
      </c>
      <c r="J297" s="2">
        <v>11</v>
      </c>
      <c r="K297" s="2">
        <v>58</v>
      </c>
      <c r="L297" s="2">
        <v>205</v>
      </c>
      <c r="M297" s="2">
        <v>600</v>
      </c>
      <c r="N297" s="2">
        <v>10415</v>
      </c>
      <c r="O297" s="2">
        <v>1529</v>
      </c>
    </row>
    <row r="298" spans="1:15" x14ac:dyDescent="0.35">
      <c r="A298" s="2">
        <v>2022484408</v>
      </c>
      <c r="B298" s="3">
        <v>42490</v>
      </c>
      <c r="C298" s="2">
        <v>12.90999985</v>
      </c>
      <c r="D298" s="2">
        <v>12.90999985</v>
      </c>
      <c r="E298" s="2">
        <v>0</v>
      </c>
      <c r="F298" s="2">
        <v>0.939999998</v>
      </c>
      <c r="G298" s="2">
        <v>1.3999999759999999</v>
      </c>
      <c r="H298" s="2">
        <v>10.56999969</v>
      </c>
      <c r="I298" s="2">
        <v>0</v>
      </c>
      <c r="J298" s="2">
        <v>13</v>
      </c>
      <c r="K298" s="2">
        <v>23</v>
      </c>
      <c r="L298" s="2">
        <v>361</v>
      </c>
      <c r="M298" s="2">
        <v>1043</v>
      </c>
      <c r="N298" s="2">
        <v>18387</v>
      </c>
      <c r="O298" s="2">
        <v>2732</v>
      </c>
    </row>
    <row r="299" spans="1:15" x14ac:dyDescent="0.35">
      <c r="A299" s="2">
        <v>8053475328</v>
      </c>
      <c r="B299" s="3">
        <v>42485</v>
      </c>
      <c r="C299" s="2">
        <v>15.68999958</v>
      </c>
      <c r="D299" s="2">
        <v>15.68999958</v>
      </c>
      <c r="E299" s="2">
        <v>0</v>
      </c>
      <c r="F299" s="2">
        <v>11.369999890000001</v>
      </c>
      <c r="G299" s="2">
        <v>0.46000000800000002</v>
      </c>
      <c r="H299" s="2">
        <v>3.8599998950000001</v>
      </c>
      <c r="I299" s="2">
        <v>0</v>
      </c>
      <c r="J299" s="2">
        <v>118</v>
      </c>
      <c r="K299" s="2">
        <v>9</v>
      </c>
      <c r="L299" s="2">
        <v>209</v>
      </c>
      <c r="M299" s="2">
        <v>1104</v>
      </c>
      <c r="N299" s="2">
        <v>20500</v>
      </c>
      <c r="O299" s="2">
        <v>3403</v>
      </c>
    </row>
    <row r="300" spans="1:15" x14ac:dyDescent="0.35">
      <c r="A300" s="2">
        <v>8378563200</v>
      </c>
      <c r="B300" s="3">
        <v>42473</v>
      </c>
      <c r="C300" s="2">
        <v>9.8199996949999999</v>
      </c>
      <c r="D300" s="2">
        <v>9.8199996949999999</v>
      </c>
      <c r="E300" s="2">
        <v>2.0921471120000001</v>
      </c>
      <c r="F300" s="2">
        <v>4.9600000380000004</v>
      </c>
      <c r="G300" s="2">
        <v>0.64999997600000003</v>
      </c>
      <c r="H300" s="2">
        <v>4.2100000380000004</v>
      </c>
      <c r="I300" s="2">
        <v>0</v>
      </c>
      <c r="J300" s="2">
        <v>116</v>
      </c>
      <c r="K300" s="2">
        <v>14</v>
      </c>
      <c r="L300" s="2">
        <v>169</v>
      </c>
      <c r="M300" s="2">
        <v>680</v>
      </c>
      <c r="N300" s="2">
        <v>12386</v>
      </c>
      <c r="O300" s="2">
        <v>4079</v>
      </c>
    </row>
    <row r="301" spans="1:15" x14ac:dyDescent="0.35">
      <c r="A301" s="2">
        <v>4020332650</v>
      </c>
      <c r="B301" s="3">
        <v>42488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1440</v>
      </c>
      <c r="N301" s="2">
        <v>0</v>
      </c>
      <c r="O301" s="2">
        <v>1980</v>
      </c>
    </row>
    <row r="302" spans="1:15" x14ac:dyDescent="0.35">
      <c r="A302" s="2">
        <v>8378563200</v>
      </c>
      <c r="B302" s="3">
        <v>42648</v>
      </c>
      <c r="C302" s="2">
        <v>5.2199997900000001</v>
      </c>
      <c r="D302" s="2">
        <v>5.2199997900000001</v>
      </c>
      <c r="E302" s="2">
        <v>2.2530810830000001</v>
      </c>
      <c r="F302" s="2">
        <v>0.66000002599999996</v>
      </c>
      <c r="G302" s="2">
        <v>0.63999998599999997</v>
      </c>
      <c r="H302" s="2">
        <v>3.920000076</v>
      </c>
      <c r="I302" s="2">
        <v>0</v>
      </c>
      <c r="J302" s="2">
        <v>63</v>
      </c>
      <c r="K302" s="2">
        <v>13</v>
      </c>
      <c r="L302" s="2">
        <v>152</v>
      </c>
      <c r="M302" s="2">
        <v>840</v>
      </c>
      <c r="N302" s="2">
        <v>6582</v>
      </c>
      <c r="O302" s="2">
        <v>3586</v>
      </c>
    </row>
    <row r="303" spans="1:15" x14ac:dyDescent="0.35">
      <c r="A303" s="2">
        <v>1644430081</v>
      </c>
      <c r="B303" s="3">
        <v>42648</v>
      </c>
      <c r="C303" s="2">
        <v>6.6599998469999999</v>
      </c>
      <c r="D303" s="2">
        <v>6.6599998469999999</v>
      </c>
      <c r="E303" s="2">
        <v>0</v>
      </c>
      <c r="F303" s="2">
        <v>0.87999999500000003</v>
      </c>
      <c r="G303" s="2">
        <v>0.810000002</v>
      </c>
      <c r="H303" s="2">
        <v>4.9699997900000001</v>
      </c>
      <c r="I303" s="2">
        <v>0.01</v>
      </c>
      <c r="J303" s="2">
        <v>12</v>
      </c>
      <c r="K303" s="2">
        <v>19</v>
      </c>
      <c r="L303" s="2">
        <v>155</v>
      </c>
      <c r="M303" s="2">
        <v>1254</v>
      </c>
      <c r="N303" s="2">
        <v>9167</v>
      </c>
      <c r="O303" s="2">
        <v>2799</v>
      </c>
    </row>
    <row r="304" spans="1:15" x14ac:dyDescent="0.35">
      <c r="A304" s="2">
        <v>8792009665</v>
      </c>
      <c r="B304" s="3">
        <v>42708</v>
      </c>
      <c r="C304" s="2">
        <v>1.6399999860000001</v>
      </c>
      <c r="D304" s="2">
        <v>1.6399999860000001</v>
      </c>
      <c r="E304" s="2">
        <v>0</v>
      </c>
      <c r="F304" s="2">
        <v>0</v>
      </c>
      <c r="G304" s="2">
        <v>0</v>
      </c>
      <c r="H304" s="2">
        <v>1.6399999860000001</v>
      </c>
      <c r="I304" s="2">
        <v>0</v>
      </c>
      <c r="J304" s="2">
        <v>0</v>
      </c>
      <c r="K304" s="2">
        <v>0</v>
      </c>
      <c r="L304" s="2">
        <v>116</v>
      </c>
      <c r="M304" s="2">
        <v>831</v>
      </c>
      <c r="N304" s="2">
        <v>2564</v>
      </c>
      <c r="O304" s="2">
        <v>2044</v>
      </c>
    </row>
    <row r="305" spans="1:15" x14ac:dyDescent="0.35">
      <c r="A305" s="2">
        <v>2022484408</v>
      </c>
      <c r="B305" s="3">
        <v>42618</v>
      </c>
      <c r="C305" s="2">
        <v>9.3900003430000005</v>
      </c>
      <c r="D305" s="2">
        <v>9.3900003430000005</v>
      </c>
      <c r="E305" s="2">
        <v>0</v>
      </c>
      <c r="F305" s="2">
        <v>2.119999886</v>
      </c>
      <c r="G305" s="2">
        <v>1.6299999949999999</v>
      </c>
      <c r="H305" s="2">
        <v>5.6399998660000001</v>
      </c>
      <c r="I305" s="2">
        <v>0</v>
      </c>
      <c r="J305" s="2">
        <v>35</v>
      </c>
      <c r="K305" s="2">
        <v>47</v>
      </c>
      <c r="L305" s="2">
        <v>297</v>
      </c>
      <c r="M305" s="2">
        <v>1061</v>
      </c>
      <c r="N305" s="2">
        <v>13379</v>
      </c>
      <c r="O305" s="2">
        <v>2709</v>
      </c>
    </row>
    <row r="306" spans="1:15" x14ac:dyDescent="0.35">
      <c r="A306" s="2">
        <v>2873212765</v>
      </c>
      <c r="B306" s="3">
        <v>42481</v>
      </c>
      <c r="C306" s="2">
        <v>5.9800000190000002</v>
      </c>
      <c r="D306" s="2">
        <v>5.9800000190000002</v>
      </c>
      <c r="E306" s="2">
        <v>0</v>
      </c>
      <c r="F306" s="2">
        <v>0.12999999500000001</v>
      </c>
      <c r="G306" s="2">
        <v>0.37000000500000002</v>
      </c>
      <c r="H306" s="2">
        <v>5.4699997900000001</v>
      </c>
      <c r="I306" s="2">
        <v>0.01</v>
      </c>
      <c r="J306" s="2">
        <v>2</v>
      </c>
      <c r="K306" s="2">
        <v>10</v>
      </c>
      <c r="L306" s="2">
        <v>371</v>
      </c>
      <c r="M306" s="2">
        <v>1057</v>
      </c>
      <c r="N306" s="2">
        <v>8859</v>
      </c>
      <c r="O306" s="2">
        <v>1970</v>
      </c>
    </row>
    <row r="307" spans="1:15" x14ac:dyDescent="0.35">
      <c r="A307" s="2">
        <v>8378563200</v>
      </c>
      <c r="B307" s="3">
        <v>42434</v>
      </c>
      <c r="C307" s="2">
        <v>6.9099998469999999</v>
      </c>
      <c r="D307" s="2">
        <v>6.9099998469999999</v>
      </c>
      <c r="E307" s="2">
        <v>2.2530810830000001</v>
      </c>
      <c r="F307" s="2">
        <v>1.3400000329999999</v>
      </c>
      <c r="G307" s="2">
        <v>1.059999943</v>
      </c>
      <c r="H307" s="2">
        <v>4.5</v>
      </c>
      <c r="I307" s="2">
        <v>0</v>
      </c>
      <c r="J307" s="2">
        <v>71</v>
      </c>
      <c r="K307" s="2">
        <v>20</v>
      </c>
      <c r="L307" s="2">
        <v>195</v>
      </c>
      <c r="M307" s="2">
        <v>822</v>
      </c>
      <c r="N307" s="2">
        <v>8712</v>
      </c>
      <c r="O307" s="2">
        <v>3784</v>
      </c>
    </row>
    <row r="308" spans="1:15" x14ac:dyDescent="0.35">
      <c r="A308" s="2">
        <v>1644430081</v>
      </c>
      <c r="B308" s="3">
        <v>42479</v>
      </c>
      <c r="C308" s="2">
        <v>8.1800003050000001</v>
      </c>
      <c r="D308" s="2">
        <v>8.1800003050000001</v>
      </c>
      <c r="E308" s="2">
        <v>0</v>
      </c>
      <c r="F308" s="2">
        <v>0.36000001399999998</v>
      </c>
      <c r="G308" s="2">
        <v>2.5299999710000001</v>
      </c>
      <c r="H308" s="2">
        <v>5.3000001909999996</v>
      </c>
      <c r="I308" s="2">
        <v>0</v>
      </c>
      <c r="J308" s="2">
        <v>5</v>
      </c>
      <c r="K308" s="2">
        <v>58</v>
      </c>
      <c r="L308" s="2">
        <v>278</v>
      </c>
      <c r="M308" s="2">
        <v>1099</v>
      </c>
      <c r="N308" s="2">
        <v>11256</v>
      </c>
      <c r="O308" s="2">
        <v>3300</v>
      </c>
    </row>
    <row r="309" spans="1:15" x14ac:dyDescent="0.35">
      <c r="A309" s="2">
        <v>2873212765</v>
      </c>
      <c r="B309" s="3">
        <v>42587</v>
      </c>
      <c r="C309" s="2">
        <v>5.5399999619999996</v>
      </c>
      <c r="D309" s="2">
        <v>5.5399999619999996</v>
      </c>
      <c r="E309" s="2">
        <v>0</v>
      </c>
      <c r="F309" s="2">
        <v>2.9000000950000002</v>
      </c>
      <c r="G309" s="2">
        <v>0</v>
      </c>
      <c r="H309" s="2">
        <v>2.6400001049999999</v>
      </c>
      <c r="I309" s="2">
        <v>0</v>
      </c>
      <c r="J309" s="2">
        <v>46</v>
      </c>
      <c r="K309" s="2">
        <v>0</v>
      </c>
      <c r="L309" s="2">
        <v>326</v>
      </c>
      <c r="M309" s="2">
        <v>1068</v>
      </c>
      <c r="N309" s="2">
        <v>8168</v>
      </c>
      <c r="O309" s="2">
        <v>2096</v>
      </c>
    </row>
    <row r="310" spans="1:15" x14ac:dyDescent="0.35">
      <c r="A310" s="2">
        <v>1927972279</v>
      </c>
      <c r="B310" s="3">
        <v>42480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1440</v>
      </c>
      <c r="N310" s="2">
        <v>0</v>
      </c>
      <c r="O310" s="2">
        <v>2063</v>
      </c>
    </row>
    <row r="311" spans="1:15" x14ac:dyDescent="0.35">
      <c r="A311" s="2">
        <v>3372868164</v>
      </c>
      <c r="B311" s="3">
        <v>42476</v>
      </c>
      <c r="C311" s="2">
        <v>4.7300000190000002</v>
      </c>
      <c r="D311" s="2">
        <v>4.7300000190000002</v>
      </c>
      <c r="E311" s="2">
        <v>0</v>
      </c>
      <c r="F311" s="2">
        <v>0</v>
      </c>
      <c r="G311" s="2">
        <v>0</v>
      </c>
      <c r="H311" s="2">
        <v>4.6999998090000004</v>
      </c>
      <c r="I311" s="2">
        <v>2.9999998999999999E-2</v>
      </c>
      <c r="J311" s="2">
        <v>0</v>
      </c>
      <c r="K311" s="2">
        <v>0</v>
      </c>
      <c r="L311" s="2">
        <v>356</v>
      </c>
      <c r="M311" s="2">
        <v>1084</v>
      </c>
      <c r="N311" s="2">
        <v>6905</v>
      </c>
      <c r="O311" s="2">
        <v>1908</v>
      </c>
    </row>
    <row r="312" spans="1:15" x14ac:dyDescent="0.35">
      <c r="A312" s="2">
        <v>4020332650</v>
      </c>
      <c r="B312" s="3">
        <v>42374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1440</v>
      </c>
      <c r="N312" s="2">
        <v>0</v>
      </c>
      <c r="O312" s="2">
        <v>1980</v>
      </c>
    </row>
    <row r="313" spans="1:15" x14ac:dyDescent="0.35">
      <c r="A313" s="2">
        <v>1927972279</v>
      </c>
      <c r="B313" s="3">
        <v>42434</v>
      </c>
      <c r="C313" s="2">
        <v>0.920000017</v>
      </c>
      <c r="D313" s="2">
        <v>0.920000017</v>
      </c>
      <c r="E313" s="2">
        <v>0</v>
      </c>
      <c r="F313" s="2">
        <v>0.730000019</v>
      </c>
      <c r="G313" s="2">
        <v>0</v>
      </c>
      <c r="H313" s="2">
        <v>0.18000000699999999</v>
      </c>
      <c r="I313" s="2">
        <v>0</v>
      </c>
      <c r="J313" s="2">
        <v>10</v>
      </c>
      <c r="K313" s="2">
        <v>0</v>
      </c>
      <c r="L313" s="2">
        <v>17</v>
      </c>
      <c r="M313" s="2">
        <v>1413</v>
      </c>
      <c r="N313" s="2">
        <v>1326</v>
      </c>
      <c r="O313" s="2">
        <v>2195</v>
      </c>
    </row>
    <row r="314" spans="1:15" x14ac:dyDescent="0.35">
      <c r="A314" s="2">
        <v>1927972279</v>
      </c>
      <c r="B314" s="3">
        <v>42484</v>
      </c>
      <c r="C314" s="2">
        <v>1.4500000479999999</v>
      </c>
      <c r="D314" s="2">
        <v>1.4500000479999999</v>
      </c>
      <c r="E314" s="2">
        <v>0</v>
      </c>
      <c r="F314" s="2">
        <v>7.0000000000000007E-2</v>
      </c>
      <c r="G314" s="2">
        <v>0.23999999499999999</v>
      </c>
      <c r="H314" s="2">
        <v>1.1399999860000001</v>
      </c>
      <c r="I314" s="2">
        <v>0</v>
      </c>
      <c r="J314" s="2">
        <v>1</v>
      </c>
      <c r="K314" s="2">
        <v>6</v>
      </c>
      <c r="L314" s="2">
        <v>75</v>
      </c>
      <c r="M314" s="2">
        <v>1358</v>
      </c>
      <c r="N314" s="2">
        <v>2090</v>
      </c>
      <c r="O314" s="2">
        <v>2324</v>
      </c>
    </row>
    <row r="315" spans="1:15" x14ac:dyDescent="0.35">
      <c r="A315" s="2">
        <v>2022484408</v>
      </c>
      <c r="B315" s="3">
        <v>42482</v>
      </c>
      <c r="C315" s="2">
        <v>9.3299999239999991</v>
      </c>
      <c r="D315" s="2">
        <v>9.3299999239999991</v>
      </c>
      <c r="E315" s="2">
        <v>0</v>
      </c>
      <c r="F315" s="2">
        <v>4.4299998279999997</v>
      </c>
      <c r="G315" s="2">
        <v>0.41999998700000002</v>
      </c>
      <c r="H315" s="2">
        <v>4.4699997900000001</v>
      </c>
      <c r="I315" s="2">
        <v>0</v>
      </c>
      <c r="J315" s="2">
        <v>52</v>
      </c>
      <c r="K315" s="2">
        <v>10</v>
      </c>
      <c r="L315" s="2">
        <v>273</v>
      </c>
      <c r="M315" s="2">
        <v>1105</v>
      </c>
      <c r="N315" s="2">
        <v>12954</v>
      </c>
      <c r="O315" s="2">
        <v>2638</v>
      </c>
    </row>
    <row r="316" spans="1:15" x14ac:dyDescent="0.35">
      <c r="A316" s="2">
        <v>1503960366</v>
      </c>
      <c r="B316" s="3">
        <v>42648</v>
      </c>
      <c r="C316" s="2">
        <v>7.7699999809999998</v>
      </c>
      <c r="D316" s="2">
        <v>7.7699999809999998</v>
      </c>
      <c r="E316" s="2">
        <v>0</v>
      </c>
      <c r="F316" s="2">
        <v>3.3499999049999998</v>
      </c>
      <c r="G316" s="2">
        <v>1.1599999670000001</v>
      </c>
      <c r="H316" s="2">
        <v>3.2599999899999998</v>
      </c>
      <c r="I316" s="2">
        <v>0</v>
      </c>
      <c r="J316" s="2">
        <v>46</v>
      </c>
      <c r="K316" s="2">
        <v>31</v>
      </c>
      <c r="L316" s="2">
        <v>214</v>
      </c>
      <c r="M316" s="2">
        <v>746</v>
      </c>
      <c r="N316" s="2">
        <v>12207</v>
      </c>
      <c r="O316" s="2">
        <v>1859</v>
      </c>
    </row>
    <row r="317" spans="1:15" x14ac:dyDescent="0.35">
      <c r="A317" s="2">
        <v>4702921684</v>
      </c>
      <c r="B317" s="3">
        <v>42434</v>
      </c>
      <c r="C317" s="2">
        <v>7.670000076</v>
      </c>
      <c r="D317" s="2">
        <v>7.670000076</v>
      </c>
      <c r="E317" s="2">
        <v>0</v>
      </c>
      <c r="F317" s="2">
        <v>0</v>
      </c>
      <c r="G317" s="2">
        <v>0</v>
      </c>
      <c r="H317" s="2">
        <v>7.670000076</v>
      </c>
      <c r="I317" s="2">
        <v>0</v>
      </c>
      <c r="J317" s="2">
        <v>0</v>
      </c>
      <c r="K317" s="2">
        <v>0</v>
      </c>
      <c r="L317" s="2">
        <v>313</v>
      </c>
      <c r="M317" s="2">
        <v>729</v>
      </c>
      <c r="N317" s="2">
        <v>9454</v>
      </c>
      <c r="O317" s="2">
        <v>3145</v>
      </c>
    </row>
    <row r="318" spans="1:15" x14ac:dyDescent="0.35">
      <c r="A318" s="2">
        <v>2026352035</v>
      </c>
      <c r="B318" s="3">
        <v>42480</v>
      </c>
      <c r="C318" s="2">
        <v>4.4800000190000002</v>
      </c>
      <c r="D318" s="2">
        <v>4.4800000190000002</v>
      </c>
      <c r="E318" s="2">
        <v>0</v>
      </c>
      <c r="F318" s="2">
        <v>0</v>
      </c>
      <c r="G318" s="2">
        <v>0</v>
      </c>
      <c r="H318" s="2">
        <v>4.4800000190000002</v>
      </c>
      <c r="I318" s="2">
        <v>0</v>
      </c>
      <c r="J318" s="2">
        <v>0</v>
      </c>
      <c r="K318" s="2">
        <v>0</v>
      </c>
      <c r="L318" s="2">
        <v>327</v>
      </c>
      <c r="M318" s="2">
        <v>623</v>
      </c>
      <c r="N318" s="2">
        <v>7222</v>
      </c>
      <c r="O318" s="2">
        <v>1667</v>
      </c>
    </row>
    <row r="319" spans="1:15" x14ac:dyDescent="0.35">
      <c r="A319" s="2">
        <v>6117666160</v>
      </c>
      <c r="B319" s="3">
        <v>42434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1440</v>
      </c>
      <c r="N319" s="2">
        <v>0</v>
      </c>
      <c r="O319" s="2">
        <v>1496</v>
      </c>
    </row>
    <row r="320" spans="1:15" x14ac:dyDescent="0.35">
      <c r="A320" s="2">
        <v>6117666160</v>
      </c>
      <c r="B320" s="3">
        <v>42708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1440</v>
      </c>
      <c r="N320" s="2">
        <v>0</v>
      </c>
      <c r="O320" s="2">
        <v>1496</v>
      </c>
    </row>
    <row r="321" spans="1:15" x14ac:dyDescent="0.35">
      <c r="A321" s="2">
        <v>2022484408</v>
      </c>
      <c r="B321" s="3">
        <v>42487</v>
      </c>
      <c r="C321" s="2">
        <v>7.1300001139999996</v>
      </c>
      <c r="D321" s="2">
        <v>7.1300001139999996</v>
      </c>
      <c r="E321" s="2">
        <v>0</v>
      </c>
      <c r="F321" s="2">
        <v>1.039999962</v>
      </c>
      <c r="G321" s="2">
        <v>0.97000002900000004</v>
      </c>
      <c r="H321" s="2">
        <v>5.1199998860000004</v>
      </c>
      <c r="I321" s="2">
        <v>0</v>
      </c>
      <c r="J321" s="2">
        <v>19</v>
      </c>
      <c r="K321" s="2">
        <v>20</v>
      </c>
      <c r="L321" s="2">
        <v>282</v>
      </c>
      <c r="M321" s="2">
        <v>1119</v>
      </c>
      <c r="N321" s="2">
        <v>10159</v>
      </c>
      <c r="O321" s="2">
        <v>2463</v>
      </c>
    </row>
    <row r="322" spans="1:15" x14ac:dyDescent="0.35">
      <c r="A322" s="2">
        <v>4388161847</v>
      </c>
      <c r="B322" s="3">
        <v>42480</v>
      </c>
      <c r="C322" s="2">
        <v>8.1199998860000004</v>
      </c>
      <c r="D322" s="2">
        <v>8.1199998860000004</v>
      </c>
      <c r="E322" s="2">
        <v>0</v>
      </c>
      <c r="F322" s="2">
        <v>1.1000000240000001</v>
      </c>
      <c r="G322" s="2">
        <v>1.7200000289999999</v>
      </c>
      <c r="H322" s="2">
        <v>5.2899999619999996</v>
      </c>
      <c r="I322" s="2">
        <v>0</v>
      </c>
      <c r="J322" s="2">
        <v>19</v>
      </c>
      <c r="K322" s="2">
        <v>42</v>
      </c>
      <c r="L322" s="2">
        <v>228</v>
      </c>
      <c r="M322" s="2">
        <v>696</v>
      </c>
      <c r="N322" s="2">
        <v>10553</v>
      </c>
      <c r="O322" s="2">
        <v>3083</v>
      </c>
    </row>
    <row r="323" spans="1:15" x14ac:dyDescent="0.35">
      <c r="A323" s="2">
        <v>1927972279</v>
      </c>
      <c r="B323" s="3">
        <v>42489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1440</v>
      </c>
      <c r="N323" s="2">
        <v>0</v>
      </c>
      <c r="O323" s="2">
        <v>2063</v>
      </c>
    </row>
    <row r="324" spans="1:15" x14ac:dyDescent="0.35">
      <c r="A324" s="2">
        <v>2022484408</v>
      </c>
      <c r="B324" s="3">
        <v>42374</v>
      </c>
      <c r="C324" s="2">
        <v>7.4000000950000002</v>
      </c>
      <c r="D324" s="2">
        <v>7.4000000950000002</v>
      </c>
      <c r="E324" s="2">
        <v>0</v>
      </c>
      <c r="F324" s="2">
        <v>1.940000057</v>
      </c>
      <c r="G324" s="2">
        <v>0.959999979</v>
      </c>
      <c r="H324" s="2">
        <v>4.5</v>
      </c>
      <c r="I324" s="2">
        <v>0</v>
      </c>
      <c r="J324" s="2">
        <v>25</v>
      </c>
      <c r="K324" s="2">
        <v>28</v>
      </c>
      <c r="L324" s="2">
        <v>245</v>
      </c>
      <c r="M324" s="2">
        <v>1142</v>
      </c>
      <c r="N324" s="2">
        <v>10538</v>
      </c>
      <c r="O324" s="2">
        <v>2380</v>
      </c>
    </row>
    <row r="325" spans="1:15" x14ac:dyDescent="0.35">
      <c r="A325" s="2">
        <v>1503960366</v>
      </c>
      <c r="B325" s="3">
        <v>42478</v>
      </c>
      <c r="C325" s="2">
        <v>8.5900001530000001</v>
      </c>
      <c r="D325" s="2">
        <v>8.5900001530000001</v>
      </c>
      <c r="E325" s="2">
        <v>0</v>
      </c>
      <c r="F325" s="2">
        <v>3.25</v>
      </c>
      <c r="G325" s="2">
        <v>0.63999998599999997</v>
      </c>
      <c r="H325" s="2">
        <v>4.7100000380000004</v>
      </c>
      <c r="I325" s="2">
        <v>0</v>
      </c>
      <c r="J325" s="2">
        <v>42</v>
      </c>
      <c r="K325" s="2">
        <v>16</v>
      </c>
      <c r="L325" s="2">
        <v>233</v>
      </c>
      <c r="M325" s="2">
        <v>1149</v>
      </c>
      <c r="N325" s="2">
        <v>13019</v>
      </c>
      <c r="O325" s="2">
        <v>1921</v>
      </c>
    </row>
    <row r="326" spans="1:15" x14ac:dyDescent="0.35">
      <c r="A326" s="2">
        <v>6117666160</v>
      </c>
      <c r="B326" s="3">
        <v>42476</v>
      </c>
      <c r="C326" s="2">
        <v>10.90999985</v>
      </c>
      <c r="D326" s="2">
        <v>10.90999985</v>
      </c>
      <c r="E326" s="2">
        <v>0</v>
      </c>
      <c r="F326" s="2">
        <v>0.579999983</v>
      </c>
      <c r="G326" s="2">
        <v>0.85000002399999997</v>
      </c>
      <c r="H326" s="2">
        <v>9.4799995419999998</v>
      </c>
      <c r="I326" s="2">
        <v>0</v>
      </c>
      <c r="J326" s="2">
        <v>7</v>
      </c>
      <c r="K326" s="2">
        <v>15</v>
      </c>
      <c r="L326" s="2">
        <v>518</v>
      </c>
      <c r="M326" s="2">
        <v>502</v>
      </c>
      <c r="N326" s="2">
        <v>14450</v>
      </c>
      <c r="O326" s="2">
        <v>2828</v>
      </c>
    </row>
    <row r="327" spans="1:15" x14ac:dyDescent="0.35">
      <c r="A327" s="2">
        <v>8053475328</v>
      </c>
      <c r="B327" s="3">
        <v>42556</v>
      </c>
      <c r="C327" s="2">
        <v>15.670000079999999</v>
      </c>
      <c r="D327" s="2">
        <v>15.670000079999999</v>
      </c>
      <c r="E327" s="2">
        <v>0</v>
      </c>
      <c r="F327" s="2">
        <v>12.43999958</v>
      </c>
      <c r="G327" s="2">
        <v>0.87999999500000003</v>
      </c>
      <c r="H327" s="2">
        <v>2.3499999049999998</v>
      </c>
      <c r="I327" s="2">
        <v>0</v>
      </c>
      <c r="J327" s="2">
        <v>121</v>
      </c>
      <c r="K327" s="2">
        <v>20</v>
      </c>
      <c r="L327" s="2">
        <v>148</v>
      </c>
      <c r="M327" s="2">
        <v>1076</v>
      </c>
      <c r="N327" s="2">
        <v>19769</v>
      </c>
      <c r="O327" s="2">
        <v>3331</v>
      </c>
    </row>
    <row r="328" spans="1:15" x14ac:dyDescent="0.35">
      <c r="A328" s="2">
        <v>1644430081</v>
      </c>
      <c r="B328" s="3">
        <v>42483</v>
      </c>
      <c r="C328" s="2">
        <v>4.829999924</v>
      </c>
      <c r="D328" s="2">
        <v>4.829999924</v>
      </c>
      <c r="E328" s="2">
        <v>0</v>
      </c>
      <c r="F328" s="2">
        <v>0</v>
      </c>
      <c r="G328" s="2">
        <v>0.579999983</v>
      </c>
      <c r="H328" s="2">
        <v>4.25</v>
      </c>
      <c r="I328" s="2">
        <v>0</v>
      </c>
      <c r="J328" s="2">
        <v>0</v>
      </c>
      <c r="K328" s="2">
        <v>15</v>
      </c>
      <c r="L328" s="2">
        <v>160</v>
      </c>
      <c r="M328" s="2">
        <v>1265</v>
      </c>
      <c r="N328" s="2">
        <v>6637</v>
      </c>
      <c r="O328" s="2">
        <v>2677</v>
      </c>
    </row>
    <row r="329" spans="1:15" x14ac:dyDescent="0.35">
      <c r="A329" s="2">
        <v>6775888955</v>
      </c>
      <c r="B329" s="3">
        <v>42475</v>
      </c>
      <c r="C329" s="2">
        <v>0.920000017</v>
      </c>
      <c r="D329" s="2">
        <v>0.920000017</v>
      </c>
      <c r="E329" s="2">
        <v>0</v>
      </c>
      <c r="F329" s="2">
        <v>0</v>
      </c>
      <c r="G329" s="2">
        <v>0</v>
      </c>
      <c r="H329" s="2">
        <v>0.920000017</v>
      </c>
      <c r="I329" s="2">
        <v>0</v>
      </c>
      <c r="J329" s="2">
        <v>0</v>
      </c>
      <c r="K329" s="2">
        <v>0</v>
      </c>
      <c r="L329" s="2">
        <v>58</v>
      </c>
      <c r="M329" s="2">
        <v>976</v>
      </c>
      <c r="N329" s="2">
        <v>1282</v>
      </c>
      <c r="O329" s="2">
        <v>2127</v>
      </c>
    </row>
    <row r="330" spans="1:15" x14ac:dyDescent="0.35">
      <c r="A330" s="2">
        <v>7007744171</v>
      </c>
      <c r="B330" s="3">
        <v>42374</v>
      </c>
      <c r="C330" s="2">
        <v>3.75</v>
      </c>
      <c r="D330" s="2">
        <v>3.75</v>
      </c>
      <c r="E330" s="2">
        <v>0</v>
      </c>
      <c r="F330" s="2">
        <v>0</v>
      </c>
      <c r="G330" s="2">
        <v>0</v>
      </c>
      <c r="H330" s="2">
        <v>3.75</v>
      </c>
      <c r="I330" s="2">
        <v>0</v>
      </c>
      <c r="J330" s="2">
        <v>0</v>
      </c>
      <c r="K330" s="2">
        <v>0</v>
      </c>
      <c r="L330" s="2">
        <v>237</v>
      </c>
      <c r="M330" s="2">
        <v>1142</v>
      </c>
      <c r="N330" s="2">
        <v>5600</v>
      </c>
      <c r="O330" s="2">
        <v>2225</v>
      </c>
    </row>
    <row r="331" spans="1:15" x14ac:dyDescent="0.35">
      <c r="A331" s="2">
        <v>5553957443</v>
      </c>
      <c r="B331" s="3">
        <v>42483</v>
      </c>
      <c r="C331" s="2">
        <v>2.6900000569999998</v>
      </c>
      <c r="D331" s="2">
        <v>2.6900000569999998</v>
      </c>
      <c r="E331" s="2">
        <v>0</v>
      </c>
      <c r="F331" s="2">
        <v>0</v>
      </c>
      <c r="G331" s="2">
        <v>0</v>
      </c>
      <c r="H331" s="2">
        <v>2.6800000669999999</v>
      </c>
      <c r="I331" s="2">
        <v>0</v>
      </c>
      <c r="J331" s="2">
        <v>0</v>
      </c>
      <c r="K331" s="2">
        <v>0</v>
      </c>
      <c r="L331" s="2">
        <v>272</v>
      </c>
      <c r="M331" s="2">
        <v>443</v>
      </c>
      <c r="N331" s="2">
        <v>4112</v>
      </c>
      <c r="O331" s="2">
        <v>1776</v>
      </c>
    </row>
    <row r="332" spans="1:15" x14ac:dyDescent="0.35">
      <c r="A332" s="2">
        <v>1927972279</v>
      </c>
      <c r="B332" s="3">
        <v>42465</v>
      </c>
      <c r="C332" s="2">
        <v>1.2400000099999999</v>
      </c>
      <c r="D332" s="2">
        <v>1.2400000099999999</v>
      </c>
      <c r="E332" s="2">
        <v>0</v>
      </c>
      <c r="F332" s="2">
        <v>0</v>
      </c>
      <c r="G332" s="2">
        <v>0</v>
      </c>
      <c r="H332" s="2">
        <v>1.2400000099999999</v>
      </c>
      <c r="I332" s="2">
        <v>0</v>
      </c>
      <c r="J332" s="2">
        <v>0</v>
      </c>
      <c r="K332" s="2">
        <v>0</v>
      </c>
      <c r="L332" s="2">
        <v>87</v>
      </c>
      <c r="M332" s="2">
        <v>1353</v>
      </c>
      <c r="N332" s="2">
        <v>1786</v>
      </c>
      <c r="O332" s="2">
        <v>2338</v>
      </c>
    </row>
    <row r="333" spans="1:15" x14ac:dyDescent="0.35">
      <c r="A333" s="2">
        <v>7086361926</v>
      </c>
      <c r="B333" s="3">
        <v>42479</v>
      </c>
      <c r="C333" s="2">
        <v>7.2899999619999996</v>
      </c>
      <c r="D333" s="2">
        <v>7.2899999619999996</v>
      </c>
      <c r="E333" s="2">
        <v>0</v>
      </c>
      <c r="F333" s="2">
        <v>3.5299999710000001</v>
      </c>
      <c r="G333" s="2">
        <v>1.230000019</v>
      </c>
      <c r="H333" s="2">
        <v>2.5099999899999998</v>
      </c>
      <c r="I333" s="2">
        <v>0</v>
      </c>
      <c r="J333" s="2">
        <v>67</v>
      </c>
      <c r="K333" s="2">
        <v>69</v>
      </c>
      <c r="L333" s="2">
        <v>124</v>
      </c>
      <c r="M333" s="2">
        <v>671</v>
      </c>
      <c r="N333" s="2">
        <v>10688</v>
      </c>
      <c r="O333" s="2">
        <v>2944</v>
      </c>
    </row>
    <row r="334" spans="1:15" x14ac:dyDescent="0.35">
      <c r="A334" s="2">
        <v>2320127002</v>
      </c>
      <c r="B334" s="3">
        <v>42490</v>
      </c>
      <c r="C334" s="2">
        <v>3.079999924</v>
      </c>
      <c r="D334" s="2">
        <v>3.079999924</v>
      </c>
      <c r="E334" s="2">
        <v>0</v>
      </c>
      <c r="F334" s="2">
        <v>0</v>
      </c>
      <c r="G334" s="2">
        <v>0</v>
      </c>
      <c r="H334" s="2">
        <v>3.0699999330000001</v>
      </c>
      <c r="I334" s="2">
        <v>0</v>
      </c>
      <c r="J334" s="2">
        <v>0</v>
      </c>
      <c r="K334" s="2">
        <v>0</v>
      </c>
      <c r="L334" s="2">
        <v>234</v>
      </c>
      <c r="M334" s="2">
        <v>1206</v>
      </c>
      <c r="N334" s="2">
        <v>4571</v>
      </c>
      <c r="O334" s="2">
        <v>1779</v>
      </c>
    </row>
    <row r="335" spans="1:15" x14ac:dyDescent="0.35">
      <c r="A335" s="2">
        <v>2320127002</v>
      </c>
      <c r="B335" s="3">
        <v>42476</v>
      </c>
      <c r="C335" s="2">
        <v>3.4100000860000002</v>
      </c>
      <c r="D335" s="2">
        <v>3.4100000860000002</v>
      </c>
      <c r="E335" s="2">
        <v>0</v>
      </c>
      <c r="F335" s="2">
        <v>0</v>
      </c>
      <c r="G335" s="2">
        <v>0</v>
      </c>
      <c r="H335" s="2">
        <v>3.4000000950000002</v>
      </c>
      <c r="I335" s="2">
        <v>0</v>
      </c>
      <c r="J335" s="2">
        <v>0</v>
      </c>
      <c r="K335" s="2">
        <v>0</v>
      </c>
      <c r="L335" s="2">
        <v>195</v>
      </c>
      <c r="M335" s="2">
        <v>1245</v>
      </c>
      <c r="N335" s="2">
        <v>5057</v>
      </c>
      <c r="O335" s="2">
        <v>1724</v>
      </c>
    </row>
    <row r="336" spans="1:15" x14ac:dyDescent="0.35">
      <c r="A336" s="2">
        <v>5553957443</v>
      </c>
      <c r="B336" s="3">
        <v>42485</v>
      </c>
      <c r="C336" s="2">
        <v>7.1900000569999998</v>
      </c>
      <c r="D336" s="2">
        <v>7.1900000569999998</v>
      </c>
      <c r="E336" s="2">
        <v>0</v>
      </c>
      <c r="F336" s="2">
        <v>2.9300000669999999</v>
      </c>
      <c r="G336" s="2">
        <v>0.56999999300000004</v>
      </c>
      <c r="H336" s="2">
        <v>3.6900000569999998</v>
      </c>
      <c r="I336" s="2">
        <v>0</v>
      </c>
      <c r="J336" s="2">
        <v>51</v>
      </c>
      <c r="K336" s="2">
        <v>11</v>
      </c>
      <c r="L336" s="2">
        <v>201</v>
      </c>
      <c r="M336" s="2">
        <v>732</v>
      </c>
      <c r="N336" s="2">
        <v>10946</v>
      </c>
      <c r="O336" s="2">
        <v>2033</v>
      </c>
    </row>
    <row r="337" spans="1:15" x14ac:dyDescent="0.35">
      <c r="A337" s="2">
        <v>4388161847</v>
      </c>
      <c r="B337" s="3">
        <v>42490</v>
      </c>
      <c r="C337" s="2">
        <v>9.6400003430000005</v>
      </c>
      <c r="D337" s="2">
        <v>9.6400003430000005</v>
      </c>
      <c r="E337" s="2">
        <v>0</v>
      </c>
      <c r="F337" s="2">
        <v>0.69999998799999996</v>
      </c>
      <c r="G337" s="2">
        <v>2</v>
      </c>
      <c r="H337" s="2">
        <v>6.9400000569999998</v>
      </c>
      <c r="I337" s="2">
        <v>0</v>
      </c>
      <c r="J337" s="2">
        <v>14</v>
      </c>
      <c r="K337" s="2">
        <v>43</v>
      </c>
      <c r="L337" s="2">
        <v>300</v>
      </c>
      <c r="M337" s="2">
        <v>537</v>
      </c>
      <c r="N337" s="2">
        <v>12533</v>
      </c>
      <c r="O337" s="2">
        <v>3283</v>
      </c>
    </row>
    <row r="338" spans="1:15" x14ac:dyDescent="0.35">
      <c r="A338" s="2">
        <v>1927972279</v>
      </c>
      <c r="B338" s="3">
        <v>42481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1440</v>
      </c>
      <c r="N338" s="2">
        <v>0</v>
      </c>
      <c r="O338" s="2">
        <v>2064</v>
      </c>
    </row>
    <row r="339" spans="1:15" x14ac:dyDescent="0.35">
      <c r="A339" s="2">
        <v>4702921684</v>
      </c>
      <c r="B339" s="3">
        <v>42474</v>
      </c>
      <c r="C339" s="2">
        <v>6.3699998860000004</v>
      </c>
      <c r="D339" s="2">
        <v>6.3699998860000004</v>
      </c>
      <c r="E339" s="2">
        <v>0</v>
      </c>
      <c r="F339" s="2">
        <v>0</v>
      </c>
      <c r="G339" s="2">
        <v>0</v>
      </c>
      <c r="H339" s="2">
        <v>6.3699998860000004</v>
      </c>
      <c r="I339" s="2">
        <v>0</v>
      </c>
      <c r="J339" s="2">
        <v>0</v>
      </c>
      <c r="K339" s="2">
        <v>0</v>
      </c>
      <c r="L339" s="2">
        <v>271</v>
      </c>
      <c r="M339" s="2">
        <v>772</v>
      </c>
      <c r="N339" s="2">
        <v>7860</v>
      </c>
      <c r="O339" s="2">
        <v>2984</v>
      </c>
    </row>
    <row r="340" spans="1:15" x14ac:dyDescent="0.35">
      <c r="A340" s="2">
        <v>4020332650</v>
      </c>
      <c r="B340" s="3">
        <v>42556</v>
      </c>
      <c r="C340" s="2">
        <v>4.4000000950000002</v>
      </c>
      <c r="D340" s="2">
        <v>4.4000000950000002</v>
      </c>
      <c r="E340" s="2">
        <v>0</v>
      </c>
      <c r="F340" s="2">
        <v>0</v>
      </c>
      <c r="G340" s="2">
        <v>0</v>
      </c>
      <c r="H340" s="2">
        <v>3.579999924</v>
      </c>
      <c r="I340" s="2">
        <v>0</v>
      </c>
      <c r="J340" s="2">
        <v>0</v>
      </c>
      <c r="K340" s="2">
        <v>0</v>
      </c>
      <c r="L340" s="2">
        <v>184</v>
      </c>
      <c r="M340" s="2">
        <v>1256</v>
      </c>
      <c r="N340" s="2">
        <v>6132</v>
      </c>
      <c r="O340" s="2">
        <v>2975</v>
      </c>
    </row>
    <row r="341" spans="1:15" x14ac:dyDescent="0.35">
      <c r="A341" s="2">
        <v>2026352035</v>
      </c>
      <c r="B341" s="3">
        <v>42708</v>
      </c>
      <c r="C341" s="2">
        <v>2.7400000100000002</v>
      </c>
      <c r="D341" s="2">
        <v>2.7400000100000002</v>
      </c>
      <c r="E341" s="2">
        <v>0</v>
      </c>
      <c r="F341" s="2">
        <v>0.189999998</v>
      </c>
      <c r="G341" s="2">
        <v>0.34999999399999998</v>
      </c>
      <c r="H341" s="2">
        <v>2.2000000480000002</v>
      </c>
      <c r="I341" s="2">
        <v>0</v>
      </c>
      <c r="J341" s="2">
        <v>3</v>
      </c>
      <c r="K341" s="2">
        <v>8</v>
      </c>
      <c r="L341" s="2">
        <v>181</v>
      </c>
      <c r="M341" s="2">
        <v>706</v>
      </c>
      <c r="N341" s="2">
        <v>4414</v>
      </c>
      <c r="O341" s="2">
        <v>1459</v>
      </c>
    </row>
    <row r="342" spans="1:15" x14ac:dyDescent="0.35">
      <c r="A342" s="2">
        <v>1624580081</v>
      </c>
      <c r="B342" s="3">
        <v>42482</v>
      </c>
      <c r="C342" s="2">
        <v>2.619999886</v>
      </c>
      <c r="D342" s="2">
        <v>2.619999886</v>
      </c>
      <c r="E342" s="2">
        <v>0</v>
      </c>
      <c r="F342" s="2">
        <v>0</v>
      </c>
      <c r="G342" s="2">
        <v>0</v>
      </c>
      <c r="H342" s="2">
        <v>2.5999999049999998</v>
      </c>
      <c r="I342" s="2">
        <v>0</v>
      </c>
      <c r="J342" s="2">
        <v>0</v>
      </c>
      <c r="K342" s="2">
        <v>0</v>
      </c>
      <c r="L342" s="2">
        <v>199</v>
      </c>
      <c r="M342" s="2">
        <v>1241</v>
      </c>
      <c r="N342" s="2">
        <v>4026</v>
      </c>
      <c r="O342" s="2">
        <v>1470</v>
      </c>
    </row>
    <row r="343" spans="1:15" x14ac:dyDescent="0.35">
      <c r="A343" s="2">
        <v>8253242879</v>
      </c>
      <c r="B343" s="3">
        <v>42490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1440</v>
      </c>
      <c r="N343" s="2">
        <v>0</v>
      </c>
      <c r="O343" s="2">
        <v>0</v>
      </c>
    </row>
    <row r="344" spans="1:15" x14ac:dyDescent="0.35">
      <c r="A344" s="2">
        <v>1844505072</v>
      </c>
      <c r="B344" s="3">
        <v>42488</v>
      </c>
      <c r="C344" s="2">
        <v>4.5700001720000003</v>
      </c>
      <c r="D344" s="2">
        <v>4.5700001720000003</v>
      </c>
      <c r="E344" s="2">
        <v>0</v>
      </c>
      <c r="F344" s="2">
        <v>0</v>
      </c>
      <c r="G344" s="2">
        <v>0</v>
      </c>
      <c r="H344" s="2">
        <v>4.5599999430000002</v>
      </c>
      <c r="I344" s="2">
        <v>0</v>
      </c>
      <c r="J344" s="2">
        <v>0</v>
      </c>
      <c r="K344" s="2">
        <v>0</v>
      </c>
      <c r="L344" s="2">
        <v>302</v>
      </c>
      <c r="M344" s="2">
        <v>1138</v>
      </c>
      <c r="N344" s="2">
        <v>6907</v>
      </c>
      <c r="O344" s="2">
        <v>1992</v>
      </c>
    </row>
    <row r="345" spans="1:15" x14ac:dyDescent="0.35">
      <c r="A345" s="2">
        <v>4445114986</v>
      </c>
      <c r="B345" s="3">
        <v>42434</v>
      </c>
      <c r="C345" s="2">
        <v>5.1799998279999997</v>
      </c>
      <c r="D345" s="2">
        <v>5.1799998279999997</v>
      </c>
      <c r="E345" s="2">
        <v>0</v>
      </c>
      <c r="F345" s="2">
        <v>2.4800000190000002</v>
      </c>
      <c r="G345" s="2">
        <v>0.109999999</v>
      </c>
      <c r="H345" s="2">
        <v>2.579999924</v>
      </c>
      <c r="I345" s="2">
        <v>0</v>
      </c>
      <c r="J345" s="2">
        <v>30</v>
      </c>
      <c r="K345" s="2">
        <v>2</v>
      </c>
      <c r="L345" s="2">
        <v>233</v>
      </c>
      <c r="M345" s="2">
        <v>725</v>
      </c>
      <c r="N345" s="2">
        <v>7502</v>
      </c>
      <c r="O345" s="2">
        <v>2421</v>
      </c>
    </row>
    <row r="346" spans="1:15" x14ac:dyDescent="0.35">
      <c r="A346" s="2">
        <v>1624580081</v>
      </c>
      <c r="B346" s="3">
        <v>42556</v>
      </c>
      <c r="C346" s="2">
        <v>1.3700000050000001</v>
      </c>
      <c r="D346" s="2">
        <v>1.3700000050000001</v>
      </c>
      <c r="E346" s="2">
        <v>0</v>
      </c>
      <c r="F346" s="2">
        <v>0</v>
      </c>
      <c r="G346" s="2">
        <v>0</v>
      </c>
      <c r="H346" s="2">
        <v>1.3700000050000001</v>
      </c>
      <c r="I346" s="2">
        <v>0</v>
      </c>
      <c r="J346" s="2">
        <v>0</v>
      </c>
      <c r="K346" s="2">
        <v>0</v>
      </c>
      <c r="L346" s="2">
        <v>182</v>
      </c>
      <c r="M346" s="2">
        <v>1258</v>
      </c>
      <c r="N346" s="2">
        <v>2104</v>
      </c>
      <c r="O346" s="2">
        <v>1474</v>
      </c>
    </row>
    <row r="347" spans="1:15" x14ac:dyDescent="0.35">
      <c r="A347" s="2">
        <v>4020332650</v>
      </c>
      <c r="B347" s="3">
        <v>42477</v>
      </c>
      <c r="C347" s="2">
        <v>0.01</v>
      </c>
      <c r="D347" s="2">
        <v>0.01</v>
      </c>
      <c r="E347" s="2">
        <v>0</v>
      </c>
      <c r="F347" s="2">
        <v>0</v>
      </c>
      <c r="G347" s="2">
        <v>0</v>
      </c>
      <c r="H347" s="2">
        <v>0.01</v>
      </c>
      <c r="I347" s="2">
        <v>0</v>
      </c>
      <c r="J347" s="2">
        <v>0</v>
      </c>
      <c r="K347" s="2">
        <v>0</v>
      </c>
      <c r="L347" s="2">
        <v>2</v>
      </c>
      <c r="M347" s="2">
        <v>1438</v>
      </c>
      <c r="N347" s="2">
        <v>16</v>
      </c>
      <c r="O347" s="2">
        <v>1990</v>
      </c>
    </row>
    <row r="348" spans="1:15" x14ac:dyDescent="0.35">
      <c r="A348" s="2">
        <v>4319703577</v>
      </c>
      <c r="B348" s="3">
        <v>42708</v>
      </c>
      <c r="C348" s="2">
        <v>5.1999998090000004</v>
      </c>
      <c r="D348" s="2">
        <v>5.1999998090000004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1440</v>
      </c>
      <c r="N348" s="2">
        <v>7753</v>
      </c>
      <c r="O348" s="2">
        <v>2115</v>
      </c>
    </row>
    <row r="349" spans="1:15" x14ac:dyDescent="0.35">
      <c r="A349" s="2">
        <v>4702921684</v>
      </c>
      <c r="B349" s="3">
        <v>42465</v>
      </c>
      <c r="C349" s="2">
        <v>6.6199998860000004</v>
      </c>
      <c r="D349" s="2">
        <v>6.6199998860000004</v>
      </c>
      <c r="E349" s="2">
        <v>0</v>
      </c>
      <c r="F349" s="2">
        <v>0.34000000400000002</v>
      </c>
      <c r="G349" s="2">
        <v>0.730000019</v>
      </c>
      <c r="H349" s="2">
        <v>5.5399999619999996</v>
      </c>
      <c r="I349" s="2">
        <v>0</v>
      </c>
      <c r="J349" s="2">
        <v>4</v>
      </c>
      <c r="K349" s="2">
        <v>15</v>
      </c>
      <c r="L349" s="2">
        <v>251</v>
      </c>
      <c r="M349" s="2">
        <v>757</v>
      </c>
      <c r="N349" s="2">
        <v>8161</v>
      </c>
      <c r="O349" s="2">
        <v>3004</v>
      </c>
    </row>
    <row r="350" spans="1:15" x14ac:dyDescent="0.35">
      <c r="A350" s="2">
        <v>1503960366</v>
      </c>
      <c r="B350" s="3">
        <v>42526</v>
      </c>
      <c r="C350" s="2">
        <v>8.0299997330000004</v>
      </c>
      <c r="D350" s="2">
        <v>8.0299997330000004</v>
      </c>
      <c r="E350" s="2">
        <v>0</v>
      </c>
      <c r="F350" s="2">
        <v>1.9700000289999999</v>
      </c>
      <c r="G350" s="2">
        <v>0.25</v>
      </c>
      <c r="H350" s="2">
        <v>5.8099999430000002</v>
      </c>
      <c r="I350" s="2">
        <v>0</v>
      </c>
      <c r="J350" s="2">
        <v>24</v>
      </c>
      <c r="K350" s="2">
        <v>6</v>
      </c>
      <c r="L350" s="2">
        <v>289</v>
      </c>
      <c r="M350" s="2">
        <v>754</v>
      </c>
      <c r="N350" s="2">
        <v>12159</v>
      </c>
      <c r="O350" s="2">
        <v>1896</v>
      </c>
    </row>
    <row r="351" spans="1:15" x14ac:dyDescent="0.35">
      <c r="A351" s="2">
        <v>4319703577</v>
      </c>
      <c r="B351" s="3">
        <v>42709</v>
      </c>
      <c r="C351" s="2">
        <v>0.01</v>
      </c>
      <c r="D351" s="2">
        <v>0.01</v>
      </c>
      <c r="E351" s="2">
        <v>0</v>
      </c>
      <c r="F351" s="2">
        <v>0</v>
      </c>
      <c r="G351" s="2">
        <v>0</v>
      </c>
      <c r="H351" s="2">
        <v>0.01</v>
      </c>
      <c r="I351" s="2">
        <v>0</v>
      </c>
      <c r="J351" s="2">
        <v>0</v>
      </c>
      <c r="K351" s="2">
        <v>0</v>
      </c>
      <c r="L351" s="2">
        <v>2</v>
      </c>
      <c r="M351" s="2">
        <v>0</v>
      </c>
      <c r="N351" s="2">
        <v>17</v>
      </c>
      <c r="O351" s="2">
        <v>257</v>
      </c>
    </row>
    <row r="352" spans="1:15" x14ac:dyDescent="0.35">
      <c r="A352" s="2">
        <v>8792009665</v>
      </c>
      <c r="B352" s="3">
        <v>42489</v>
      </c>
      <c r="C352" s="2">
        <v>5.3499999049999998</v>
      </c>
      <c r="D352" s="2">
        <v>5.3499999049999998</v>
      </c>
      <c r="E352" s="2">
        <v>0</v>
      </c>
      <c r="F352" s="2">
        <v>0.14000000100000001</v>
      </c>
      <c r="G352" s="2">
        <v>0.280000001</v>
      </c>
      <c r="H352" s="2">
        <v>4.9299998279999997</v>
      </c>
      <c r="I352" s="2">
        <v>0</v>
      </c>
      <c r="J352" s="2">
        <v>6</v>
      </c>
      <c r="K352" s="2">
        <v>14</v>
      </c>
      <c r="L352" s="2">
        <v>380</v>
      </c>
      <c r="M352" s="2">
        <v>634</v>
      </c>
      <c r="N352" s="2">
        <v>8360</v>
      </c>
      <c r="O352" s="2">
        <v>3101</v>
      </c>
    </row>
    <row r="353" spans="1:15" x14ac:dyDescent="0.35">
      <c r="A353" s="2">
        <v>4558609924</v>
      </c>
      <c r="B353" s="3">
        <v>42480</v>
      </c>
      <c r="C353" s="2">
        <v>3.170000076</v>
      </c>
      <c r="D353" s="2">
        <v>3.170000076</v>
      </c>
      <c r="E353" s="2">
        <v>0</v>
      </c>
      <c r="F353" s="2">
        <v>0</v>
      </c>
      <c r="G353" s="2">
        <v>0</v>
      </c>
      <c r="H353" s="2">
        <v>3.170000076</v>
      </c>
      <c r="I353" s="2">
        <v>0</v>
      </c>
      <c r="J353" s="2">
        <v>0</v>
      </c>
      <c r="K353" s="2">
        <v>0</v>
      </c>
      <c r="L353" s="2">
        <v>222</v>
      </c>
      <c r="M353" s="2">
        <v>1218</v>
      </c>
      <c r="N353" s="2">
        <v>4803</v>
      </c>
      <c r="O353" s="2">
        <v>1788</v>
      </c>
    </row>
    <row r="354" spans="1:15" x14ac:dyDescent="0.35">
      <c r="A354" s="2">
        <v>3977333714</v>
      </c>
      <c r="B354" s="3">
        <v>42465</v>
      </c>
      <c r="C354" s="2">
        <v>9.4399995800000003</v>
      </c>
      <c r="D354" s="2">
        <v>9.4399995800000003</v>
      </c>
      <c r="E354" s="2">
        <v>0</v>
      </c>
      <c r="F354" s="2">
        <v>1.809999943</v>
      </c>
      <c r="G354" s="2">
        <v>4.579999924</v>
      </c>
      <c r="H354" s="2">
        <v>2.8900001049999999</v>
      </c>
      <c r="I354" s="2">
        <v>0</v>
      </c>
      <c r="J354" s="2">
        <v>14</v>
      </c>
      <c r="K354" s="2">
        <v>96</v>
      </c>
      <c r="L354" s="2">
        <v>142</v>
      </c>
      <c r="M354" s="2">
        <v>852</v>
      </c>
      <c r="N354" s="2">
        <v>13559</v>
      </c>
      <c r="O354" s="2">
        <v>1628</v>
      </c>
    </row>
    <row r="355" spans="1:15" x14ac:dyDescent="0.35">
      <c r="A355" s="2">
        <v>1624580081</v>
      </c>
      <c r="B355" s="3">
        <v>42405</v>
      </c>
      <c r="C355" s="2">
        <v>4.9299998279999997</v>
      </c>
      <c r="D355" s="2">
        <v>4.9299998279999997</v>
      </c>
      <c r="E355" s="2">
        <v>0</v>
      </c>
      <c r="F355" s="2">
        <v>0.86000001400000003</v>
      </c>
      <c r="G355" s="2">
        <v>0.58999997400000004</v>
      </c>
      <c r="H355" s="2">
        <v>3.4700000289999999</v>
      </c>
      <c r="I355" s="2">
        <v>0</v>
      </c>
      <c r="J355" s="2">
        <v>7</v>
      </c>
      <c r="K355" s="2">
        <v>6</v>
      </c>
      <c r="L355" s="2">
        <v>166</v>
      </c>
      <c r="M355" s="2">
        <v>1261</v>
      </c>
      <c r="N355" s="2">
        <v>7155</v>
      </c>
      <c r="O355" s="2">
        <v>1497</v>
      </c>
    </row>
    <row r="356" spans="1:15" x14ac:dyDescent="0.35">
      <c r="A356" s="2">
        <v>4558609924</v>
      </c>
      <c r="B356" s="3">
        <v>42483</v>
      </c>
      <c r="C356" s="2">
        <v>4.5500001909999996</v>
      </c>
      <c r="D356" s="2">
        <v>4.5500001909999996</v>
      </c>
      <c r="E356" s="2">
        <v>0</v>
      </c>
      <c r="F356" s="2">
        <v>0.34000000400000002</v>
      </c>
      <c r="G356" s="2">
        <v>0.20000000300000001</v>
      </c>
      <c r="H356" s="2">
        <v>4.0100002290000001</v>
      </c>
      <c r="I356" s="2">
        <v>0</v>
      </c>
      <c r="J356" s="2">
        <v>5</v>
      </c>
      <c r="K356" s="2">
        <v>5</v>
      </c>
      <c r="L356" s="2">
        <v>308</v>
      </c>
      <c r="M356" s="2">
        <v>1122</v>
      </c>
      <c r="N356" s="2">
        <v>6890</v>
      </c>
      <c r="O356" s="2">
        <v>2085</v>
      </c>
    </row>
    <row r="357" spans="1:15" x14ac:dyDescent="0.35">
      <c r="A357" s="2">
        <v>8583815059</v>
      </c>
      <c r="B357" s="3">
        <v>42485</v>
      </c>
      <c r="C357" s="2">
        <v>3.5099999899999998</v>
      </c>
      <c r="D357" s="2">
        <v>3.5099999899999998</v>
      </c>
      <c r="E357" s="2">
        <v>0</v>
      </c>
      <c r="F357" s="2">
        <v>1.4700000289999999</v>
      </c>
      <c r="G357" s="2">
        <v>0.23999999499999999</v>
      </c>
      <c r="H357" s="2">
        <v>1.809999943</v>
      </c>
      <c r="I357" s="2">
        <v>0</v>
      </c>
      <c r="J357" s="2">
        <v>18</v>
      </c>
      <c r="K357" s="2">
        <v>6</v>
      </c>
      <c r="L357" s="2">
        <v>122</v>
      </c>
      <c r="M357" s="2">
        <v>1294</v>
      </c>
      <c r="N357" s="2">
        <v>4503</v>
      </c>
      <c r="O357" s="2">
        <v>2547</v>
      </c>
    </row>
    <row r="358" spans="1:15" x14ac:dyDescent="0.35">
      <c r="A358" s="2">
        <v>5577150313</v>
      </c>
      <c r="B358" s="3">
        <v>42587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1440</v>
      </c>
      <c r="N358" s="2">
        <v>0</v>
      </c>
      <c r="O358" s="2">
        <v>1819</v>
      </c>
    </row>
    <row r="359" spans="1:15" x14ac:dyDescent="0.35">
      <c r="A359" s="2">
        <v>2347167796</v>
      </c>
      <c r="B359" s="3">
        <v>42489</v>
      </c>
      <c r="C359" s="2">
        <v>2.9999998999999999E-2</v>
      </c>
      <c r="D359" s="2">
        <v>2.9999998999999999E-2</v>
      </c>
      <c r="E359" s="2">
        <v>0</v>
      </c>
      <c r="F359" s="2">
        <v>0</v>
      </c>
      <c r="G359" s="2">
        <v>0</v>
      </c>
      <c r="H359" s="2">
        <v>2.9999998999999999E-2</v>
      </c>
      <c r="I359" s="2">
        <v>0</v>
      </c>
      <c r="J359" s="2">
        <v>0</v>
      </c>
      <c r="K359" s="2">
        <v>0</v>
      </c>
      <c r="L359" s="2">
        <v>4</v>
      </c>
      <c r="M359" s="2">
        <v>2</v>
      </c>
      <c r="N359" s="2">
        <v>42</v>
      </c>
      <c r="O359" s="2">
        <v>403</v>
      </c>
    </row>
    <row r="360" spans="1:15" x14ac:dyDescent="0.35">
      <c r="A360" s="2">
        <v>8053475328</v>
      </c>
      <c r="B360" s="3">
        <v>42484</v>
      </c>
      <c r="C360" s="2">
        <v>17.950000760000002</v>
      </c>
      <c r="D360" s="2">
        <v>17.950000760000002</v>
      </c>
      <c r="E360" s="2">
        <v>0</v>
      </c>
      <c r="F360" s="2">
        <v>13.130000109999999</v>
      </c>
      <c r="G360" s="2">
        <v>1.5499999520000001</v>
      </c>
      <c r="H360" s="2">
        <v>3.2599999899999998</v>
      </c>
      <c r="I360" s="2">
        <v>0</v>
      </c>
      <c r="J360" s="2">
        <v>129</v>
      </c>
      <c r="K360" s="2">
        <v>33</v>
      </c>
      <c r="L360" s="2">
        <v>182</v>
      </c>
      <c r="M360" s="2">
        <v>1096</v>
      </c>
      <c r="N360" s="2">
        <v>22988</v>
      </c>
      <c r="O360" s="2">
        <v>3577</v>
      </c>
    </row>
    <row r="361" spans="1:15" x14ac:dyDescent="0.35">
      <c r="A361" s="2">
        <v>6775888955</v>
      </c>
      <c r="B361" s="3">
        <v>42478</v>
      </c>
      <c r="C361" s="2">
        <v>5.9499998090000004</v>
      </c>
      <c r="D361" s="2">
        <v>5.9499998090000004</v>
      </c>
      <c r="E361" s="2">
        <v>0</v>
      </c>
      <c r="F361" s="2">
        <v>2</v>
      </c>
      <c r="G361" s="2">
        <v>0.769999981</v>
      </c>
      <c r="H361" s="2">
        <v>3.170000076</v>
      </c>
      <c r="I361" s="2">
        <v>0</v>
      </c>
      <c r="J361" s="2">
        <v>30</v>
      </c>
      <c r="K361" s="2">
        <v>31</v>
      </c>
      <c r="L361" s="2">
        <v>146</v>
      </c>
      <c r="M361" s="2">
        <v>1233</v>
      </c>
      <c r="N361" s="2">
        <v>8294</v>
      </c>
      <c r="O361" s="2">
        <v>2798</v>
      </c>
    </row>
    <row r="362" spans="1:15" x14ac:dyDescent="0.35">
      <c r="A362" s="2">
        <v>4445114986</v>
      </c>
      <c r="B362" s="3">
        <v>42482</v>
      </c>
      <c r="C362" s="2">
        <v>4.579999924</v>
      </c>
      <c r="D362" s="2">
        <v>4.579999924</v>
      </c>
      <c r="E362" s="2">
        <v>0</v>
      </c>
      <c r="F362" s="2">
        <v>0</v>
      </c>
      <c r="G362" s="2">
        <v>0</v>
      </c>
      <c r="H362" s="2">
        <v>4.579999924</v>
      </c>
      <c r="I362" s="2">
        <v>0</v>
      </c>
      <c r="J362" s="2">
        <v>0</v>
      </c>
      <c r="K362" s="2">
        <v>0</v>
      </c>
      <c r="L362" s="2">
        <v>317</v>
      </c>
      <c r="M362" s="2">
        <v>706</v>
      </c>
      <c r="N362" s="2">
        <v>6831</v>
      </c>
      <c r="O362" s="2">
        <v>2432</v>
      </c>
    </row>
    <row r="363" spans="1:15" x14ac:dyDescent="0.35">
      <c r="A363" s="2">
        <v>6962181067</v>
      </c>
      <c r="B363" s="3">
        <v>42587</v>
      </c>
      <c r="C363" s="2">
        <v>2.7699999809999998</v>
      </c>
      <c r="D363" s="2">
        <v>2.7699999809999998</v>
      </c>
      <c r="E363" s="2">
        <v>0</v>
      </c>
      <c r="F363" s="2">
        <v>0</v>
      </c>
      <c r="G363" s="2">
        <v>0.519999981</v>
      </c>
      <c r="H363" s="2">
        <v>2.25</v>
      </c>
      <c r="I363" s="2">
        <v>0</v>
      </c>
      <c r="J363" s="2">
        <v>0</v>
      </c>
      <c r="K363" s="2">
        <v>14</v>
      </c>
      <c r="L363" s="2">
        <v>151</v>
      </c>
      <c r="M363" s="2">
        <v>709</v>
      </c>
      <c r="N363" s="2">
        <v>4188</v>
      </c>
      <c r="O363" s="2">
        <v>1659</v>
      </c>
    </row>
    <row r="364" spans="1:15" x14ac:dyDescent="0.35">
      <c r="A364" s="2">
        <v>1503960366</v>
      </c>
      <c r="B364" s="3">
        <v>42490</v>
      </c>
      <c r="C364" s="2">
        <v>9.25</v>
      </c>
      <c r="D364" s="2">
        <v>9.25</v>
      </c>
      <c r="E364" s="2">
        <v>0</v>
      </c>
      <c r="F364" s="2">
        <v>3.5599999430000002</v>
      </c>
      <c r="G364" s="2">
        <v>1.4199999569999999</v>
      </c>
      <c r="H364" s="2">
        <v>4.2699999809999998</v>
      </c>
      <c r="I364" s="2">
        <v>0</v>
      </c>
      <c r="J364" s="2">
        <v>52</v>
      </c>
      <c r="K364" s="2">
        <v>34</v>
      </c>
      <c r="L364" s="2">
        <v>217</v>
      </c>
      <c r="M364" s="2">
        <v>712</v>
      </c>
      <c r="N364" s="2">
        <v>14673</v>
      </c>
      <c r="O364" s="2">
        <v>1947</v>
      </c>
    </row>
    <row r="365" spans="1:15" x14ac:dyDescent="0.35">
      <c r="A365" s="2">
        <v>6962181067</v>
      </c>
      <c r="B365" s="3">
        <v>42480</v>
      </c>
      <c r="C365" s="2">
        <v>9.5500001910000005</v>
      </c>
      <c r="D365" s="2">
        <v>9.5500001910000005</v>
      </c>
      <c r="E365" s="2">
        <v>0</v>
      </c>
      <c r="F365" s="2">
        <v>4.2800002099999999</v>
      </c>
      <c r="G365" s="2">
        <v>0.189999998</v>
      </c>
      <c r="H365" s="2">
        <v>5.0900001530000001</v>
      </c>
      <c r="I365" s="2">
        <v>0</v>
      </c>
      <c r="J365" s="2">
        <v>48</v>
      </c>
      <c r="K365" s="2">
        <v>4</v>
      </c>
      <c r="L365" s="2">
        <v>297</v>
      </c>
      <c r="M365" s="2">
        <v>639</v>
      </c>
      <c r="N365" s="2">
        <v>13928</v>
      </c>
      <c r="O365" s="2">
        <v>2174</v>
      </c>
    </row>
    <row r="366" spans="1:15" x14ac:dyDescent="0.35">
      <c r="A366" s="2">
        <v>4702921684</v>
      </c>
      <c r="B366" s="3">
        <v>42618</v>
      </c>
      <c r="C366" s="2">
        <v>6.6799998279999997</v>
      </c>
      <c r="D366" s="2">
        <v>6.6799998279999997</v>
      </c>
      <c r="E366" s="2">
        <v>0</v>
      </c>
      <c r="F366" s="2">
        <v>0</v>
      </c>
      <c r="G366" s="2">
        <v>0.56999999300000004</v>
      </c>
      <c r="H366" s="2">
        <v>6.0999999049999998</v>
      </c>
      <c r="I366" s="2">
        <v>0</v>
      </c>
      <c r="J366" s="2">
        <v>0</v>
      </c>
      <c r="K366" s="2">
        <v>12</v>
      </c>
      <c r="L366" s="2">
        <v>253</v>
      </c>
      <c r="M366" s="2">
        <v>746</v>
      </c>
      <c r="N366" s="2">
        <v>8232</v>
      </c>
      <c r="O366" s="2">
        <v>2990</v>
      </c>
    </row>
    <row r="367" spans="1:15" x14ac:dyDescent="0.35">
      <c r="A367" s="2">
        <v>7086361926</v>
      </c>
      <c r="B367" s="3">
        <v>42485</v>
      </c>
      <c r="C367" s="2">
        <v>6.8200001720000003</v>
      </c>
      <c r="D367" s="2">
        <v>6.8200001720000003</v>
      </c>
      <c r="E367" s="2">
        <v>0</v>
      </c>
      <c r="F367" s="2">
        <v>3.75</v>
      </c>
      <c r="G367" s="2">
        <v>0.69999998799999996</v>
      </c>
      <c r="H367" s="2">
        <v>2.369999886</v>
      </c>
      <c r="I367" s="2">
        <v>0</v>
      </c>
      <c r="J367" s="2">
        <v>69</v>
      </c>
      <c r="K367" s="2">
        <v>39</v>
      </c>
      <c r="L367" s="2">
        <v>129</v>
      </c>
      <c r="M367" s="2">
        <v>706</v>
      </c>
      <c r="N367" s="2">
        <v>10091</v>
      </c>
      <c r="O367" s="2">
        <v>2752</v>
      </c>
    </row>
    <row r="368" spans="1:15" x14ac:dyDescent="0.35">
      <c r="A368" s="2">
        <v>1644430081</v>
      </c>
      <c r="B368" s="3">
        <v>42434</v>
      </c>
      <c r="C368" s="2">
        <v>9.3400001530000001</v>
      </c>
      <c r="D368" s="2">
        <v>9.3400001530000001</v>
      </c>
      <c r="E368" s="2">
        <v>0</v>
      </c>
      <c r="F368" s="2">
        <v>0.72000002900000004</v>
      </c>
      <c r="G368" s="2">
        <v>4.0900001530000001</v>
      </c>
      <c r="H368" s="2">
        <v>4.5399999619999996</v>
      </c>
      <c r="I368" s="2">
        <v>0</v>
      </c>
      <c r="J368" s="2">
        <v>10</v>
      </c>
      <c r="K368" s="2">
        <v>94</v>
      </c>
      <c r="L368" s="2">
        <v>221</v>
      </c>
      <c r="M368" s="2">
        <v>1115</v>
      </c>
      <c r="N368" s="2">
        <v>12850</v>
      </c>
      <c r="O368" s="2">
        <v>3324</v>
      </c>
    </row>
    <row r="369" spans="1:15" x14ac:dyDescent="0.35">
      <c r="A369" s="2">
        <v>1624580081</v>
      </c>
      <c r="B369" s="3">
        <v>42709</v>
      </c>
      <c r="C369" s="2">
        <v>1.9299999480000001</v>
      </c>
      <c r="D369" s="2">
        <v>1.9299999480000001</v>
      </c>
      <c r="E369" s="2">
        <v>0</v>
      </c>
      <c r="F369" s="2">
        <v>0</v>
      </c>
      <c r="G369" s="2">
        <v>0</v>
      </c>
      <c r="H369" s="2">
        <v>1.9199999569999999</v>
      </c>
      <c r="I369" s="2">
        <v>0.01</v>
      </c>
      <c r="J369" s="2">
        <v>0</v>
      </c>
      <c r="K369" s="2">
        <v>0</v>
      </c>
      <c r="L369" s="2">
        <v>107</v>
      </c>
      <c r="M369" s="2">
        <v>890</v>
      </c>
      <c r="N369" s="2">
        <v>2971</v>
      </c>
      <c r="O369" s="2">
        <v>1002</v>
      </c>
    </row>
    <row r="370" spans="1:15" x14ac:dyDescent="0.35">
      <c r="A370" s="2">
        <v>2873212765</v>
      </c>
      <c r="B370" s="3">
        <v>42479</v>
      </c>
      <c r="C370" s="2">
        <v>5.3699998860000004</v>
      </c>
      <c r="D370" s="2">
        <v>5.3699998860000004</v>
      </c>
      <c r="E370" s="2">
        <v>0</v>
      </c>
      <c r="F370" s="2">
        <v>0</v>
      </c>
      <c r="G370" s="2">
        <v>0</v>
      </c>
      <c r="H370" s="2">
        <v>5.3600001339999999</v>
      </c>
      <c r="I370" s="2">
        <v>0</v>
      </c>
      <c r="J370" s="2">
        <v>0</v>
      </c>
      <c r="K370" s="2">
        <v>0</v>
      </c>
      <c r="L370" s="2">
        <v>389</v>
      </c>
      <c r="M370" s="2">
        <v>1051</v>
      </c>
      <c r="N370" s="2">
        <v>7948</v>
      </c>
      <c r="O370" s="2">
        <v>1956</v>
      </c>
    </row>
    <row r="371" spans="1:15" x14ac:dyDescent="0.35">
      <c r="A371" s="2">
        <v>2873212765</v>
      </c>
      <c r="B371" s="3">
        <v>42405</v>
      </c>
      <c r="C371" s="2">
        <v>5.0599999430000002</v>
      </c>
      <c r="D371" s="2">
        <v>5.0599999430000002</v>
      </c>
      <c r="E371" s="2">
        <v>0</v>
      </c>
      <c r="F371" s="2">
        <v>0</v>
      </c>
      <c r="G371" s="2">
        <v>0.209999993</v>
      </c>
      <c r="H371" s="2">
        <v>4.829999924</v>
      </c>
      <c r="I371" s="2">
        <v>0.02</v>
      </c>
      <c r="J371" s="2">
        <v>0</v>
      </c>
      <c r="K371" s="2">
        <v>7</v>
      </c>
      <c r="L371" s="2">
        <v>334</v>
      </c>
      <c r="M371" s="2">
        <v>1099</v>
      </c>
      <c r="N371" s="2">
        <v>7525</v>
      </c>
      <c r="O371" s="2">
        <v>1878</v>
      </c>
    </row>
    <row r="372" spans="1:15" x14ac:dyDescent="0.35">
      <c r="A372" s="2">
        <v>4020332650</v>
      </c>
      <c r="B372" s="3">
        <v>42486</v>
      </c>
      <c r="C372" s="2">
        <v>0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1440</v>
      </c>
      <c r="N372" s="2">
        <v>0</v>
      </c>
      <c r="O372" s="2">
        <v>1980</v>
      </c>
    </row>
    <row r="373" spans="1:15" x14ac:dyDescent="0.35">
      <c r="A373" s="2">
        <v>4020332650</v>
      </c>
      <c r="B373" s="3">
        <v>42480</v>
      </c>
      <c r="C373" s="2">
        <v>0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1440</v>
      </c>
      <c r="N373" s="2">
        <v>0</v>
      </c>
      <c r="O373" s="2">
        <v>1980</v>
      </c>
    </row>
    <row r="374" spans="1:15" x14ac:dyDescent="0.35">
      <c r="A374" s="2">
        <v>4445114986</v>
      </c>
      <c r="B374" s="3">
        <v>42478</v>
      </c>
      <c r="C374" s="2">
        <v>4.2399997709999999</v>
      </c>
      <c r="D374" s="2">
        <v>4.2399997709999999</v>
      </c>
      <c r="E374" s="2">
        <v>0</v>
      </c>
      <c r="F374" s="2">
        <v>2</v>
      </c>
      <c r="G374" s="2">
        <v>0.28999999199999998</v>
      </c>
      <c r="H374" s="2">
        <v>1.9500000479999999</v>
      </c>
      <c r="I374" s="2">
        <v>0</v>
      </c>
      <c r="J374" s="2">
        <v>25</v>
      </c>
      <c r="K374" s="2">
        <v>6</v>
      </c>
      <c r="L374" s="2">
        <v>162</v>
      </c>
      <c r="M374" s="2">
        <v>1247</v>
      </c>
      <c r="N374" s="2">
        <v>6155</v>
      </c>
      <c r="O374" s="2">
        <v>2248</v>
      </c>
    </row>
    <row r="375" spans="1:15" x14ac:dyDescent="0.35">
      <c r="A375" s="2">
        <v>2873212765</v>
      </c>
      <c r="B375" s="3">
        <v>42485</v>
      </c>
      <c r="C375" s="2">
        <v>4.9499998090000004</v>
      </c>
      <c r="D375" s="2">
        <v>4.9499998090000004</v>
      </c>
      <c r="E375" s="2">
        <v>0</v>
      </c>
      <c r="F375" s="2">
        <v>0</v>
      </c>
      <c r="G375" s="2">
        <v>0</v>
      </c>
      <c r="H375" s="2">
        <v>4.9499998090000004</v>
      </c>
      <c r="I375" s="2">
        <v>0</v>
      </c>
      <c r="J375" s="2">
        <v>0</v>
      </c>
      <c r="K375" s="2">
        <v>0</v>
      </c>
      <c r="L375" s="2">
        <v>359</v>
      </c>
      <c r="M375" s="2">
        <v>1081</v>
      </c>
      <c r="N375" s="2">
        <v>7373</v>
      </c>
      <c r="O375" s="2">
        <v>1907</v>
      </c>
    </row>
    <row r="376" spans="1:15" x14ac:dyDescent="0.35">
      <c r="A376" s="2">
        <v>1503960366</v>
      </c>
      <c r="B376" s="3">
        <v>42484</v>
      </c>
      <c r="C376" s="2">
        <v>6.4099998469999999</v>
      </c>
      <c r="D376" s="2">
        <v>6.4099998469999999</v>
      </c>
      <c r="E376" s="2">
        <v>0</v>
      </c>
      <c r="F376" s="2">
        <v>2.920000076</v>
      </c>
      <c r="G376" s="2">
        <v>0.209999993</v>
      </c>
      <c r="H376" s="2">
        <v>3.2799999710000001</v>
      </c>
      <c r="I376" s="2">
        <v>0</v>
      </c>
      <c r="J376" s="2">
        <v>39</v>
      </c>
      <c r="K376" s="2">
        <v>5</v>
      </c>
      <c r="L376" s="2">
        <v>238</v>
      </c>
      <c r="M376" s="2">
        <v>709</v>
      </c>
      <c r="N376" s="2">
        <v>10039</v>
      </c>
      <c r="O376" s="2">
        <v>1788</v>
      </c>
    </row>
    <row r="377" spans="1:15" x14ac:dyDescent="0.35">
      <c r="A377" s="2">
        <v>2022484408</v>
      </c>
      <c r="B377" s="3">
        <v>42648</v>
      </c>
      <c r="C377" s="2">
        <v>8.9799995419999998</v>
      </c>
      <c r="D377" s="2">
        <v>8.9799995419999998</v>
      </c>
      <c r="E377" s="2">
        <v>0</v>
      </c>
      <c r="F377" s="2">
        <v>2.2200000289999999</v>
      </c>
      <c r="G377" s="2">
        <v>1.210000038</v>
      </c>
      <c r="H377" s="2">
        <v>5.5599999430000002</v>
      </c>
      <c r="I377" s="2">
        <v>0</v>
      </c>
      <c r="J377" s="2">
        <v>57</v>
      </c>
      <c r="K377" s="2">
        <v>28</v>
      </c>
      <c r="L377" s="2">
        <v>271</v>
      </c>
      <c r="M377" s="2">
        <v>1084</v>
      </c>
      <c r="N377" s="2">
        <v>12798</v>
      </c>
      <c r="O377" s="2">
        <v>2797</v>
      </c>
    </row>
    <row r="378" spans="1:15" x14ac:dyDescent="0.35">
      <c r="A378" s="2">
        <v>4020332650</v>
      </c>
      <c r="B378" s="3">
        <v>42465</v>
      </c>
      <c r="C378" s="2">
        <v>7.3499999049999998</v>
      </c>
      <c r="D378" s="2">
        <v>7.3499999049999998</v>
      </c>
      <c r="E378" s="2">
        <v>0</v>
      </c>
      <c r="F378" s="2">
        <v>0.670000017</v>
      </c>
      <c r="G378" s="2">
        <v>1.039999962</v>
      </c>
      <c r="H378" s="2">
        <v>5.579999924</v>
      </c>
      <c r="I378" s="2">
        <v>0</v>
      </c>
      <c r="J378" s="2">
        <v>13</v>
      </c>
      <c r="K378" s="2">
        <v>46</v>
      </c>
      <c r="L378" s="2">
        <v>346</v>
      </c>
      <c r="M378" s="2">
        <v>531</v>
      </c>
      <c r="N378" s="2">
        <v>10252</v>
      </c>
      <c r="O378" s="2">
        <v>3879</v>
      </c>
    </row>
    <row r="379" spans="1:15" x14ac:dyDescent="0.35">
      <c r="A379" s="2">
        <v>4388161847</v>
      </c>
      <c r="B379" s="3">
        <v>42484</v>
      </c>
      <c r="C379" s="2">
        <v>7.8800001139999996</v>
      </c>
      <c r="D379" s="2">
        <v>7.8800001139999996</v>
      </c>
      <c r="E379" s="2">
        <v>0</v>
      </c>
      <c r="F379" s="2">
        <v>1.0800000430000001</v>
      </c>
      <c r="G379" s="2">
        <v>0.50999998999999996</v>
      </c>
      <c r="H379" s="2">
        <v>6.3000001909999996</v>
      </c>
      <c r="I379" s="2">
        <v>0</v>
      </c>
      <c r="J379" s="2">
        <v>14</v>
      </c>
      <c r="K379" s="2">
        <v>8</v>
      </c>
      <c r="L379" s="2">
        <v>239</v>
      </c>
      <c r="M379" s="2">
        <v>584</v>
      </c>
      <c r="N379" s="2">
        <v>10243</v>
      </c>
      <c r="O379" s="2">
        <v>2885</v>
      </c>
    </row>
    <row r="380" spans="1:15" x14ac:dyDescent="0.35">
      <c r="A380" s="2">
        <v>5577150313</v>
      </c>
      <c r="B380" s="3">
        <v>42481</v>
      </c>
      <c r="C380" s="2">
        <v>8.0900001530000001</v>
      </c>
      <c r="D380" s="2">
        <v>8.0900001530000001</v>
      </c>
      <c r="E380" s="2">
        <v>0</v>
      </c>
      <c r="F380" s="2">
        <v>3.6500000950000002</v>
      </c>
      <c r="G380" s="2">
        <v>1.6599999670000001</v>
      </c>
      <c r="H380" s="2">
        <v>2.7799999710000001</v>
      </c>
      <c r="I380" s="2">
        <v>0</v>
      </c>
      <c r="J380" s="2">
        <v>110</v>
      </c>
      <c r="K380" s="2">
        <v>74</v>
      </c>
      <c r="L380" s="2">
        <v>175</v>
      </c>
      <c r="M380" s="2">
        <v>670</v>
      </c>
      <c r="N380" s="2">
        <v>10830</v>
      </c>
      <c r="O380" s="2">
        <v>4018</v>
      </c>
    </row>
    <row r="381" spans="1:15" x14ac:dyDescent="0.35">
      <c r="A381" s="2">
        <v>2320127002</v>
      </c>
      <c r="B381" s="3">
        <v>42479</v>
      </c>
      <c r="C381" s="2">
        <v>4.0399999619999996</v>
      </c>
      <c r="D381" s="2">
        <v>4.0399999619999996</v>
      </c>
      <c r="E381" s="2">
        <v>0</v>
      </c>
      <c r="F381" s="2">
        <v>0</v>
      </c>
      <c r="G381" s="2">
        <v>0.37999999499999998</v>
      </c>
      <c r="H381" s="2">
        <v>3.6600000860000002</v>
      </c>
      <c r="I381" s="2">
        <v>0</v>
      </c>
      <c r="J381" s="2">
        <v>0</v>
      </c>
      <c r="K381" s="2">
        <v>11</v>
      </c>
      <c r="L381" s="2">
        <v>228</v>
      </c>
      <c r="M381" s="2">
        <v>1201</v>
      </c>
      <c r="N381" s="2">
        <v>5997</v>
      </c>
      <c r="O381" s="2">
        <v>1811</v>
      </c>
    </row>
    <row r="382" spans="1:15" x14ac:dyDescent="0.35">
      <c r="A382" s="2">
        <v>5553957443</v>
      </c>
      <c r="B382" s="3">
        <v>42708</v>
      </c>
      <c r="C382" s="2">
        <v>7.5700001720000003</v>
      </c>
      <c r="D382" s="2">
        <v>7.5700001720000003</v>
      </c>
      <c r="E382" s="2">
        <v>0</v>
      </c>
      <c r="F382" s="2">
        <v>1.3700000050000001</v>
      </c>
      <c r="G382" s="2">
        <v>0.790000021</v>
      </c>
      <c r="H382" s="2">
        <v>5.4099998469999999</v>
      </c>
      <c r="I382" s="2">
        <v>0</v>
      </c>
      <c r="J382" s="2">
        <v>19</v>
      </c>
      <c r="K382" s="2">
        <v>13</v>
      </c>
      <c r="L382" s="2">
        <v>277</v>
      </c>
      <c r="M382" s="2">
        <v>767</v>
      </c>
      <c r="N382" s="2">
        <v>11596</v>
      </c>
      <c r="O382" s="2">
        <v>2026</v>
      </c>
    </row>
    <row r="383" spans="1:15" x14ac:dyDescent="0.35">
      <c r="A383" s="2">
        <v>6775888955</v>
      </c>
      <c r="B383" s="3">
        <v>42473</v>
      </c>
      <c r="C383" s="2">
        <v>2.9100000860000002</v>
      </c>
      <c r="D383" s="2">
        <v>2.9100000860000002</v>
      </c>
      <c r="E383" s="2">
        <v>0</v>
      </c>
      <c r="F383" s="2">
        <v>1.1100000139999999</v>
      </c>
      <c r="G383" s="2">
        <v>0.579999983</v>
      </c>
      <c r="H383" s="2">
        <v>1.2200000289999999</v>
      </c>
      <c r="I383" s="2">
        <v>0</v>
      </c>
      <c r="J383" s="2">
        <v>17</v>
      </c>
      <c r="K383" s="2">
        <v>18</v>
      </c>
      <c r="L383" s="2">
        <v>85</v>
      </c>
      <c r="M383" s="2">
        <v>1053</v>
      </c>
      <c r="N383" s="2">
        <v>4053</v>
      </c>
      <c r="O383" s="2">
        <v>2400</v>
      </c>
    </row>
    <row r="384" spans="1:15" x14ac:dyDescent="0.35">
      <c r="A384" s="2">
        <v>4388161847</v>
      </c>
      <c r="B384" s="3">
        <v>42434</v>
      </c>
      <c r="C384" s="2">
        <v>9.7899999619999996</v>
      </c>
      <c r="D384" s="2">
        <v>9.7899999619999996</v>
      </c>
      <c r="E384" s="2">
        <v>0</v>
      </c>
      <c r="F384" s="2">
        <v>1.1299999949999999</v>
      </c>
      <c r="G384" s="2">
        <v>0.77999997099999996</v>
      </c>
      <c r="H384" s="2">
        <v>7.8800001139999996</v>
      </c>
      <c r="I384" s="2">
        <v>0</v>
      </c>
      <c r="J384" s="2">
        <v>18</v>
      </c>
      <c r="K384" s="2">
        <v>18</v>
      </c>
      <c r="L384" s="2">
        <v>306</v>
      </c>
      <c r="M384" s="2">
        <v>984</v>
      </c>
      <c r="N384" s="2">
        <v>12727</v>
      </c>
      <c r="O384" s="2">
        <v>3290</v>
      </c>
    </row>
    <row r="385" spans="1:15" x14ac:dyDescent="0.35">
      <c r="A385" s="2">
        <v>7007744171</v>
      </c>
      <c r="B385" s="3">
        <v>42477</v>
      </c>
      <c r="C385" s="2">
        <v>5.3899998660000001</v>
      </c>
      <c r="D385" s="2">
        <v>5.3899998660000001</v>
      </c>
      <c r="E385" s="2">
        <v>0</v>
      </c>
      <c r="F385" s="2">
        <v>0</v>
      </c>
      <c r="G385" s="2">
        <v>0</v>
      </c>
      <c r="H385" s="2">
        <v>5.3899998660000001</v>
      </c>
      <c r="I385" s="2">
        <v>0</v>
      </c>
      <c r="J385" s="2">
        <v>0</v>
      </c>
      <c r="K385" s="2">
        <v>0</v>
      </c>
      <c r="L385" s="2">
        <v>305</v>
      </c>
      <c r="M385" s="2">
        <v>1135</v>
      </c>
      <c r="N385" s="2">
        <v>8059</v>
      </c>
      <c r="O385" s="2">
        <v>2383</v>
      </c>
    </row>
    <row r="386" spans="1:15" x14ac:dyDescent="0.35">
      <c r="A386" s="2">
        <v>5577150313</v>
      </c>
      <c r="B386" s="3">
        <v>42465</v>
      </c>
      <c r="C386" s="2">
        <v>3.8900001049999999</v>
      </c>
      <c r="D386" s="2">
        <v>3.8900001049999999</v>
      </c>
      <c r="E386" s="2">
        <v>0</v>
      </c>
      <c r="F386" s="2">
        <v>1.559999943</v>
      </c>
      <c r="G386" s="2">
        <v>0.25</v>
      </c>
      <c r="H386" s="2">
        <v>2.079999924</v>
      </c>
      <c r="I386" s="2">
        <v>0</v>
      </c>
      <c r="J386" s="2">
        <v>25</v>
      </c>
      <c r="K386" s="2">
        <v>9</v>
      </c>
      <c r="L386" s="2">
        <v>141</v>
      </c>
      <c r="M386" s="2">
        <v>631</v>
      </c>
      <c r="N386" s="2">
        <v>5206</v>
      </c>
      <c r="O386" s="2">
        <v>2755</v>
      </c>
    </row>
    <row r="387" spans="1:15" x14ac:dyDescent="0.35">
      <c r="A387" s="2">
        <v>5577150313</v>
      </c>
      <c r="B387" s="3">
        <v>42475</v>
      </c>
      <c r="C387" s="2">
        <v>9.0799999239999991</v>
      </c>
      <c r="D387" s="2">
        <v>9.0799999239999991</v>
      </c>
      <c r="E387" s="2">
        <v>0</v>
      </c>
      <c r="F387" s="2">
        <v>3.920000076</v>
      </c>
      <c r="G387" s="2">
        <v>1.6000000240000001</v>
      </c>
      <c r="H387" s="2">
        <v>3.5599999430000002</v>
      </c>
      <c r="I387" s="2">
        <v>0</v>
      </c>
      <c r="J387" s="2">
        <v>115</v>
      </c>
      <c r="K387" s="2">
        <v>54</v>
      </c>
      <c r="L387" s="2">
        <v>199</v>
      </c>
      <c r="M387" s="2">
        <v>695</v>
      </c>
      <c r="N387" s="2">
        <v>12087</v>
      </c>
      <c r="O387" s="2">
        <v>4005</v>
      </c>
    </row>
    <row r="388" spans="1:15" x14ac:dyDescent="0.35">
      <c r="A388" s="2">
        <v>2022484408</v>
      </c>
      <c r="B388" s="3">
        <v>42465</v>
      </c>
      <c r="C388" s="2">
        <v>8.2899999619999996</v>
      </c>
      <c r="D388" s="2">
        <v>8.2899999619999996</v>
      </c>
      <c r="E388" s="2">
        <v>0</v>
      </c>
      <c r="F388" s="2">
        <v>2.5099999899999998</v>
      </c>
      <c r="G388" s="2">
        <v>0.93000000699999996</v>
      </c>
      <c r="H388" s="2">
        <v>4.8499999049999998</v>
      </c>
      <c r="I388" s="2">
        <v>0</v>
      </c>
      <c r="J388" s="2">
        <v>36</v>
      </c>
      <c r="K388" s="2">
        <v>27</v>
      </c>
      <c r="L388" s="2">
        <v>272</v>
      </c>
      <c r="M388" s="2">
        <v>1105</v>
      </c>
      <c r="N388" s="2">
        <v>11768</v>
      </c>
      <c r="O388" s="2">
        <v>2649</v>
      </c>
    </row>
    <row r="389" spans="1:15" x14ac:dyDescent="0.35">
      <c r="A389" s="2">
        <v>6290855005</v>
      </c>
      <c r="B389" s="3">
        <v>42476</v>
      </c>
      <c r="C389" s="2">
        <v>6.2800002099999999</v>
      </c>
      <c r="D389" s="2">
        <v>6.2800002099999999</v>
      </c>
      <c r="E389" s="2">
        <v>0</v>
      </c>
      <c r="F389" s="2">
        <v>0</v>
      </c>
      <c r="G389" s="2">
        <v>0</v>
      </c>
      <c r="H389" s="2">
        <v>6.2699999809999998</v>
      </c>
      <c r="I389" s="2">
        <v>0.01</v>
      </c>
      <c r="J389" s="2">
        <v>0</v>
      </c>
      <c r="K389" s="2">
        <v>0</v>
      </c>
      <c r="L389" s="2">
        <v>258</v>
      </c>
      <c r="M389" s="2">
        <v>1182</v>
      </c>
      <c r="N389" s="2">
        <v>8301</v>
      </c>
      <c r="O389" s="2">
        <v>2783</v>
      </c>
    </row>
    <row r="390" spans="1:15" x14ac:dyDescent="0.35">
      <c r="A390" s="2">
        <v>8877689391</v>
      </c>
      <c r="B390" s="3">
        <v>42478</v>
      </c>
      <c r="C390" s="2">
        <v>8.6700000760000009</v>
      </c>
      <c r="D390" s="2">
        <v>8.6700000760000009</v>
      </c>
      <c r="E390" s="2">
        <v>0</v>
      </c>
      <c r="F390" s="2">
        <v>2.4400000569999998</v>
      </c>
      <c r="G390" s="2">
        <v>0.27000001099999998</v>
      </c>
      <c r="H390" s="2">
        <v>5.9400000569999998</v>
      </c>
      <c r="I390" s="2">
        <v>0</v>
      </c>
      <c r="J390" s="2">
        <v>29</v>
      </c>
      <c r="K390" s="2">
        <v>5</v>
      </c>
      <c r="L390" s="2">
        <v>191</v>
      </c>
      <c r="M390" s="2">
        <v>1215</v>
      </c>
      <c r="N390" s="2">
        <v>11423</v>
      </c>
      <c r="O390" s="2">
        <v>2761</v>
      </c>
    </row>
    <row r="391" spans="1:15" x14ac:dyDescent="0.35">
      <c r="A391" s="2">
        <v>6117666160</v>
      </c>
      <c r="B391" s="3">
        <v>42481</v>
      </c>
      <c r="C391" s="2">
        <v>15.010000229999999</v>
      </c>
      <c r="D391" s="2">
        <v>15.010000229999999</v>
      </c>
      <c r="E391" s="2">
        <v>0</v>
      </c>
      <c r="F391" s="2">
        <v>0.980000019</v>
      </c>
      <c r="G391" s="2">
        <v>0.40000000600000002</v>
      </c>
      <c r="H391" s="2">
        <v>5.6199998860000004</v>
      </c>
      <c r="I391" s="2">
        <v>0</v>
      </c>
      <c r="J391" s="2">
        <v>11</v>
      </c>
      <c r="K391" s="2">
        <v>19</v>
      </c>
      <c r="L391" s="2">
        <v>294</v>
      </c>
      <c r="M391" s="2">
        <v>579</v>
      </c>
      <c r="N391" s="2">
        <v>19542</v>
      </c>
      <c r="O391" s="2">
        <v>4900</v>
      </c>
    </row>
    <row r="392" spans="1:15" x14ac:dyDescent="0.35">
      <c r="A392" s="2">
        <v>2022484408</v>
      </c>
      <c r="B392" s="3">
        <v>42481</v>
      </c>
      <c r="C392" s="2">
        <v>8.7399997710000008</v>
      </c>
      <c r="D392" s="2">
        <v>8.7399997710000008</v>
      </c>
      <c r="E392" s="2">
        <v>0</v>
      </c>
      <c r="F392" s="2">
        <v>3.329999924</v>
      </c>
      <c r="G392" s="2">
        <v>1.1100000139999999</v>
      </c>
      <c r="H392" s="2">
        <v>4.3099999430000002</v>
      </c>
      <c r="I392" s="2">
        <v>0</v>
      </c>
      <c r="J392" s="2">
        <v>104</v>
      </c>
      <c r="K392" s="2">
        <v>53</v>
      </c>
      <c r="L392" s="2">
        <v>255</v>
      </c>
      <c r="M392" s="2">
        <v>1028</v>
      </c>
      <c r="N392" s="2">
        <v>12453</v>
      </c>
      <c r="O392" s="2">
        <v>3158</v>
      </c>
    </row>
    <row r="393" spans="1:15" x14ac:dyDescent="0.35">
      <c r="A393" s="2">
        <v>2347167796</v>
      </c>
      <c r="B393" s="3">
        <v>42473</v>
      </c>
      <c r="C393" s="2">
        <v>7.0100002290000001</v>
      </c>
      <c r="D393" s="2">
        <v>7.0100002290000001</v>
      </c>
      <c r="E393" s="2">
        <v>0</v>
      </c>
      <c r="F393" s="2">
        <v>1.6599999670000001</v>
      </c>
      <c r="G393" s="2">
        <v>1.940000057</v>
      </c>
      <c r="H393" s="2">
        <v>3.4100000860000002</v>
      </c>
      <c r="I393" s="2">
        <v>0</v>
      </c>
      <c r="J393" s="2">
        <v>19</v>
      </c>
      <c r="K393" s="2">
        <v>32</v>
      </c>
      <c r="L393" s="2">
        <v>195</v>
      </c>
      <c r="M393" s="2">
        <v>676</v>
      </c>
      <c r="N393" s="2">
        <v>10352</v>
      </c>
      <c r="O393" s="2">
        <v>2038</v>
      </c>
    </row>
    <row r="394" spans="1:15" x14ac:dyDescent="0.35">
      <c r="A394" s="2">
        <v>5577150313</v>
      </c>
      <c r="B394" s="3">
        <v>42618</v>
      </c>
      <c r="C394" s="2">
        <v>2.5599999430000002</v>
      </c>
      <c r="D394" s="2">
        <v>2.5599999430000002</v>
      </c>
      <c r="E394" s="2">
        <v>0</v>
      </c>
      <c r="F394" s="2">
        <v>1.4299999480000001</v>
      </c>
      <c r="G394" s="2">
        <v>0.14000000100000001</v>
      </c>
      <c r="H394" s="2">
        <v>0.99000001000000004</v>
      </c>
      <c r="I394" s="2">
        <v>0</v>
      </c>
      <c r="J394" s="2">
        <v>34</v>
      </c>
      <c r="K394" s="2">
        <v>11</v>
      </c>
      <c r="L394" s="2">
        <v>70</v>
      </c>
      <c r="M394" s="2">
        <v>1099</v>
      </c>
      <c r="N394" s="2">
        <v>3421</v>
      </c>
      <c r="O394" s="2">
        <v>2489</v>
      </c>
    </row>
    <row r="395" spans="1:15" x14ac:dyDescent="0.35">
      <c r="A395" s="2">
        <v>8378563200</v>
      </c>
      <c r="B395" s="3">
        <v>42484</v>
      </c>
      <c r="C395" s="2">
        <v>2.9400000569999998</v>
      </c>
      <c r="D395" s="2">
        <v>2.9400000569999998</v>
      </c>
      <c r="E395" s="2">
        <v>0</v>
      </c>
      <c r="F395" s="2">
        <v>0</v>
      </c>
      <c r="G395" s="2">
        <v>0</v>
      </c>
      <c r="H395" s="2">
        <v>2.9400000569999998</v>
      </c>
      <c r="I395" s="2">
        <v>0</v>
      </c>
      <c r="J395" s="2">
        <v>0</v>
      </c>
      <c r="K395" s="2">
        <v>0</v>
      </c>
      <c r="L395" s="2">
        <v>135</v>
      </c>
      <c r="M395" s="2">
        <v>734</v>
      </c>
      <c r="N395" s="2">
        <v>3703</v>
      </c>
      <c r="O395" s="2">
        <v>2741</v>
      </c>
    </row>
    <row r="396" spans="1:15" x14ac:dyDescent="0.35">
      <c r="A396" s="2">
        <v>4020332650</v>
      </c>
      <c r="B396" s="3">
        <v>42679</v>
      </c>
      <c r="C396" s="2">
        <v>2.6500000950000002</v>
      </c>
      <c r="D396" s="2">
        <v>2.6500000950000002</v>
      </c>
      <c r="E396" s="2">
        <v>0</v>
      </c>
      <c r="F396" s="2">
        <v>0.109999999</v>
      </c>
      <c r="G396" s="2">
        <v>0.17000000200000001</v>
      </c>
      <c r="H396" s="2">
        <v>2.329999924</v>
      </c>
      <c r="I396" s="2">
        <v>0</v>
      </c>
      <c r="J396" s="2">
        <v>2</v>
      </c>
      <c r="K396" s="2">
        <v>8</v>
      </c>
      <c r="L396" s="2">
        <v>134</v>
      </c>
      <c r="M396" s="2">
        <v>1296</v>
      </c>
      <c r="N396" s="2">
        <v>3689</v>
      </c>
      <c r="O396" s="2">
        <v>2645</v>
      </c>
    </row>
    <row r="397" spans="1:15" x14ac:dyDescent="0.35">
      <c r="A397" s="2">
        <v>1644430081</v>
      </c>
      <c r="B397" s="3">
        <v>42484</v>
      </c>
      <c r="C397" s="2">
        <v>2.4100000860000002</v>
      </c>
      <c r="D397" s="2">
        <v>2.4100000860000002</v>
      </c>
      <c r="E397" s="2">
        <v>0</v>
      </c>
      <c r="F397" s="2">
        <v>0</v>
      </c>
      <c r="G397" s="2">
        <v>0</v>
      </c>
      <c r="H397" s="2">
        <v>2.4100000860000002</v>
      </c>
      <c r="I397" s="2">
        <v>0</v>
      </c>
      <c r="J397" s="2">
        <v>0</v>
      </c>
      <c r="K397" s="2">
        <v>0</v>
      </c>
      <c r="L397" s="2">
        <v>89</v>
      </c>
      <c r="M397" s="2">
        <v>1351</v>
      </c>
      <c r="N397" s="2">
        <v>3321</v>
      </c>
      <c r="O397" s="2">
        <v>2413</v>
      </c>
    </row>
    <row r="398" spans="1:15" x14ac:dyDescent="0.35">
      <c r="A398" s="2">
        <v>1844505072</v>
      </c>
      <c r="B398" s="3">
        <v>42434</v>
      </c>
      <c r="C398" s="2">
        <v>2.6800000669999999</v>
      </c>
      <c r="D398" s="2">
        <v>2.6800000669999999</v>
      </c>
      <c r="E398" s="2">
        <v>0</v>
      </c>
      <c r="F398" s="2">
        <v>0</v>
      </c>
      <c r="G398" s="2">
        <v>0</v>
      </c>
      <c r="H398" s="2">
        <v>2.6800000669999999</v>
      </c>
      <c r="I398" s="2">
        <v>0</v>
      </c>
      <c r="J398" s="2">
        <v>0</v>
      </c>
      <c r="K398" s="2">
        <v>0</v>
      </c>
      <c r="L398" s="2">
        <v>184</v>
      </c>
      <c r="M398" s="2">
        <v>1256</v>
      </c>
      <c r="N398" s="2">
        <v>4059</v>
      </c>
      <c r="O398" s="2">
        <v>1742</v>
      </c>
    </row>
    <row r="399" spans="1:15" x14ac:dyDescent="0.35">
      <c r="A399" s="2">
        <v>4702921684</v>
      </c>
      <c r="B399" s="3">
        <v>42648</v>
      </c>
      <c r="C399" s="2">
        <v>8.6099996569999995</v>
      </c>
      <c r="D399" s="2">
        <v>8.6099996569999995</v>
      </c>
      <c r="E399" s="2">
        <v>0</v>
      </c>
      <c r="F399" s="2">
        <v>7.9999998000000003E-2</v>
      </c>
      <c r="G399" s="2">
        <v>1.8799999949999999</v>
      </c>
      <c r="H399" s="2">
        <v>6.6500000950000002</v>
      </c>
      <c r="I399" s="2">
        <v>0</v>
      </c>
      <c r="J399" s="2">
        <v>1</v>
      </c>
      <c r="K399" s="2">
        <v>37</v>
      </c>
      <c r="L399" s="2">
        <v>262</v>
      </c>
      <c r="M399" s="2">
        <v>701</v>
      </c>
      <c r="N399" s="2">
        <v>10613</v>
      </c>
      <c r="O399" s="2">
        <v>3172</v>
      </c>
    </row>
    <row r="400" spans="1:15" x14ac:dyDescent="0.35">
      <c r="A400" s="2">
        <v>5553957443</v>
      </c>
      <c r="B400" s="3">
        <v>42484</v>
      </c>
      <c r="C400" s="2">
        <v>1.1799999480000001</v>
      </c>
      <c r="D400" s="2">
        <v>1.1799999480000001</v>
      </c>
      <c r="E400" s="2">
        <v>0</v>
      </c>
      <c r="F400" s="2">
        <v>0</v>
      </c>
      <c r="G400" s="2">
        <v>0</v>
      </c>
      <c r="H400" s="2">
        <v>1.1799999480000001</v>
      </c>
      <c r="I400" s="2">
        <v>0</v>
      </c>
      <c r="J400" s="2">
        <v>0</v>
      </c>
      <c r="K400" s="2">
        <v>0</v>
      </c>
      <c r="L400" s="2">
        <v>104</v>
      </c>
      <c r="M400" s="2">
        <v>582</v>
      </c>
      <c r="N400" s="2">
        <v>1807</v>
      </c>
      <c r="O400" s="2">
        <v>1507</v>
      </c>
    </row>
    <row r="401" spans="1:15" x14ac:dyDescent="0.35">
      <c r="A401" s="2">
        <v>4319703577</v>
      </c>
      <c r="B401" s="3">
        <v>42481</v>
      </c>
      <c r="C401" s="2">
        <v>2.4800000190000002</v>
      </c>
      <c r="D401" s="2">
        <v>2.4800000190000002</v>
      </c>
      <c r="E401" s="2">
        <v>0</v>
      </c>
      <c r="F401" s="2">
        <v>0</v>
      </c>
      <c r="G401" s="2">
        <v>0</v>
      </c>
      <c r="H401" s="2">
        <v>0.34999999399999998</v>
      </c>
      <c r="I401" s="2">
        <v>0</v>
      </c>
      <c r="J401" s="2">
        <v>0</v>
      </c>
      <c r="K401" s="2">
        <v>0</v>
      </c>
      <c r="L401" s="2">
        <v>34</v>
      </c>
      <c r="M401" s="2">
        <v>1265</v>
      </c>
      <c r="N401" s="2">
        <v>3702</v>
      </c>
      <c r="O401" s="2">
        <v>1792</v>
      </c>
    </row>
    <row r="402" spans="1:15" x14ac:dyDescent="0.35">
      <c r="A402" s="2">
        <v>1844505072</v>
      </c>
      <c r="B402" s="3">
        <v>42484</v>
      </c>
      <c r="C402" s="2">
        <v>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1440</v>
      </c>
      <c r="N402" s="2">
        <v>0</v>
      </c>
      <c r="O402" s="2">
        <v>1347</v>
      </c>
    </row>
    <row r="403" spans="1:15" x14ac:dyDescent="0.35">
      <c r="A403" s="2">
        <v>1844505072</v>
      </c>
      <c r="B403" s="3">
        <v>42465</v>
      </c>
      <c r="C403" s="2">
        <v>1.3700000050000001</v>
      </c>
      <c r="D403" s="2">
        <v>1.3700000050000001</v>
      </c>
      <c r="E403" s="2">
        <v>0</v>
      </c>
      <c r="F403" s="2">
        <v>0</v>
      </c>
      <c r="G403" s="2">
        <v>0</v>
      </c>
      <c r="H403" s="2">
        <v>1.3700000050000001</v>
      </c>
      <c r="I403" s="2">
        <v>0</v>
      </c>
      <c r="J403" s="2">
        <v>0</v>
      </c>
      <c r="K403" s="2">
        <v>0</v>
      </c>
      <c r="L403" s="2">
        <v>87</v>
      </c>
      <c r="M403" s="2">
        <v>1353</v>
      </c>
      <c r="N403" s="2">
        <v>2080</v>
      </c>
      <c r="O403" s="2">
        <v>1549</v>
      </c>
    </row>
    <row r="404" spans="1:15" x14ac:dyDescent="0.35">
      <c r="A404" s="2">
        <v>4319703577</v>
      </c>
      <c r="B404" s="3">
        <v>42526</v>
      </c>
      <c r="C404" s="2">
        <v>6.420000076</v>
      </c>
      <c r="D404" s="2">
        <v>6.420000076</v>
      </c>
      <c r="E404" s="2">
        <v>0</v>
      </c>
      <c r="F404" s="2">
        <v>0.40999999599999998</v>
      </c>
      <c r="G404" s="2">
        <v>0.469999999</v>
      </c>
      <c r="H404" s="2">
        <v>5.4600000380000004</v>
      </c>
      <c r="I404" s="2">
        <v>0</v>
      </c>
      <c r="J404" s="2">
        <v>6</v>
      </c>
      <c r="K404" s="2">
        <v>11</v>
      </c>
      <c r="L404" s="2">
        <v>314</v>
      </c>
      <c r="M404" s="2">
        <v>692</v>
      </c>
      <c r="N404" s="2">
        <v>9524</v>
      </c>
      <c r="O404" s="2">
        <v>2266</v>
      </c>
    </row>
    <row r="405" spans="1:15" x14ac:dyDescent="0.35">
      <c r="A405" s="2">
        <v>1844505072</v>
      </c>
      <c r="B405" s="3">
        <v>42708</v>
      </c>
      <c r="C405" s="2">
        <v>4.4299998279999997</v>
      </c>
      <c r="D405" s="2">
        <v>4.4299998279999997</v>
      </c>
      <c r="E405" s="2">
        <v>0</v>
      </c>
      <c r="F405" s="2">
        <v>0</v>
      </c>
      <c r="G405" s="2">
        <v>0</v>
      </c>
      <c r="H405" s="2">
        <v>4.4299998279999997</v>
      </c>
      <c r="I405" s="2">
        <v>0</v>
      </c>
      <c r="J405" s="2">
        <v>0</v>
      </c>
      <c r="K405" s="2">
        <v>0</v>
      </c>
      <c r="L405" s="2">
        <v>339</v>
      </c>
      <c r="M405" s="2">
        <v>1101</v>
      </c>
      <c r="N405" s="2">
        <v>6697</v>
      </c>
      <c r="O405" s="2">
        <v>2030</v>
      </c>
    </row>
    <row r="406" spans="1:15" x14ac:dyDescent="0.35">
      <c r="A406" s="2">
        <v>4702921684</v>
      </c>
      <c r="B406" s="3">
        <v>42495</v>
      </c>
      <c r="C406" s="2">
        <v>6.9899997709999999</v>
      </c>
      <c r="D406" s="2">
        <v>6.9899997709999999</v>
      </c>
      <c r="E406" s="2">
        <v>0</v>
      </c>
      <c r="F406" s="2">
        <v>0.670000017</v>
      </c>
      <c r="G406" s="2">
        <v>0.219999999</v>
      </c>
      <c r="H406" s="2">
        <v>6.0900001530000001</v>
      </c>
      <c r="I406" s="2">
        <v>0</v>
      </c>
      <c r="J406" s="2">
        <v>8</v>
      </c>
      <c r="K406" s="2">
        <v>5</v>
      </c>
      <c r="L406" s="2">
        <v>241</v>
      </c>
      <c r="M406" s="2">
        <v>745</v>
      </c>
      <c r="N406" s="2">
        <v>8614</v>
      </c>
      <c r="O406" s="2">
        <v>3006</v>
      </c>
    </row>
    <row r="407" spans="1:15" x14ac:dyDescent="0.35">
      <c r="A407" s="2">
        <v>1644430081</v>
      </c>
      <c r="B407" s="3">
        <v>42618</v>
      </c>
      <c r="C407" s="2">
        <v>4.829999924</v>
      </c>
      <c r="D407" s="2">
        <v>4.829999924</v>
      </c>
      <c r="E407" s="2">
        <v>0</v>
      </c>
      <c r="F407" s="2">
        <v>2.3900001049999999</v>
      </c>
      <c r="G407" s="2">
        <v>0.34999999399999998</v>
      </c>
      <c r="H407" s="2">
        <v>2.0899999139999998</v>
      </c>
      <c r="I407" s="2">
        <v>0.01</v>
      </c>
      <c r="J407" s="2">
        <v>32</v>
      </c>
      <c r="K407" s="2">
        <v>6</v>
      </c>
      <c r="L407" s="2">
        <v>303</v>
      </c>
      <c r="M407" s="2">
        <v>1099</v>
      </c>
      <c r="N407" s="2">
        <v>6643</v>
      </c>
      <c r="O407" s="2">
        <v>3008</v>
      </c>
    </row>
    <row r="408" spans="1:15" x14ac:dyDescent="0.35">
      <c r="A408" s="2">
        <v>3977333714</v>
      </c>
      <c r="B408" s="3">
        <v>42405</v>
      </c>
      <c r="C408" s="2">
        <v>11.05000019</v>
      </c>
      <c r="D408" s="2">
        <v>11.05000019</v>
      </c>
      <c r="E408" s="2">
        <v>0</v>
      </c>
      <c r="F408" s="2">
        <v>1.539999962</v>
      </c>
      <c r="G408" s="2">
        <v>6.4800000190000002</v>
      </c>
      <c r="H408" s="2">
        <v>3.0199999809999998</v>
      </c>
      <c r="I408" s="2">
        <v>0</v>
      </c>
      <c r="J408" s="2">
        <v>24</v>
      </c>
      <c r="K408" s="2">
        <v>143</v>
      </c>
      <c r="L408" s="2">
        <v>176</v>
      </c>
      <c r="M408" s="2">
        <v>713</v>
      </c>
      <c r="N408" s="2">
        <v>16520</v>
      </c>
      <c r="O408" s="2">
        <v>1760</v>
      </c>
    </row>
    <row r="409" spans="1:15" x14ac:dyDescent="0.35">
      <c r="A409" s="2">
        <v>8877689391</v>
      </c>
      <c r="B409" s="3">
        <v>42374</v>
      </c>
      <c r="C409" s="2">
        <v>8.3199996949999999</v>
      </c>
      <c r="D409" s="2">
        <v>8.3199996949999999</v>
      </c>
      <c r="E409" s="2">
        <v>0</v>
      </c>
      <c r="F409" s="2">
        <v>3.130000114</v>
      </c>
      <c r="G409" s="2">
        <v>0.56999999300000004</v>
      </c>
      <c r="H409" s="2">
        <v>4.5700001720000003</v>
      </c>
      <c r="I409" s="2">
        <v>0</v>
      </c>
      <c r="J409" s="2">
        <v>36</v>
      </c>
      <c r="K409" s="2">
        <v>12</v>
      </c>
      <c r="L409" s="2">
        <v>166</v>
      </c>
      <c r="M409" s="2">
        <v>1226</v>
      </c>
      <c r="N409" s="2">
        <v>10930</v>
      </c>
      <c r="O409" s="2">
        <v>2786</v>
      </c>
    </row>
    <row r="410" spans="1:15" x14ac:dyDescent="0.35">
      <c r="A410" s="2">
        <v>8583815059</v>
      </c>
      <c r="B410" s="3">
        <v>42486</v>
      </c>
      <c r="C410" s="2">
        <v>8.1899995800000003</v>
      </c>
      <c r="D410" s="2">
        <v>8.1899995800000003</v>
      </c>
      <c r="E410" s="2">
        <v>0</v>
      </c>
      <c r="F410" s="2">
        <v>7.0000000000000007E-2</v>
      </c>
      <c r="G410" s="2">
        <v>4.2199997900000001</v>
      </c>
      <c r="H410" s="2">
        <v>3.8900001049999999</v>
      </c>
      <c r="I410" s="2">
        <v>0</v>
      </c>
      <c r="J410" s="2">
        <v>1</v>
      </c>
      <c r="K410" s="2">
        <v>91</v>
      </c>
      <c r="L410" s="2">
        <v>214</v>
      </c>
      <c r="M410" s="2">
        <v>1134</v>
      </c>
      <c r="N410" s="2">
        <v>10499</v>
      </c>
      <c r="O410" s="2">
        <v>3093</v>
      </c>
    </row>
    <row r="411" spans="1:15" x14ac:dyDescent="0.35">
      <c r="A411" s="2">
        <v>8583815059</v>
      </c>
      <c r="B411" s="3">
        <v>42556</v>
      </c>
      <c r="C411" s="2">
        <v>4.7699999809999998</v>
      </c>
      <c r="D411" s="2">
        <v>4.7699999809999998</v>
      </c>
      <c r="E411" s="2">
        <v>0</v>
      </c>
      <c r="F411" s="2">
        <v>0</v>
      </c>
      <c r="G411" s="2">
        <v>0</v>
      </c>
      <c r="H411" s="2">
        <v>4.7699999809999998</v>
      </c>
      <c r="I411" s="2">
        <v>0</v>
      </c>
      <c r="J411" s="2">
        <v>0</v>
      </c>
      <c r="K411" s="2">
        <v>0</v>
      </c>
      <c r="L411" s="2">
        <v>250</v>
      </c>
      <c r="M411" s="2">
        <v>1190</v>
      </c>
      <c r="N411" s="2">
        <v>6117</v>
      </c>
      <c r="O411" s="2">
        <v>2810</v>
      </c>
    </row>
    <row r="412" spans="1:15" x14ac:dyDescent="0.35">
      <c r="A412" s="2">
        <v>5577150313</v>
      </c>
      <c r="B412" s="3">
        <v>42708</v>
      </c>
      <c r="C412" s="2">
        <v>6.079999924</v>
      </c>
      <c r="D412" s="2">
        <v>6.079999924</v>
      </c>
      <c r="E412" s="2">
        <v>0</v>
      </c>
      <c r="F412" s="2">
        <v>3.5999999049999998</v>
      </c>
      <c r="G412" s="2">
        <v>0.37999999499999998</v>
      </c>
      <c r="H412" s="2">
        <v>2.0999999049999998</v>
      </c>
      <c r="I412" s="2">
        <v>0</v>
      </c>
      <c r="J412" s="2">
        <v>86</v>
      </c>
      <c r="K412" s="2">
        <v>16</v>
      </c>
      <c r="L412" s="2">
        <v>140</v>
      </c>
      <c r="M412" s="2">
        <v>728</v>
      </c>
      <c r="N412" s="2">
        <v>8135</v>
      </c>
      <c r="O412" s="2">
        <v>3405</v>
      </c>
    </row>
    <row r="413" spans="1:15" x14ac:dyDescent="0.35">
      <c r="A413" s="2">
        <v>5553957443</v>
      </c>
      <c r="B413" s="3">
        <v>42434</v>
      </c>
      <c r="C413" s="2">
        <v>8.3900003430000005</v>
      </c>
      <c r="D413" s="2">
        <v>8.3900003430000005</v>
      </c>
      <c r="E413" s="2">
        <v>0</v>
      </c>
      <c r="F413" s="2">
        <v>1.5</v>
      </c>
      <c r="G413" s="2">
        <v>1.2000000479999999</v>
      </c>
      <c r="H413" s="2">
        <v>5.6799998279999997</v>
      </c>
      <c r="I413" s="2">
        <v>0</v>
      </c>
      <c r="J413" s="2">
        <v>26</v>
      </c>
      <c r="K413" s="2">
        <v>29</v>
      </c>
      <c r="L413" s="2">
        <v>247</v>
      </c>
      <c r="M413" s="2">
        <v>812</v>
      </c>
      <c r="N413" s="2">
        <v>12848</v>
      </c>
      <c r="O413" s="2">
        <v>2116</v>
      </c>
    </row>
    <row r="414" spans="1:15" x14ac:dyDescent="0.35">
      <c r="A414" s="2">
        <v>5577150313</v>
      </c>
      <c r="B414" s="3">
        <v>42477</v>
      </c>
      <c r="C414" s="2">
        <v>9.1400003430000005</v>
      </c>
      <c r="D414" s="2">
        <v>9.1400003430000005</v>
      </c>
      <c r="E414" s="2">
        <v>0</v>
      </c>
      <c r="F414" s="2">
        <v>5.9800000190000002</v>
      </c>
      <c r="G414" s="2">
        <v>0.829999983</v>
      </c>
      <c r="H414" s="2">
        <v>2.3199999330000001</v>
      </c>
      <c r="I414" s="2">
        <v>0</v>
      </c>
      <c r="J414" s="2">
        <v>200</v>
      </c>
      <c r="K414" s="2">
        <v>37</v>
      </c>
      <c r="L414" s="2">
        <v>159</v>
      </c>
      <c r="M414" s="2">
        <v>525</v>
      </c>
      <c r="N414" s="2">
        <v>12231</v>
      </c>
      <c r="O414" s="2">
        <v>4552</v>
      </c>
    </row>
    <row r="415" spans="1:15" x14ac:dyDescent="0.35">
      <c r="A415" s="2">
        <v>1844505072</v>
      </c>
      <c r="B415" s="3">
        <v>42474</v>
      </c>
      <c r="C415" s="2">
        <v>5.25</v>
      </c>
      <c r="D415" s="2">
        <v>5.25</v>
      </c>
      <c r="E415" s="2">
        <v>0</v>
      </c>
      <c r="F415" s="2">
        <v>0</v>
      </c>
      <c r="G415" s="2">
        <v>0</v>
      </c>
      <c r="H415" s="2">
        <v>5.2300000190000002</v>
      </c>
      <c r="I415" s="2">
        <v>0</v>
      </c>
      <c r="J415" s="2">
        <v>0</v>
      </c>
      <c r="K415" s="2">
        <v>0</v>
      </c>
      <c r="L415" s="2">
        <v>373</v>
      </c>
      <c r="M415" s="2">
        <v>843</v>
      </c>
      <c r="N415" s="2">
        <v>7937</v>
      </c>
      <c r="O415" s="2">
        <v>2130</v>
      </c>
    </row>
    <row r="416" spans="1:15" x14ac:dyDescent="0.35">
      <c r="A416" s="2">
        <v>1503960366</v>
      </c>
      <c r="B416" s="3">
        <v>42483</v>
      </c>
      <c r="C416" s="2">
        <v>9.0399999619999996</v>
      </c>
      <c r="D416" s="2">
        <v>9.0399999619999996</v>
      </c>
      <c r="E416" s="2">
        <v>0</v>
      </c>
      <c r="F416" s="2">
        <v>2.8099999430000002</v>
      </c>
      <c r="G416" s="2">
        <v>0.87000000499999997</v>
      </c>
      <c r="H416" s="2">
        <v>5.3600001339999999</v>
      </c>
      <c r="I416" s="2">
        <v>0</v>
      </c>
      <c r="J416" s="2">
        <v>41</v>
      </c>
      <c r="K416" s="2">
        <v>21</v>
      </c>
      <c r="L416" s="2">
        <v>262</v>
      </c>
      <c r="M416" s="2">
        <v>732</v>
      </c>
      <c r="N416" s="2">
        <v>14371</v>
      </c>
      <c r="O416" s="2">
        <v>1949</v>
      </c>
    </row>
    <row r="417" spans="1:15" x14ac:dyDescent="0.35">
      <c r="A417" s="2">
        <v>4319703577</v>
      </c>
      <c r="B417" s="3">
        <v>42487</v>
      </c>
      <c r="C417" s="2">
        <v>7.2300000190000002</v>
      </c>
      <c r="D417" s="2">
        <v>7.2300000190000002</v>
      </c>
      <c r="E417" s="2">
        <v>0</v>
      </c>
      <c r="F417" s="2">
        <v>0.40999999599999998</v>
      </c>
      <c r="G417" s="2">
        <v>1.9199999569999999</v>
      </c>
      <c r="H417" s="2">
        <v>4.9099998469999999</v>
      </c>
      <c r="I417" s="2">
        <v>0</v>
      </c>
      <c r="J417" s="2">
        <v>6</v>
      </c>
      <c r="K417" s="2">
        <v>47</v>
      </c>
      <c r="L417" s="2">
        <v>300</v>
      </c>
      <c r="M417" s="2">
        <v>680</v>
      </c>
      <c r="N417" s="2">
        <v>10780</v>
      </c>
      <c r="O417" s="2">
        <v>2324</v>
      </c>
    </row>
    <row r="418" spans="1:15" x14ac:dyDescent="0.35">
      <c r="A418" s="2">
        <v>4558609924</v>
      </c>
      <c r="B418" s="3">
        <v>42476</v>
      </c>
      <c r="C418" s="2">
        <v>4.8200001720000003</v>
      </c>
      <c r="D418" s="2">
        <v>4.8200001720000003</v>
      </c>
      <c r="E418" s="2">
        <v>0</v>
      </c>
      <c r="F418" s="2">
        <v>0.55000001200000004</v>
      </c>
      <c r="G418" s="2">
        <v>0.75</v>
      </c>
      <c r="H418" s="2">
        <v>3.5</v>
      </c>
      <c r="I418" s="2">
        <v>0</v>
      </c>
      <c r="J418" s="2">
        <v>8</v>
      </c>
      <c r="K418" s="2">
        <v>12</v>
      </c>
      <c r="L418" s="2">
        <v>308</v>
      </c>
      <c r="M418" s="2">
        <v>1112</v>
      </c>
      <c r="N418" s="2">
        <v>7289</v>
      </c>
      <c r="O418" s="2">
        <v>1997</v>
      </c>
    </row>
    <row r="419" spans="1:15" x14ac:dyDescent="0.35">
      <c r="A419" s="2">
        <v>1624580081</v>
      </c>
      <c r="B419" s="3">
        <v>42484</v>
      </c>
      <c r="C419" s="2">
        <v>3.9500000480000002</v>
      </c>
      <c r="D419" s="2">
        <v>3.9500000480000002</v>
      </c>
      <c r="E419" s="2">
        <v>0</v>
      </c>
      <c r="F419" s="2">
        <v>1.1499999759999999</v>
      </c>
      <c r="G419" s="2">
        <v>0.91000002599999996</v>
      </c>
      <c r="H419" s="2">
        <v>1.8899999860000001</v>
      </c>
      <c r="I419" s="2">
        <v>0</v>
      </c>
      <c r="J419" s="2">
        <v>16</v>
      </c>
      <c r="K419" s="2">
        <v>18</v>
      </c>
      <c r="L419" s="2">
        <v>185</v>
      </c>
      <c r="M419" s="2">
        <v>1221</v>
      </c>
      <c r="N419" s="2">
        <v>6076</v>
      </c>
      <c r="O419" s="2">
        <v>1617</v>
      </c>
    </row>
    <row r="420" spans="1:15" x14ac:dyDescent="0.35">
      <c r="A420" s="2">
        <v>1624580081</v>
      </c>
      <c r="B420" s="3">
        <v>42483</v>
      </c>
      <c r="C420" s="2">
        <v>5.5500001909999996</v>
      </c>
      <c r="D420" s="2">
        <v>5.5500001909999996</v>
      </c>
      <c r="E420" s="2">
        <v>0</v>
      </c>
      <c r="F420" s="2">
        <v>0</v>
      </c>
      <c r="G420" s="2">
        <v>0</v>
      </c>
      <c r="H420" s="2">
        <v>5.5399999619999996</v>
      </c>
      <c r="I420" s="2">
        <v>0.01</v>
      </c>
      <c r="J420" s="2">
        <v>0</v>
      </c>
      <c r="K420" s="2">
        <v>0</v>
      </c>
      <c r="L420" s="2">
        <v>227</v>
      </c>
      <c r="M420" s="2">
        <v>1213</v>
      </c>
      <c r="N420" s="2">
        <v>8538</v>
      </c>
      <c r="O420" s="2">
        <v>1562</v>
      </c>
    </row>
    <row r="421" spans="1:15" x14ac:dyDescent="0.35">
      <c r="A421" s="2">
        <v>3977333714</v>
      </c>
      <c r="B421" s="3">
        <v>42485</v>
      </c>
      <c r="C421" s="2">
        <v>8.4799995419999998</v>
      </c>
      <c r="D421" s="2">
        <v>8.4799995419999998</v>
      </c>
      <c r="E421" s="2">
        <v>0</v>
      </c>
      <c r="F421" s="2">
        <v>5.6199998860000004</v>
      </c>
      <c r="G421" s="2">
        <v>0.43000000700000002</v>
      </c>
      <c r="H421" s="2">
        <v>2.4100000860000002</v>
      </c>
      <c r="I421" s="2">
        <v>0</v>
      </c>
      <c r="J421" s="2">
        <v>50</v>
      </c>
      <c r="K421" s="2">
        <v>9</v>
      </c>
      <c r="L421" s="2">
        <v>133</v>
      </c>
      <c r="M421" s="2">
        <v>781</v>
      </c>
      <c r="N421" s="2">
        <v>11177</v>
      </c>
      <c r="O421" s="2">
        <v>1570</v>
      </c>
    </row>
    <row r="422" spans="1:15" x14ac:dyDescent="0.35">
      <c r="A422" s="2">
        <v>2022484408</v>
      </c>
      <c r="B422" s="3">
        <v>42485</v>
      </c>
      <c r="C422" s="2">
        <v>8.0100002289999992</v>
      </c>
      <c r="D422" s="2">
        <v>8.0100002289999992</v>
      </c>
      <c r="E422" s="2">
        <v>0</v>
      </c>
      <c r="F422" s="2">
        <v>3.329999924</v>
      </c>
      <c r="G422" s="2">
        <v>0.219999999</v>
      </c>
      <c r="H422" s="2">
        <v>4.4600000380000004</v>
      </c>
      <c r="I422" s="2">
        <v>0</v>
      </c>
      <c r="J422" s="2">
        <v>44</v>
      </c>
      <c r="K422" s="2">
        <v>8</v>
      </c>
      <c r="L422" s="2">
        <v>217</v>
      </c>
      <c r="M422" s="2">
        <v>1171</v>
      </c>
      <c r="N422" s="2">
        <v>11369</v>
      </c>
      <c r="O422" s="2">
        <v>2470</v>
      </c>
    </row>
    <row r="423" spans="1:15" x14ac:dyDescent="0.35">
      <c r="A423" s="2">
        <v>8583815059</v>
      </c>
      <c r="B423" s="3">
        <v>42489</v>
      </c>
      <c r="C423" s="2">
        <v>11.829999920000001</v>
      </c>
      <c r="D423" s="2">
        <v>11.829999920000001</v>
      </c>
      <c r="E423" s="2">
        <v>0</v>
      </c>
      <c r="F423" s="2">
        <v>3.9000000950000002</v>
      </c>
      <c r="G423" s="2">
        <v>3</v>
      </c>
      <c r="H423" s="2">
        <v>4.920000076</v>
      </c>
      <c r="I423" s="2">
        <v>0</v>
      </c>
      <c r="J423" s="2">
        <v>46</v>
      </c>
      <c r="K423" s="2">
        <v>67</v>
      </c>
      <c r="L423" s="2">
        <v>258</v>
      </c>
      <c r="M423" s="2">
        <v>1069</v>
      </c>
      <c r="N423" s="2">
        <v>15168</v>
      </c>
      <c r="O423" s="2">
        <v>3513</v>
      </c>
    </row>
    <row r="424" spans="1:15" x14ac:dyDescent="0.35">
      <c r="A424" s="2">
        <v>8583815059</v>
      </c>
      <c r="B424" s="3">
        <v>42476</v>
      </c>
      <c r="C424" s="2">
        <v>4.1500000950000002</v>
      </c>
      <c r="D424" s="2">
        <v>4.1500000950000002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1440</v>
      </c>
      <c r="N424" s="2">
        <v>5319</v>
      </c>
      <c r="O424" s="2">
        <v>2693</v>
      </c>
    </row>
    <row r="425" spans="1:15" x14ac:dyDescent="0.35">
      <c r="A425" s="2">
        <v>8877689391</v>
      </c>
      <c r="B425" s="3">
        <v>42648</v>
      </c>
      <c r="C425" s="2">
        <v>8.1499996190000008</v>
      </c>
      <c r="D425" s="2">
        <v>8.1499996190000008</v>
      </c>
      <c r="E425" s="2">
        <v>0</v>
      </c>
      <c r="F425" s="2">
        <v>1.3500000240000001</v>
      </c>
      <c r="G425" s="2">
        <v>0.46000000800000002</v>
      </c>
      <c r="H425" s="2">
        <v>6.2800002099999999</v>
      </c>
      <c r="I425" s="2">
        <v>0</v>
      </c>
      <c r="J425" s="2">
        <v>18</v>
      </c>
      <c r="K425" s="2">
        <v>11</v>
      </c>
      <c r="L425" s="2">
        <v>224</v>
      </c>
      <c r="M425" s="2">
        <v>1187</v>
      </c>
      <c r="N425" s="2">
        <v>10733</v>
      </c>
      <c r="O425" s="2">
        <v>2832</v>
      </c>
    </row>
    <row r="426" spans="1:15" x14ac:dyDescent="0.35">
      <c r="A426" s="2">
        <v>8583815059</v>
      </c>
      <c r="B426" s="3">
        <v>42708</v>
      </c>
      <c r="C426" s="2">
        <v>3.9100000860000002</v>
      </c>
      <c r="D426" s="2">
        <v>3.9100000860000002</v>
      </c>
      <c r="E426" s="2">
        <v>0</v>
      </c>
      <c r="F426" s="2">
        <v>0</v>
      </c>
      <c r="G426" s="2">
        <v>0.33000001299999998</v>
      </c>
      <c r="H426" s="2">
        <v>3.579999924</v>
      </c>
      <c r="I426" s="2">
        <v>0</v>
      </c>
      <c r="J426" s="2">
        <v>0</v>
      </c>
      <c r="K426" s="2">
        <v>7</v>
      </c>
      <c r="L426" s="2">
        <v>196</v>
      </c>
      <c r="M426" s="2">
        <v>1237</v>
      </c>
      <c r="N426" s="2">
        <v>5014</v>
      </c>
      <c r="O426" s="2">
        <v>2650</v>
      </c>
    </row>
    <row r="427" spans="1:15" x14ac:dyDescent="0.35">
      <c r="A427" s="2">
        <v>1844505072</v>
      </c>
      <c r="B427" s="3">
        <v>42480</v>
      </c>
      <c r="C427" s="2">
        <v>0.01</v>
      </c>
      <c r="D427" s="2">
        <v>0.01</v>
      </c>
      <c r="E427" s="2">
        <v>0</v>
      </c>
      <c r="F427" s="2">
        <v>0</v>
      </c>
      <c r="G427" s="2">
        <v>0</v>
      </c>
      <c r="H427" s="2">
        <v>0.01</v>
      </c>
      <c r="I427" s="2">
        <v>0</v>
      </c>
      <c r="J427" s="2">
        <v>0</v>
      </c>
      <c r="K427" s="2">
        <v>0</v>
      </c>
      <c r="L427" s="2">
        <v>1</v>
      </c>
      <c r="M427" s="2">
        <v>1439</v>
      </c>
      <c r="N427" s="2">
        <v>8</v>
      </c>
      <c r="O427" s="2">
        <v>1349</v>
      </c>
    </row>
    <row r="428" spans="1:15" x14ac:dyDescent="0.35">
      <c r="A428" s="2">
        <v>2022484408</v>
      </c>
      <c r="B428" s="3">
        <v>42526</v>
      </c>
      <c r="C428" s="2">
        <v>7.1799998279999997</v>
      </c>
      <c r="D428" s="2">
        <v>7.1799998279999997</v>
      </c>
      <c r="E428" s="2">
        <v>0</v>
      </c>
      <c r="F428" s="2">
        <v>1.8700000050000001</v>
      </c>
      <c r="G428" s="2">
        <v>0.670000017</v>
      </c>
      <c r="H428" s="2">
        <v>4.6399998660000001</v>
      </c>
      <c r="I428" s="2">
        <v>0</v>
      </c>
      <c r="J428" s="2">
        <v>24</v>
      </c>
      <c r="K428" s="2">
        <v>17</v>
      </c>
      <c r="L428" s="2">
        <v>295</v>
      </c>
      <c r="M428" s="2">
        <v>1104</v>
      </c>
      <c r="N428" s="2">
        <v>10227</v>
      </c>
      <c r="O428" s="2">
        <v>2498</v>
      </c>
    </row>
    <row r="429" spans="1:15" x14ac:dyDescent="0.35">
      <c r="A429" s="2">
        <v>4388161847</v>
      </c>
      <c r="B429" s="3">
        <v>42476</v>
      </c>
      <c r="C429" s="2">
        <v>5.0599999430000002</v>
      </c>
      <c r="D429" s="2">
        <v>5.0599999430000002</v>
      </c>
      <c r="E429" s="2">
        <v>0</v>
      </c>
      <c r="F429" s="2">
        <v>0.209999993</v>
      </c>
      <c r="G429" s="2">
        <v>0.40000000600000002</v>
      </c>
      <c r="H429" s="2">
        <v>4.4499998090000004</v>
      </c>
      <c r="I429" s="2">
        <v>0</v>
      </c>
      <c r="J429" s="2">
        <v>6</v>
      </c>
      <c r="K429" s="2">
        <v>9</v>
      </c>
      <c r="L429" s="2">
        <v>253</v>
      </c>
      <c r="M429" s="2">
        <v>609</v>
      </c>
      <c r="N429" s="2">
        <v>6580</v>
      </c>
      <c r="O429" s="2">
        <v>3073</v>
      </c>
    </row>
    <row r="430" spans="1:15" x14ac:dyDescent="0.35">
      <c r="A430" s="2">
        <v>7007744171</v>
      </c>
      <c r="B430" s="3">
        <v>42478</v>
      </c>
      <c r="C430" s="2">
        <v>10.97999954</v>
      </c>
      <c r="D430" s="2">
        <v>9.9099998469999999</v>
      </c>
      <c r="E430" s="2">
        <v>4.9305500980000003</v>
      </c>
      <c r="F430" s="2">
        <v>3.789999962</v>
      </c>
      <c r="G430" s="2">
        <v>2.119999886</v>
      </c>
      <c r="H430" s="2">
        <v>5.0500001909999996</v>
      </c>
      <c r="I430" s="2">
        <v>0.02</v>
      </c>
      <c r="J430" s="2">
        <v>48</v>
      </c>
      <c r="K430" s="2">
        <v>31</v>
      </c>
      <c r="L430" s="2">
        <v>284</v>
      </c>
      <c r="M430" s="2">
        <v>1077</v>
      </c>
      <c r="N430" s="2">
        <v>14816</v>
      </c>
      <c r="O430" s="2">
        <v>2832</v>
      </c>
    </row>
    <row r="431" spans="1:15" x14ac:dyDescent="0.35">
      <c r="A431" s="2">
        <v>8378563200</v>
      </c>
      <c r="B431" s="3">
        <v>42481</v>
      </c>
      <c r="C431" s="2">
        <v>12.010000229999999</v>
      </c>
      <c r="D431" s="2">
        <v>12.010000229999999</v>
      </c>
      <c r="E431" s="2">
        <v>2.2530810830000001</v>
      </c>
      <c r="F431" s="2">
        <v>6.9000000950000002</v>
      </c>
      <c r="G431" s="2">
        <v>0.81999999300000004</v>
      </c>
      <c r="H431" s="2">
        <v>4.2899999619999996</v>
      </c>
      <c r="I431" s="2">
        <v>0</v>
      </c>
      <c r="J431" s="2">
        <v>137</v>
      </c>
      <c r="K431" s="2">
        <v>16</v>
      </c>
      <c r="L431" s="2">
        <v>145</v>
      </c>
      <c r="M431" s="2">
        <v>677</v>
      </c>
      <c r="N431" s="2">
        <v>15148</v>
      </c>
      <c r="O431" s="2">
        <v>4236</v>
      </c>
    </row>
    <row r="432" spans="1:15" x14ac:dyDescent="0.35">
      <c r="A432" s="2">
        <v>6117666160</v>
      </c>
      <c r="B432" s="3">
        <v>42405</v>
      </c>
      <c r="C432" s="2">
        <v>3.7300000190000002</v>
      </c>
      <c r="D432" s="2">
        <v>3.7300000190000002</v>
      </c>
      <c r="E432" s="2">
        <v>0</v>
      </c>
      <c r="F432" s="2">
        <v>0</v>
      </c>
      <c r="G432" s="2">
        <v>0</v>
      </c>
      <c r="H432" s="2">
        <v>3.7300000190000002</v>
      </c>
      <c r="I432" s="2">
        <v>0</v>
      </c>
      <c r="J432" s="2">
        <v>0</v>
      </c>
      <c r="K432" s="2">
        <v>0</v>
      </c>
      <c r="L432" s="2">
        <v>236</v>
      </c>
      <c r="M432" s="2">
        <v>1204</v>
      </c>
      <c r="N432" s="2">
        <v>4933</v>
      </c>
      <c r="O432" s="2">
        <v>2044</v>
      </c>
    </row>
    <row r="433" spans="1:15" x14ac:dyDescent="0.35">
      <c r="A433" s="2">
        <v>2022484408</v>
      </c>
      <c r="B433" s="3">
        <v>42495</v>
      </c>
      <c r="C433" s="2">
        <v>8.3500003809999992</v>
      </c>
      <c r="D433" s="2">
        <v>8.3500003809999992</v>
      </c>
      <c r="E433" s="2">
        <v>0</v>
      </c>
      <c r="F433" s="2">
        <v>2.789999962</v>
      </c>
      <c r="G433" s="2">
        <v>0.86000001400000003</v>
      </c>
      <c r="H433" s="2">
        <v>4.6999998090000004</v>
      </c>
      <c r="I433" s="2">
        <v>0</v>
      </c>
      <c r="J433" s="2">
        <v>55</v>
      </c>
      <c r="K433" s="2">
        <v>20</v>
      </c>
      <c r="L433" s="2">
        <v>253</v>
      </c>
      <c r="M433" s="2">
        <v>1112</v>
      </c>
      <c r="N433" s="2">
        <v>11895</v>
      </c>
      <c r="O433" s="2">
        <v>2609</v>
      </c>
    </row>
    <row r="434" spans="1:15" x14ac:dyDescent="0.35">
      <c r="A434" s="2">
        <v>5553957443</v>
      </c>
      <c r="B434" s="3">
        <v>42479</v>
      </c>
      <c r="C434" s="2">
        <v>10.10999966</v>
      </c>
      <c r="D434" s="2">
        <v>10.10999966</v>
      </c>
      <c r="E434" s="2">
        <v>0</v>
      </c>
      <c r="F434" s="2">
        <v>4.2800002099999999</v>
      </c>
      <c r="G434" s="2">
        <v>1.6599999670000001</v>
      </c>
      <c r="H434" s="2">
        <v>4.1799998279999997</v>
      </c>
      <c r="I434" s="2">
        <v>0</v>
      </c>
      <c r="J434" s="2">
        <v>69</v>
      </c>
      <c r="K434" s="2">
        <v>28</v>
      </c>
      <c r="L434" s="2">
        <v>249</v>
      </c>
      <c r="M434" s="2">
        <v>756</v>
      </c>
      <c r="N434" s="2">
        <v>15482</v>
      </c>
      <c r="O434" s="2">
        <v>2284</v>
      </c>
    </row>
    <row r="435" spans="1:15" x14ac:dyDescent="0.35">
      <c r="A435" s="2">
        <v>6290855005</v>
      </c>
      <c r="B435" s="3">
        <v>42481</v>
      </c>
      <c r="C435" s="2">
        <v>0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1440</v>
      </c>
      <c r="N435" s="2">
        <v>0</v>
      </c>
      <c r="O435" s="2">
        <v>2060</v>
      </c>
    </row>
    <row r="436" spans="1:15" x14ac:dyDescent="0.35">
      <c r="A436" s="2">
        <v>7086361926</v>
      </c>
      <c r="B436" s="3">
        <v>42480</v>
      </c>
      <c r="C436" s="2">
        <v>10.64000034</v>
      </c>
      <c r="D436" s="2">
        <v>10.64000034</v>
      </c>
      <c r="E436" s="2">
        <v>0</v>
      </c>
      <c r="F436" s="2">
        <v>7.6399998660000001</v>
      </c>
      <c r="G436" s="2">
        <v>0.44999998800000002</v>
      </c>
      <c r="H436" s="2">
        <v>2.539999962</v>
      </c>
      <c r="I436" s="2">
        <v>0</v>
      </c>
      <c r="J436" s="2">
        <v>87</v>
      </c>
      <c r="K436" s="2">
        <v>13</v>
      </c>
      <c r="L436" s="2">
        <v>145</v>
      </c>
      <c r="M436" s="2">
        <v>797</v>
      </c>
      <c r="N436" s="2">
        <v>14365</v>
      </c>
      <c r="O436" s="2">
        <v>2997</v>
      </c>
    </row>
    <row r="437" spans="1:15" x14ac:dyDescent="0.35">
      <c r="A437" s="2">
        <v>8378563200</v>
      </c>
      <c r="B437" s="3">
        <v>42405</v>
      </c>
      <c r="C437" s="2">
        <v>4.8099999430000002</v>
      </c>
      <c r="D437" s="2">
        <v>4.8099999430000002</v>
      </c>
      <c r="E437" s="2">
        <v>2.0921471120000001</v>
      </c>
      <c r="F437" s="2">
        <v>0.62999999500000003</v>
      </c>
      <c r="G437" s="2">
        <v>0.17000000200000001</v>
      </c>
      <c r="H437" s="2">
        <v>4.0100002290000001</v>
      </c>
      <c r="I437" s="2">
        <v>0</v>
      </c>
      <c r="J437" s="2">
        <v>63</v>
      </c>
      <c r="K437" s="2">
        <v>4</v>
      </c>
      <c r="L437" s="2">
        <v>142</v>
      </c>
      <c r="M437" s="2">
        <v>802</v>
      </c>
      <c r="N437" s="2">
        <v>6064</v>
      </c>
      <c r="O437" s="2">
        <v>3491</v>
      </c>
    </row>
    <row r="438" spans="1:15" x14ac:dyDescent="0.35">
      <c r="A438" s="2">
        <v>4319703577</v>
      </c>
      <c r="B438" s="3">
        <v>42474</v>
      </c>
      <c r="C438" s="2">
        <v>6.8800001139999996</v>
      </c>
      <c r="D438" s="2">
        <v>6.8800001139999996</v>
      </c>
      <c r="E438" s="2">
        <v>0</v>
      </c>
      <c r="F438" s="2">
        <v>0.109999999</v>
      </c>
      <c r="G438" s="2">
        <v>0.33000001299999998</v>
      </c>
      <c r="H438" s="2">
        <v>6.4400000569999998</v>
      </c>
      <c r="I438" s="2">
        <v>0</v>
      </c>
      <c r="J438" s="2">
        <v>1</v>
      </c>
      <c r="K438" s="2">
        <v>9</v>
      </c>
      <c r="L438" s="2">
        <v>339</v>
      </c>
      <c r="M438" s="2">
        <v>589</v>
      </c>
      <c r="N438" s="2">
        <v>10210</v>
      </c>
      <c r="O438" s="2">
        <v>2302</v>
      </c>
    </row>
    <row r="439" spans="1:15" x14ac:dyDescent="0.35">
      <c r="A439" s="2">
        <v>2347167796</v>
      </c>
      <c r="B439" s="3">
        <v>42482</v>
      </c>
      <c r="C439" s="2">
        <v>5.1599998469999999</v>
      </c>
      <c r="D439" s="2">
        <v>5.1599998469999999</v>
      </c>
      <c r="E439" s="2">
        <v>0</v>
      </c>
      <c r="F439" s="2">
        <v>0.560000002</v>
      </c>
      <c r="G439" s="2">
        <v>1.6799999480000001</v>
      </c>
      <c r="H439" s="2">
        <v>2.920000076</v>
      </c>
      <c r="I439" s="2">
        <v>0</v>
      </c>
      <c r="J439" s="2">
        <v>9</v>
      </c>
      <c r="K439" s="2">
        <v>27</v>
      </c>
      <c r="L439" s="2">
        <v>206</v>
      </c>
      <c r="M439" s="2">
        <v>781</v>
      </c>
      <c r="N439" s="2">
        <v>7804</v>
      </c>
      <c r="O439" s="2">
        <v>1946</v>
      </c>
    </row>
    <row r="440" spans="1:15" x14ac:dyDescent="0.35">
      <c r="A440" s="2">
        <v>8378563200</v>
      </c>
      <c r="B440" s="3">
        <v>42480</v>
      </c>
      <c r="C440" s="2">
        <v>7.4400000569999998</v>
      </c>
      <c r="D440" s="2">
        <v>7.4400000569999998</v>
      </c>
      <c r="E440" s="2">
        <v>2.0921471120000001</v>
      </c>
      <c r="F440" s="2">
        <v>2.2300000190000002</v>
      </c>
      <c r="G440" s="2">
        <v>0.439999998</v>
      </c>
      <c r="H440" s="2">
        <v>4.7800002099999999</v>
      </c>
      <c r="I440" s="2">
        <v>0</v>
      </c>
      <c r="J440" s="2">
        <v>82</v>
      </c>
      <c r="K440" s="2">
        <v>8</v>
      </c>
      <c r="L440" s="2">
        <v>169</v>
      </c>
      <c r="M440" s="2">
        <v>763</v>
      </c>
      <c r="N440" s="2">
        <v>9388</v>
      </c>
      <c r="O440" s="2">
        <v>3787</v>
      </c>
    </row>
    <row r="441" spans="1:15" x14ac:dyDescent="0.35">
      <c r="A441" s="2">
        <v>3977333714</v>
      </c>
      <c r="B441" s="3">
        <v>42374</v>
      </c>
      <c r="C441" s="2">
        <v>7.0700001720000003</v>
      </c>
      <c r="D441" s="2">
        <v>7.0700001720000003</v>
      </c>
      <c r="E441" s="2">
        <v>0</v>
      </c>
      <c r="F441" s="2">
        <v>2.670000076</v>
      </c>
      <c r="G441" s="2">
        <v>1.980000019</v>
      </c>
      <c r="H441" s="2">
        <v>2.4100000860000002</v>
      </c>
      <c r="I441" s="2">
        <v>0</v>
      </c>
      <c r="J441" s="2">
        <v>41</v>
      </c>
      <c r="K441" s="2">
        <v>40</v>
      </c>
      <c r="L441" s="2">
        <v>124</v>
      </c>
      <c r="M441" s="2">
        <v>691</v>
      </c>
      <c r="N441" s="2">
        <v>10414</v>
      </c>
      <c r="O441" s="2">
        <v>1501</v>
      </c>
    </row>
    <row r="442" spans="1:15" x14ac:dyDescent="0.35">
      <c r="A442" s="2">
        <v>5577150313</v>
      </c>
      <c r="B442" s="3">
        <v>42480</v>
      </c>
      <c r="C442" s="2">
        <v>6.2199997900000001</v>
      </c>
      <c r="D442" s="2">
        <v>6.2199997900000001</v>
      </c>
      <c r="E442" s="2">
        <v>0</v>
      </c>
      <c r="F442" s="2">
        <v>4.1199998860000004</v>
      </c>
      <c r="G442" s="2">
        <v>0.34000000400000002</v>
      </c>
      <c r="H442" s="2">
        <v>1.7599999900000001</v>
      </c>
      <c r="I442" s="2">
        <v>0</v>
      </c>
      <c r="J442" s="2">
        <v>87</v>
      </c>
      <c r="K442" s="2">
        <v>16</v>
      </c>
      <c r="L442" s="2">
        <v>113</v>
      </c>
      <c r="M442" s="2">
        <v>773</v>
      </c>
      <c r="N442" s="2">
        <v>8330</v>
      </c>
      <c r="O442" s="2">
        <v>3192</v>
      </c>
    </row>
    <row r="443" spans="1:15" x14ac:dyDescent="0.35">
      <c r="A443" s="2">
        <v>1503960366</v>
      </c>
      <c r="B443" s="3">
        <v>42487</v>
      </c>
      <c r="C443" s="2">
        <v>12.210000040000001</v>
      </c>
      <c r="D443" s="2">
        <v>12.210000040000001</v>
      </c>
      <c r="E443" s="2">
        <v>0</v>
      </c>
      <c r="F443" s="2">
        <v>6.4000000950000002</v>
      </c>
      <c r="G443" s="2">
        <v>0.40999999599999998</v>
      </c>
      <c r="H443" s="2">
        <v>5.4099998469999999</v>
      </c>
      <c r="I443" s="2">
        <v>0</v>
      </c>
      <c r="J443" s="2">
        <v>78</v>
      </c>
      <c r="K443" s="2">
        <v>11</v>
      </c>
      <c r="L443" s="2">
        <v>243</v>
      </c>
      <c r="M443" s="2">
        <v>1108</v>
      </c>
      <c r="N443" s="2">
        <v>18134</v>
      </c>
      <c r="O443" s="2">
        <v>2159</v>
      </c>
    </row>
    <row r="444" spans="1:15" x14ac:dyDescent="0.35">
      <c r="A444" s="2">
        <v>1503960366</v>
      </c>
      <c r="B444" s="3">
        <v>42475</v>
      </c>
      <c r="C444" s="2">
        <v>6.2800002099999999</v>
      </c>
      <c r="D444" s="2">
        <v>6.2800002099999999</v>
      </c>
      <c r="E444" s="2">
        <v>0</v>
      </c>
      <c r="F444" s="2">
        <v>2.1400001049999999</v>
      </c>
      <c r="G444" s="2">
        <v>1.2599999900000001</v>
      </c>
      <c r="H444" s="2">
        <v>2.829999924</v>
      </c>
      <c r="I444" s="2">
        <v>0</v>
      </c>
      <c r="J444" s="2">
        <v>29</v>
      </c>
      <c r="K444" s="2">
        <v>34</v>
      </c>
      <c r="L444" s="2">
        <v>209</v>
      </c>
      <c r="M444" s="2">
        <v>726</v>
      </c>
      <c r="N444" s="2">
        <v>9762</v>
      </c>
      <c r="O444" s="2">
        <v>1745</v>
      </c>
    </row>
    <row r="445" spans="1:15" x14ac:dyDescent="0.35">
      <c r="A445" s="2">
        <v>8583815059</v>
      </c>
      <c r="B445" s="3">
        <v>42490</v>
      </c>
      <c r="C445" s="2">
        <v>7.8699998860000004</v>
      </c>
      <c r="D445" s="2">
        <v>7.8699998860000004</v>
      </c>
      <c r="E445" s="2">
        <v>0</v>
      </c>
      <c r="F445" s="2">
        <v>0.15000000599999999</v>
      </c>
      <c r="G445" s="2">
        <v>1.2799999710000001</v>
      </c>
      <c r="H445" s="2">
        <v>6.4299998279999997</v>
      </c>
      <c r="I445" s="2">
        <v>0</v>
      </c>
      <c r="J445" s="2">
        <v>2</v>
      </c>
      <c r="K445" s="2">
        <v>28</v>
      </c>
      <c r="L445" s="2">
        <v>317</v>
      </c>
      <c r="M445" s="2">
        <v>1093</v>
      </c>
      <c r="N445" s="2">
        <v>10085</v>
      </c>
      <c r="O445" s="2">
        <v>3164</v>
      </c>
    </row>
    <row r="446" spans="1:15" x14ac:dyDescent="0.35">
      <c r="A446" s="2">
        <v>2347167796</v>
      </c>
      <c r="B446" s="3">
        <v>42481</v>
      </c>
      <c r="C446" s="2">
        <v>6.75</v>
      </c>
      <c r="D446" s="2">
        <v>6.75</v>
      </c>
      <c r="E446" s="2">
        <v>0</v>
      </c>
      <c r="F446" s="2">
        <v>1.8500000240000001</v>
      </c>
      <c r="G446" s="2">
        <v>1.5299999710000001</v>
      </c>
      <c r="H446" s="2">
        <v>3.380000114</v>
      </c>
      <c r="I446" s="2">
        <v>0</v>
      </c>
      <c r="J446" s="2">
        <v>23</v>
      </c>
      <c r="K446" s="2">
        <v>26</v>
      </c>
      <c r="L446" s="2">
        <v>208</v>
      </c>
      <c r="M446" s="2">
        <v>761</v>
      </c>
      <c r="N446" s="2">
        <v>10080</v>
      </c>
      <c r="O446" s="2">
        <v>2048</v>
      </c>
    </row>
    <row r="447" spans="1:15" x14ac:dyDescent="0.35">
      <c r="A447" s="2">
        <v>6962181067</v>
      </c>
      <c r="B447" s="3">
        <v>42526</v>
      </c>
      <c r="C447" s="2">
        <v>3.9100000860000002</v>
      </c>
      <c r="D447" s="2">
        <v>3.9100000860000002</v>
      </c>
      <c r="E447" s="2">
        <v>0</v>
      </c>
      <c r="F447" s="2">
        <v>0</v>
      </c>
      <c r="G447" s="2">
        <v>0</v>
      </c>
      <c r="H447" s="2">
        <v>3.9100000860000002</v>
      </c>
      <c r="I447" s="2">
        <v>0</v>
      </c>
      <c r="J447" s="2">
        <v>0</v>
      </c>
      <c r="K447" s="2">
        <v>0</v>
      </c>
      <c r="L447" s="2">
        <v>299</v>
      </c>
      <c r="M447" s="2">
        <v>717</v>
      </c>
      <c r="N447" s="2">
        <v>5908</v>
      </c>
      <c r="O447" s="2">
        <v>1850</v>
      </c>
    </row>
    <row r="448" spans="1:15" x14ac:dyDescent="0.35">
      <c r="A448" s="2">
        <v>7007744171</v>
      </c>
      <c r="B448" s="3">
        <v>42708</v>
      </c>
      <c r="C448" s="2">
        <v>10.289999959999999</v>
      </c>
      <c r="D448" s="2">
        <v>9.4799995419999998</v>
      </c>
      <c r="E448" s="2">
        <v>4.869782925</v>
      </c>
      <c r="F448" s="2">
        <v>4.5</v>
      </c>
      <c r="G448" s="2">
        <v>0.37999999499999998</v>
      </c>
      <c r="H448" s="2">
        <v>5.4099998469999999</v>
      </c>
      <c r="I448" s="2">
        <v>0</v>
      </c>
      <c r="J448" s="2">
        <v>53</v>
      </c>
      <c r="K448" s="2">
        <v>8</v>
      </c>
      <c r="L448" s="2">
        <v>355</v>
      </c>
      <c r="M448" s="2">
        <v>1024</v>
      </c>
      <c r="N448" s="2">
        <v>14172</v>
      </c>
      <c r="O448" s="2">
        <v>2937</v>
      </c>
    </row>
    <row r="449" spans="1:15" x14ac:dyDescent="0.35">
      <c r="A449" s="2">
        <v>7007744171</v>
      </c>
      <c r="B449" s="3">
        <v>42481</v>
      </c>
      <c r="C449" s="2">
        <v>9.1899995800000003</v>
      </c>
      <c r="D449" s="2">
        <v>9.1899995800000003</v>
      </c>
      <c r="E449" s="2">
        <v>0</v>
      </c>
      <c r="F449" s="2">
        <v>2.1500000950000002</v>
      </c>
      <c r="G449" s="2">
        <v>1.8700000050000001</v>
      </c>
      <c r="H449" s="2">
        <v>5.170000076</v>
      </c>
      <c r="I449" s="2">
        <v>0</v>
      </c>
      <c r="J449" s="2">
        <v>30</v>
      </c>
      <c r="K449" s="2">
        <v>34</v>
      </c>
      <c r="L449" s="2">
        <v>327</v>
      </c>
      <c r="M449" s="2">
        <v>1049</v>
      </c>
      <c r="N449" s="2">
        <v>13744</v>
      </c>
      <c r="O449" s="2">
        <v>2763</v>
      </c>
    </row>
    <row r="450" spans="1:15" x14ac:dyDescent="0.35">
      <c r="A450" s="2">
        <v>4445114986</v>
      </c>
      <c r="B450" s="3">
        <v>42486</v>
      </c>
      <c r="C450" s="2">
        <v>4.4099998469999999</v>
      </c>
      <c r="D450" s="2">
        <v>4.4099998469999999</v>
      </c>
      <c r="E450" s="2">
        <v>0</v>
      </c>
      <c r="F450" s="2">
        <v>2.4100000860000002</v>
      </c>
      <c r="G450" s="2">
        <v>3.9999999000000001E-2</v>
      </c>
      <c r="H450" s="2">
        <v>1.960000038</v>
      </c>
      <c r="I450" s="2">
        <v>0</v>
      </c>
      <c r="J450" s="2">
        <v>29</v>
      </c>
      <c r="K450" s="2">
        <v>1</v>
      </c>
      <c r="L450" s="2">
        <v>180</v>
      </c>
      <c r="M450" s="2">
        <v>839</v>
      </c>
      <c r="N450" s="2">
        <v>6326</v>
      </c>
      <c r="O450" s="2">
        <v>2291</v>
      </c>
    </row>
    <row r="451" spans="1:15" x14ac:dyDescent="0.35">
      <c r="A451" s="2">
        <v>4319703577</v>
      </c>
      <c r="B451" s="3">
        <v>42484</v>
      </c>
      <c r="C451" s="2">
        <v>2.7400000100000002</v>
      </c>
      <c r="D451" s="2">
        <v>2.7400000100000002</v>
      </c>
      <c r="E451" s="2">
        <v>0</v>
      </c>
      <c r="F451" s="2">
        <v>5.9999998999999998E-2</v>
      </c>
      <c r="G451" s="2">
        <v>0.20000000300000001</v>
      </c>
      <c r="H451" s="2">
        <v>2.4700000289999999</v>
      </c>
      <c r="I451" s="2">
        <v>0</v>
      </c>
      <c r="J451" s="2">
        <v>1</v>
      </c>
      <c r="K451" s="2">
        <v>5</v>
      </c>
      <c r="L451" s="2">
        <v>191</v>
      </c>
      <c r="M451" s="2">
        <v>692</v>
      </c>
      <c r="N451" s="2">
        <v>4081</v>
      </c>
      <c r="O451" s="2">
        <v>1880</v>
      </c>
    </row>
    <row r="452" spans="1:15" x14ac:dyDescent="0.35">
      <c r="A452" s="2">
        <v>2320127002</v>
      </c>
      <c r="B452" s="3">
        <v>42478</v>
      </c>
      <c r="C452" s="2">
        <v>4.420000076</v>
      </c>
      <c r="D452" s="2">
        <v>4.420000076</v>
      </c>
      <c r="E452" s="2">
        <v>0</v>
      </c>
      <c r="F452" s="2">
        <v>0</v>
      </c>
      <c r="G452" s="2">
        <v>0.25999999000000001</v>
      </c>
      <c r="H452" s="2">
        <v>4.1399998660000001</v>
      </c>
      <c r="I452" s="2">
        <v>0</v>
      </c>
      <c r="J452" s="2">
        <v>0</v>
      </c>
      <c r="K452" s="2">
        <v>7</v>
      </c>
      <c r="L452" s="2">
        <v>260</v>
      </c>
      <c r="M452" s="2">
        <v>1173</v>
      </c>
      <c r="N452" s="2">
        <v>6559</v>
      </c>
      <c r="O452" s="2">
        <v>1905</v>
      </c>
    </row>
    <row r="453" spans="1:15" x14ac:dyDescent="0.35">
      <c r="A453" s="2">
        <v>2022484408</v>
      </c>
      <c r="B453" s="3">
        <v>42556</v>
      </c>
      <c r="C453" s="2">
        <v>4.7100000380000004</v>
      </c>
      <c r="D453" s="2">
        <v>4.7100000380000004</v>
      </c>
      <c r="E453" s="2">
        <v>0</v>
      </c>
      <c r="F453" s="2">
        <v>1.6100000139999999</v>
      </c>
      <c r="G453" s="2">
        <v>7.9999998000000003E-2</v>
      </c>
      <c r="H453" s="2">
        <v>3.0199999809999998</v>
      </c>
      <c r="I453" s="2">
        <v>0</v>
      </c>
      <c r="J453" s="2">
        <v>20</v>
      </c>
      <c r="K453" s="2">
        <v>2</v>
      </c>
      <c r="L453" s="2">
        <v>149</v>
      </c>
      <c r="M453" s="2">
        <v>1269</v>
      </c>
      <c r="N453" s="2">
        <v>6708</v>
      </c>
      <c r="O453" s="2">
        <v>1995</v>
      </c>
    </row>
    <row r="454" spans="1:15" x14ac:dyDescent="0.35">
      <c r="A454" s="2">
        <v>8792009665</v>
      </c>
      <c r="B454" s="3">
        <v>42479</v>
      </c>
      <c r="C454" s="2">
        <v>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1440</v>
      </c>
      <c r="N454" s="2">
        <v>0</v>
      </c>
      <c r="O454" s="2">
        <v>1688</v>
      </c>
    </row>
    <row r="455" spans="1:15" x14ac:dyDescent="0.35">
      <c r="A455" s="2">
        <v>6775888955</v>
      </c>
      <c r="B455" s="3">
        <v>42487</v>
      </c>
      <c r="C455" s="2">
        <v>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1440</v>
      </c>
      <c r="N455" s="2">
        <v>0</v>
      </c>
      <c r="O455" s="2">
        <v>1841</v>
      </c>
    </row>
    <row r="456" spans="1:15" x14ac:dyDescent="0.35">
      <c r="A456" s="2">
        <v>3977333714</v>
      </c>
      <c r="B456" s="3">
        <v>42480</v>
      </c>
      <c r="C456" s="2">
        <v>7.829999924</v>
      </c>
      <c r="D456" s="2">
        <v>7.829999924</v>
      </c>
      <c r="E456" s="2">
        <v>0</v>
      </c>
      <c r="F456" s="2">
        <v>0.20000000300000001</v>
      </c>
      <c r="G456" s="2">
        <v>4.3499999049999998</v>
      </c>
      <c r="H456" s="2">
        <v>3.2799999710000001</v>
      </c>
      <c r="I456" s="2">
        <v>0</v>
      </c>
      <c r="J456" s="2">
        <v>2</v>
      </c>
      <c r="K456" s="2">
        <v>98</v>
      </c>
      <c r="L456" s="2">
        <v>164</v>
      </c>
      <c r="M456" s="2">
        <v>845</v>
      </c>
      <c r="N456" s="2">
        <v>11658</v>
      </c>
      <c r="O456" s="2">
        <v>1554</v>
      </c>
    </row>
    <row r="457" spans="1:15" x14ac:dyDescent="0.35">
      <c r="A457" s="2">
        <v>5553957443</v>
      </c>
      <c r="B457" s="3">
        <v>42490</v>
      </c>
      <c r="C457" s="2">
        <v>0.77999997099999996</v>
      </c>
      <c r="D457" s="2">
        <v>0.77999997099999996</v>
      </c>
      <c r="E457" s="2">
        <v>0</v>
      </c>
      <c r="F457" s="2">
        <v>0</v>
      </c>
      <c r="G457" s="2">
        <v>0</v>
      </c>
      <c r="H457" s="2">
        <v>0.77999997099999996</v>
      </c>
      <c r="I457" s="2">
        <v>0</v>
      </c>
      <c r="J457" s="2">
        <v>0</v>
      </c>
      <c r="K457" s="2">
        <v>0</v>
      </c>
      <c r="L457" s="2">
        <v>84</v>
      </c>
      <c r="M457" s="2">
        <v>506</v>
      </c>
      <c r="N457" s="2">
        <v>1202</v>
      </c>
      <c r="O457" s="2">
        <v>1463</v>
      </c>
    </row>
    <row r="458" spans="1:15" x14ac:dyDescent="0.35">
      <c r="A458" s="2">
        <v>1503960366</v>
      </c>
      <c r="B458" s="3">
        <v>42481</v>
      </c>
      <c r="C458" s="2">
        <v>6.3400001530000001</v>
      </c>
      <c r="D458" s="2">
        <v>6.3400001530000001</v>
      </c>
      <c r="E458" s="2">
        <v>0</v>
      </c>
      <c r="F458" s="2">
        <v>1.3400000329999999</v>
      </c>
      <c r="G458" s="2">
        <v>0.34999999399999998</v>
      </c>
      <c r="H458" s="2">
        <v>4.6500000950000002</v>
      </c>
      <c r="I458" s="2">
        <v>0</v>
      </c>
      <c r="J458" s="2">
        <v>19</v>
      </c>
      <c r="K458" s="2">
        <v>8</v>
      </c>
      <c r="L458" s="2">
        <v>211</v>
      </c>
      <c r="M458" s="2">
        <v>838</v>
      </c>
      <c r="N458" s="2">
        <v>9819</v>
      </c>
      <c r="O458" s="2">
        <v>1775</v>
      </c>
    </row>
    <row r="459" spans="1:15" x14ac:dyDescent="0.35">
      <c r="A459" s="2">
        <v>2347167796</v>
      </c>
      <c r="B459" s="3">
        <v>42474</v>
      </c>
      <c r="C459" s="2">
        <v>6.6999998090000004</v>
      </c>
      <c r="D459" s="2">
        <v>6.6999998090000004</v>
      </c>
      <c r="E459" s="2">
        <v>0</v>
      </c>
      <c r="F459" s="2">
        <v>0.02</v>
      </c>
      <c r="G459" s="2">
        <v>2.7400000100000002</v>
      </c>
      <c r="H459" s="2">
        <v>3.9400000569999998</v>
      </c>
      <c r="I459" s="2">
        <v>0</v>
      </c>
      <c r="J459" s="2">
        <v>1</v>
      </c>
      <c r="K459" s="2">
        <v>48</v>
      </c>
      <c r="L459" s="2">
        <v>206</v>
      </c>
      <c r="M459" s="2">
        <v>705</v>
      </c>
      <c r="N459" s="2">
        <v>10129</v>
      </c>
      <c r="O459" s="2">
        <v>2010</v>
      </c>
    </row>
    <row r="460" spans="1:15" x14ac:dyDescent="0.35">
      <c r="A460" s="2">
        <v>1503960366</v>
      </c>
      <c r="B460" s="3">
        <v>42465</v>
      </c>
      <c r="C460" s="2">
        <v>7.1500000950000002</v>
      </c>
      <c r="D460" s="2">
        <v>7.1500000950000002</v>
      </c>
      <c r="E460" s="2">
        <v>0</v>
      </c>
      <c r="F460" s="2">
        <v>2.460000038</v>
      </c>
      <c r="G460" s="2">
        <v>0.87000000499999997</v>
      </c>
      <c r="H460" s="2">
        <v>3.8199999330000001</v>
      </c>
      <c r="I460" s="2">
        <v>0</v>
      </c>
      <c r="J460" s="2">
        <v>36</v>
      </c>
      <c r="K460" s="2">
        <v>22</v>
      </c>
      <c r="L460" s="2">
        <v>203</v>
      </c>
      <c r="M460" s="2">
        <v>1179</v>
      </c>
      <c r="N460" s="2">
        <v>11100</v>
      </c>
      <c r="O460" s="2">
        <v>1819</v>
      </c>
    </row>
    <row r="461" spans="1:15" x14ac:dyDescent="0.35">
      <c r="A461" s="2">
        <v>4020332650</v>
      </c>
      <c r="B461" s="3">
        <v>42482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1440</v>
      </c>
      <c r="N461" s="2">
        <v>0</v>
      </c>
      <c r="O461" s="2">
        <v>1980</v>
      </c>
    </row>
    <row r="462" spans="1:15" x14ac:dyDescent="0.35">
      <c r="A462" s="2">
        <v>2320127002</v>
      </c>
      <c r="B462" s="3">
        <v>42477</v>
      </c>
      <c r="C462" s="2">
        <v>4.1799998279999997</v>
      </c>
      <c r="D462" s="2">
        <v>4.1799998279999997</v>
      </c>
      <c r="E462" s="2">
        <v>0</v>
      </c>
      <c r="F462" s="2">
        <v>0</v>
      </c>
      <c r="G462" s="2">
        <v>0</v>
      </c>
      <c r="H462" s="2">
        <v>4.1799998279999997</v>
      </c>
      <c r="I462" s="2">
        <v>0</v>
      </c>
      <c r="J462" s="2">
        <v>0</v>
      </c>
      <c r="K462" s="2">
        <v>0</v>
      </c>
      <c r="L462" s="2">
        <v>249</v>
      </c>
      <c r="M462" s="2">
        <v>1191</v>
      </c>
      <c r="N462" s="2">
        <v>6198</v>
      </c>
      <c r="O462" s="2">
        <v>1852</v>
      </c>
    </row>
    <row r="463" spans="1:15" x14ac:dyDescent="0.35">
      <c r="A463" s="2">
        <v>6290855005</v>
      </c>
      <c r="B463" s="3">
        <v>42708</v>
      </c>
      <c r="C463" s="2">
        <v>3.4500000480000002</v>
      </c>
      <c r="D463" s="2">
        <v>3.4500000480000002</v>
      </c>
      <c r="E463" s="2">
        <v>0</v>
      </c>
      <c r="F463" s="2">
        <v>0</v>
      </c>
      <c r="G463" s="2">
        <v>0</v>
      </c>
      <c r="H463" s="2">
        <v>3.4500000480000002</v>
      </c>
      <c r="I463" s="2">
        <v>0</v>
      </c>
      <c r="J463" s="2">
        <v>0</v>
      </c>
      <c r="K463" s="2">
        <v>0</v>
      </c>
      <c r="L463" s="2">
        <v>199</v>
      </c>
      <c r="M463" s="2">
        <v>1241</v>
      </c>
      <c r="N463" s="2">
        <v>4562</v>
      </c>
      <c r="O463" s="2">
        <v>2560</v>
      </c>
    </row>
    <row r="464" spans="1:15" x14ac:dyDescent="0.35">
      <c r="A464" s="2">
        <v>8253242879</v>
      </c>
      <c r="B464" s="3">
        <v>42481</v>
      </c>
      <c r="C464" s="2">
        <v>8.5600004199999997</v>
      </c>
      <c r="D464" s="2">
        <v>8.5600004199999997</v>
      </c>
      <c r="E464" s="2">
        <v>0</v>
      </c>
      <c r="F464" s="2">
        <v>5.8800001139999996</v>
      </c>
      <c r="G464" s="2">
        <v>0.93000000699999996</v>
      </c>
      <c r="H464" s="2">
        <v>1.75</v>
      </c>
      <c r="I464" s="2">
        <v>0</v>
      </c>
      <c r="J464" s="2">
        <v>49</v>
      </c>
      <c r="K464" s="2">
        <v>20</v>
      </c>
      <c r="L464" s="2">
        <v>172</v>
      </c>
      <c r="M464" s="2">
        <v>1199</v>
      </c>
      <c r="N464" s="2">
        <v>11268</v>
      </c>
      <c r="O464" s="2">
        <v>2218</v>
      </c>
    </row>
    <row r="465" spans="1:15" x14ac:dyDescent="0.35">
      <c r="A465" s="2">
        <v>8877689391</v>
      </c>
      <c r="B465" s="3">
        <v>42486</v>
      </c>
      <c r="C465" s="2">
        <v>8.4300003050000001</v>
      </c>
      <c r="D465" s="2">
        <v>8.4300003050000001</v>
      </c>
      <c r="E465" s="2">
        <v>0</v>
      </c>
      <c r="F465" s="2">
        <v>1.7599999900000001</v>
      </c>
      <c r="G465" s="2">
        <v>0.12999999500000001</v>
      </c>
      <c r="H465" s="2">
        <v>6.5</v>
      </c>
      <c r="I465" s="2">
        <v>0</v>
      </c>
      <c r="J465" s="2">
        <v>22</v>
      </c>
      <c r="K465" s="2">
        <v>3</v>
      </c>
      <c r="L465" s="2">
        <v>258</v>
      </c>
      <c r="M465" s="2">
        <v>1157</v>
      </c>
      <c r="N465" s="2">
        <v>11101</v>
      </c>
      <c r="O465" s="2">
        <v>2860</v>
      </c>
    </row>
    <row r="466" spans="1:15" x14ac:dyDescent="0.35">
      <c r="A466" s="2">
        <v>5553957443</v>
      </c>
      <c r="B466" s="3">
        <v>42488</v>
      </c>
      <c r="C466" s="2">
        <v>7.6300001139999996</v>
      </c>
      <c r="D466" s="2">
        <v>7.6300001139999996</v>
      </c>
      <c r="E466" s="2">
        <v>0</v>
      </c>
      <c r="F466" s="2">
        <v>3.710000038</v>
      </c>
      <c r="G466" s="2">
        <v>0.75</v>
      </c>
      <c r="H466" s="2">
        <v>3.170000076</v>
      </c>
      <c r="I466" s="2">
        <v>0</v>
      </c>
      <c r="J466" s="2">
        <v>49</v>
      </c>
      <c r="K466" s="2">
        <v>13</v>
      </c>
      <c r="L466" s="2">
        <v>165</v>
      </c>
      <c r="M466" s="2">
        <v>727</v>
      </c>
      <c r="N466" s="2">
        <v>11393</v>
      </c>
      <c r="O466" s="2">
        <v>1999</v>
      </c>
    </row>
    <row r="467" spans="1:15" x14ac:dyDescent="0.35">
      <c r="A467" s="2">
        <v>3977333714</v>
      </c>
      <c r="B467" s="3">
        <v>42526</v>
      </c>
      <c r="C467" s="2">
        <v>8.2799997330000004</v>
      </c>
      <c r="D467" s="2">
        <v>8.2799997330000004</v>
      </c>
      <c r="E467" s="2">
        <v>0</v>
      </c>
      <c r="F467" s="2">
        <v>3.1099998950000001</v>
      </c>
      <c r="G467" s="2">
        <v>2.5099999899999998</v>
      </c>
      <c r="H467" s="2">
        <v>2.670000076</v>
      </c>
      <c r="I467" s="2">
        <v>0</v>
      </c>
      <c r="J467" s="2">
        <v>29</v>
      </c>
      <c r="K467" s="2">
        <v>55</v>
      </c>
      <c r="L467" s="2">
        <v>168</v>
      </c>
      <c r="M467" s="2">
        <v>676</v>
      </c>
      <c r="N467" s="2">
        <v>11677</v>
      </c>
      <c r="O467" s="2">
        <v>1590</v>
      </c>
    </row>
    <row r="468" spans="1:15" x14ac:dyDescent="0.35">
      <c r="A468" s="2">
        <v>4388161847</v>
      </c>
      <c r="B468" s="3">
        <v>42374</v>
      </c>
      <c r="C468" s="2">
        <v>7.8899998660000001</v>
      </c>
      <c r="D468" s="2">
        <v>7.8899998660000001</v>
      </c>
      <c r="E468" s="2">
        <v>0</v>
      </c>
      <c r="F468" s="2">
        <v>1.0099999900000001</v>
      </c>
      <c r="G468" s="2">
        <v>0.68000000699999996</v>
      </c>
      <c r="H468" s="2">
        <v>6.1999998090000004</v>
      </c>
      <c r="I468" s="2">
        <v>0</v>
      </c>
      <c r="J468" s="2">
        <v>12</v>
      </c>
      <c r="K468" s="2">
        <v>15</v>
      </c>
      <c r="L468" s="2">
        <v>241</v>
      </c>
      <c r="M468" s="2">
        <v>579</v>
      </c>
      <c r="N468" s="2">
        <v>10255</v>
      </c>
      <c r="O468" s="2">
        <v>2926</v>
      </c>
    </row>
    <row r="469" spans="1:15" x14ac:dyDescent="0.35">
      <c r="A469" s="2">
        <v>8792009665</v>
      </c>
      <c r="B469" s="3">
        <v>42487</v>
      </c>
      <c r="C469" s="2">
        <v>1.1299999949999999</v>
      </c>
      <c r="D469" s="2">
        <v>1.1299999949999999</v>
      </c>
      <c r="E469" s="2">
        <v>0</v>
      </c>
      <c r="F469" s="2">
        <v>0</v>
      </c>
      <c r="G469" s="2">
        <v>0</v>
      </c>
      <c r="H469" s="2">
        <v>1.1299999949999999</v>
      </c>
      <c r="I469" s="2">
        <v>0</v>
      </c>
      <c r="J469" s="2">
        <v>0</v>
      </c>
      <c r="K469" s="2">
        <v>0</v>
      </c>
      <c r="L469" s="2">
        <v>112</v>
      </c>
      <c r="M469" s="2">
        <v>900</v>
      </c>
      <c r="N469" s="2">
        <v>1758</v>
      </c>
      <c r="O469" s="2">
        <v>2067</v>
      </c>
    </row>
    <row r="470" spans="1:15" x14ac:dyDescent="0.35">
      <c r="A470" s="2">
        <v>5553957443</v>
      </c>
      <c r="B470" s="3">
        <v>42478</v>
      </c>
      <c r="C470" s="2">
        <v>2.4300000669999999</v>
      </c>
      <c r="D470" s="2">
        <v>2.4300000669999999</v>
      </c>
      <c r="E470" s="2">
        <v>0</v>
      </c>
      <c r="F470" s="2">
        <v>0</v>
      </c>
      <c r="G470" s="2">
        <v>0</v>
      </c>
      <c r="H470" s="2">
        <v>2.4300000669999999</v>
      </c>
      <c r="I470" s="2">
        <v>0</v>
      </c>
      <c r="J470" s="2">
        <v>0</v>
      </c>
      <c r="K470" s="2">
        <v>0</v>
      </c>
      <c r="L470" s="2">
        <v>206</v>
      </c>
      <c r="M470" s="2">
        <v>622</v>
      </c>
      <c r="N470" s="2">
        <v>3727</v>
      </c>
      <c r="O470" s="2">
        <v>1683</v>
      </c>
    </row>
    <row r="471" spans="1:15" x14ac:dyDescent="0.35">
      <c r="A471" s="2">
        <v>2026352035</v>
      </c>
      <c r="B471" s="3">
        <v>42490</v>
      </c>
      <c r="C471" s="2">
        <v>2.9300000669999999</v>
      </c>
      <c r="D471" s="2">
        <v>2.9300000669999999</v>
      </c>
      <c r="E471" s="2">
        <v>0</v>
      </c>
      <c r="F471" s="2">
        <v>0</v>
      </c>
      <c r="G471" s="2">
        <v>0</v>
      </c>
      <c r="H471" s="2">
        <v>2.9300000669999999</v>
      </c>
      <c r="I471" s="2">
        <v>0</v>
      </c>
      <c r="J471" s="2">
        <v>0</v>
      </c>
      <c r="K471" s="2">
        <v>0</v>
      </c>
      <c r="L471" s="2">
        <v>233</v>
      </c>
      <c r="M471" s="2">
        <v>594</v>
      </c>
      <c r="N471" s="2">
        <v>4729</v>
      </c>
      <c r="O471" s="2">
        <v>1506</v>
      </c>
    </row>
    <row r="472" spans="1:15" x14ac:dyDescent="0.35">
      <c r="A472" s="2">
        <v>5577150313</v>
      </c>
      <c r="B472" s="3">
        <v>42526</v>
      </c>
      <c r="C472" s="2">
        <v>3.7000000480000002</v>
      </c>
      <c r="D472" s="2">
        <v>3.7000000480000002</v>
      </c>
      <c r="E472" s="2">
        <v>0</v>
      </c>
      <c r="F472" s="2">
        <v>1.9299999480000001</v>
      </c>
      <c r="G472" s="2">
        <v>0.31999999299999998</v>
      </c>
      <c r="H472" s="2">
        <v>1.4500000479999999</v>
      </c>
      <c r="I472" s="2">
        <v>0</v>
      </c>
      <c r="J472" s="2">
        <v>41</v>
      </c>
      <c r="K472" s="2">
        <v>16</v>
      </c>
      <c r="L472" s="2">
        <v>79</v>
      </c>
      <c r="M472" s="2">
        <v>1304</v>
      </c>
      <c r="N472" s="2">
        <v>4950</v>
      </c>
      <c r="O472" s="2">
        <v>2643</v>
      </c>
    </row>
    <row r="473" spans="1:15" x14ac:dyDescent="0.35">
      <c r="A473" s="2">
        <v>4445114986</v>
      </c>
      <c r="B473" s="3">
        <v>42474</v>
      </c>
      <c r="C473" s="2">
        <v>2.670000076</v>
      </c>
      <c r="D473" s="2">
        <v>2.670000076</v>
      </c>
      <c r="E473" s="2">
        <v>0</v>
      </c>
      <c r="F473" s="2">
        <v>0</v>
      </c>
      <c r="G473" s="2">
        <v>0</v>
      </c>
      <c r="H473" s="2">
        <v>2.670000076</v>
      </c>
      <c r="I473" s="2">
        <v>0</v>
      </c>
      <c r="J473" s="2">
        <v>0</v>
      </c>
      <c r="K473" s="2">
        <v>0</v>
      </c>
      <c r="L473" s="2">
        <v>231</v>
      </c>
      <c r="M473" s="2">
        <v>717</v>
      </c>
      <c r="N473" s="2">
        <v>3974</v>
      </c>
      <c r="O473" s="2">
        <v>2194</v>
      </c>
    </row>
    <row r="474" spans="1:15" x14ac:dyDescent="0.35">
      <c r="A474" s="2">
        <v>2320127002</v>
      </c>
      <c r="B474" s="3">
        <v>42434</v>
      </c>
      <c r="C474" s="2">
        <v>5.0199999809999998</v>
      </c>
      <c r="D474" s="2">
        <v>5.0199999809999998</v>
      </c>
      <c r="E474" s="2">
        <v>0</v>
      </c>
      <c r="F474" s="2">
        <v>1.4900000099999999</v>
      </c>
      <c r="G474" s="2">
        <v>0.37000000500000002</v>
      </c>
      <c r="H474" s="2">
        <v>3.1600000860000002</v>
      </c>
      <c r="I474" s="2">
        <v>0</v>
      </c>
      <c r="J474" s="2">
        <v>20</v>
      </c>
      <c r="K474" s="2">
        <v>10</v>
      </c>
      <c r="L474" s="2">
        <v>206</v>
      </c>
      <c r="M474" s="2">
        <v>1204</v>
      </c>
      <c r="N474" s="2">
        <v>7443</v>
      </c>
      <c r="O474" s="2">
        <v>1878</v>
      </c>
    </row>
    <row r="475" spans="1:15" x14ac:dyDescent="0.35">
      <c r="A475" s="2">
        <v>1844505072</v>
      </c>
      <c r="B475" s="3">
        <v>42473</v>
      </c>
      <c r="C475" s="2">
        <v>3.2599999899999998</v>
      </c>
      <c r="D475" s="2">
        <v>3.2599999899999998</v>
      </c>
      <c r="E475" s="2">
        <v>0</v>
      </c>
      <c r="F475" s="2">
        <v>0</v>
      </c>
      <c r="G475" s="2">
        <v>0</v>
      </c>
      <c r="H475" s="2">
        <v>3.2599999899999998</v>
      </c>
      <c r="I475" s="2">
        <v>0</v>
      </c>
      <c r="J475" s="2">
        <v>0</v>
      </c>
      <c r="K475" s="2">
        <v>0</v>
      </c>
      <c r="L475" s="2">
        <v>248</v>
      </c>
      <c r="M475" s="2">
        <v>1192</v>
      </c>
      <c r="N475" s="2">
        <v>4929</v>
      </c>
      <c r="O475" s="2">
        <v>1860</v>
      </c>
    </row>
    <row r="476" spans="1:15" x14ac:dyDescent="0.35">
      <c r="A476" s="2">
        <v>4702921684</v>
      </c>
      <c r="B476" s="3">
        <v>42489</v>
      </c>
      <c r="C476" s="2">
        <v>8.0500001910000005</v>
      </c>
      <c r="D476" s="2">
        <v>8.0500001910000005</v>
      </c>
      <c r="E476" s="2">
        <v>0</v>
      </c>
      <c r="F476" s="2">
        <v>1.059999943</v>
      </c>
      <c r="G476" s="2">
        <v>0.920000017</v>
      </c>
      <c r="H476" s="2">
        <v>6.0700001720000003</v>
      </c>
      <c r="I476" s="2">
        <v>0</v>
      </c>
      <c r="J476" s="2">
        <v>12</v>
      </c>
      <c r="K476" s="2">
        <v>19</v>
      </c>
      <c r="L476" s="2">
        <v>267</v>
      </c>
      <c r="M476" s="2">
        <v>692</v>
      </c>
      <c r="N476" s="2">
        <v>9930</v>
      </c>
      <c r="O476" s="2">
        <v>3165</v>
      </c>
    </row>
    <row r="477" spans="1:15" x14ac:dyDescent="0.35">
      <c r="A477" s="2">
        <v>5553957443</v>
      </c>
      <c r="B477" s="3">
        <v>42465</v>
      </c>
      <c r="C477" s="2">
        <v>2.7699999809999998</v>
      </c>
      <c r="D477" s="2">
        <v>2.7699999809999998</v>
      </c>
      <c r="E477" s="2">
        <v>0</v>
      </c>
      <c r="F477" s="2">
        <v>0</v>
      </c>
      <c r="G477" s="2">
        <v>0</v>
      </c>
      <c r="H477" s="2">
        <v>2.7699999809999998</v>
      </c>
      <c r="I477" s="2">
        <v>0</v>
      </c>
      <c r="J477" s="2">
        <v>0</v>
      </c>
      <c r="K477" s="2">
        <v>0</v>
      </c>
      <c r="L477" s="2">
        <v>224</v>
      </c>
      <c r="M477" s="2">
        <v>651</v>
      </c>
      <c r="N477" s="2">
        <v>4249</v>
      </c>
      <c r="O477" s="2">
        <v>1698</v>
      </c>
    </row>
    <row r="478" spans="1:15" x14ac:dyDescent="0.35">
      <c r="A478" s="2">
        <v>5577150313</v>
      </c>
      <c r="B478" s="3">
        <v>42488</v>
      </c>
      <c r="C478" s="2">
        <v>7.4299998279999997</v>
      </c>
      <c r="D478" s="2">
        <v>7.4299998279999997</v>
      </c>
      <c r="E478" s="2">
        <v>0</v>
      </c>
      <c r="F478" s="2">
        <v>3.25</v>
      </c>
      <c r="G478" s="2">
        <v>1.1699999569999999</v>
      </c>
      <c r="H478" s="2">
        <v>3.0099999899999998</v>
      </c>
      <c r="I478" s="2">
        <v>0</v>
      </c>
      <c r="J478" s="2">
        <v>99</v>
      </c>
      <c r="K478" s="2">
        <v>51</v>
      </c>
      <c r="L478" s="2">
        <v>141</v>
      </c>
      <c r="M478" s="2">
        <v>692</v>
      </c>
      <c r="N478" s="2">
        <v>9841</v>
      </c>
      <c r="O478" s="2">
        <v>3580</v>
      </c>
    </row>
    <row r="479" spans="1:15" x14ac:dyDescent="0.35">
      <c r="A479" s="2">
        <v>8053475328</v>
      </c>
      <c r="B479" s="3">
        <v>42490</v>
      </c>
      <c r="C479" s="2">
        <v>5.5900001530000001</v>
      </c>
      <c r="D479" s="2">
        <v>5.5900001530000001</v>
      </c>
      <c r="E479" s="2">
        <v>0</v>
      </c>
      <c r="F479" s="2">
        <v>2.9900000100000002</v>
      </c>
      <c r="G479" s="2">
        <v>5.9999998999999998E-2</v>
      </c>
      <c r="H479" s="2">
        <v>2.539999962</v>
      </c>
      <c r="I479" s="2">
        <v>0</v>
      </c>
      <c r="J479" s="2">
        <v>27</v>
      </c>
      <c r="K479" s="2">
        <v>1</v>
      </c>
      <c r="L479" s="2">
        <v>131</v>
      </c>
      <c r="M479" s="2">
        <v>1281</v>
      </c>
      <c r="N479" s="2">
        <v>7135</v>
      </c>
      <c r="O479" s="2">
        <v>2408</v>
      </c>
    </row>
    <row r="480" spans="1:15" x14ac:dyDescent="0.35">
      <c r="A480" s="2">
        <v>2873212765</v>
      </c>
      <c r="B480" s="3">
        <v>42374</v>
      </c>
      <c r="C480" s="2">
        <v>4.9699997900000001</v>
      </c>
      <c r="D480" s="2">
        <v>4.9699997900000001</v>
      </c>
      <c r="E480" s="2">
        <v>0</v>
      </c>
      <c r="F480" s="2">
        <v>0.49000000999999999</v>
      </c>
      <c r="G480" s="2">
        <v>1.039999962</v>
      </c>
      <c r="H480" s="2">
        <v>3.4400000569999998</v>
      </c>
      <c r="I480" s="2">
        <v>0</v>
      </c>
      <c r="J480" s="2">
        <v>7</v>
      </c>
      <c r="K480" s="2">
        <v>18</v>
      </c>
      <c r="L480" s="2">
        <v>196</v>
      </c>
      <c r="M480" s="2">
        <v>1219</v>
      </c>
      <c r="N480" s="2">
        <v>7399</v>
      </c>
      <c r="O480" s="2">
        <v>1739</v>
      </c>
    </row>
    <row r="481" spans="1:15" x14ac:dyDescent="0.35">
      <c r="A481" s="2">
        <v>2022484408</v>
      </c>
      <c r="B481" s="3">
        <v>42709</v>
      </c>
      <c r="C481" s="2">
        <v>6.4099998469999999</v>
      </c>
      <c r="D481" s="2">
        <v>6.4099998469999999</v>
      </c>
      <c r="E481" s="2">
        <v>0</v>
      </c>
      <c r="F481" s="2">
        <v>1.2799999710000001</v>
      </c>
      <c r="G481" s="2">
        <v>0.670000017</v>
      </c>
      <c r="H481" s="2">
        <v>4.4400000569999998</v>
      </c>
      <c r="I481" s="2">
        <v>0</v>
      </c>
      <c r="J481" s="2">
        <v>16</v>
      </c>
      <c r="K481" s="2">
        <v>16</v>
      </c>
      <c r="L481" s="2">
        <v>236</v>
      </c>
      <c r="M481" s="2">
        <v>728</v>
      </c>
      <c r="N481" s="2">
        <v>9117</v>
      </c>
      <c r="O481" s="2">
        <v>1853</v>
      </c>
    </row>
    <row r="482" spans="1:15" x14ac:dyDescent="0.35">
      <c r="A482" s="2">
        <v>7086361926</v>
      </c>
      <c r="B482" s="3">
        <v>42489</v>
      </c>
      <c r="C482" s="2">
        <v>4.9499998090000004</v>
      </c>
      <c r="D482" s="2">
        <v>4.9499998090000004</v>
      </c>
      <c r="E482" s="2">
        <v>0</v>
      </c>
      <c r="F482" s="2">
        <v>0.49000000999999999</v>
      </c>
      <c r="G482" s="2">
        <v>0.44999998800000002</v>
      </c>
      <c r="H482" s="2">
        <v>4</v>
      </c>
      <c r="I482" s="2">
        <v>0</v>
      </c>
      <c r="J482" s="2">
        <v>24</v>
      </c>
      <c r="K482" s="2">
        <v>36</v>
      </c>
      <c r="L482" s="2">
        <v>182</v>
      </c>
      <c r="M482" s="2">
        <v>1198</v>
      </c>
      <c r="N482" s="2">
        <v>7881</v>
      </c>
      <c r="O482" s="2">
        <v>2616</v>
      </c>
    </row>
    <row r="483" spans="1:15" x14ac:dyDescent="0.35">
      <c r="A483" s="2">
        <v>4388161847</v>
      </c>
      <c r="B483" s="3">
        <v>42465</v>
      </c>
      <c r="C483" s="2">
        <v>9.5200004580000002</v>
      </c>
      <c r="D483" s="2">
        <v>9.5200004580000002</v>
      </c>
      <c r="E483" s="2">
        <v>0</v>
      </c>
      <c r="F483" s="2">
        <v>2.789999962</v>
      </c>
      <c r="G483" s="2">
        <v>0.93000000699999996</v>
      </c>
      <c r="H483" s="2">
        <v>5.8000001909999996</v>
      </c>
      <c r="I483" s="2">
        <v>0</v>
      </c>
      <c r="J483" s="2">
        <v>35</v>
      </c>
      <c r="K483" s="2">
        <v>21</v>
      </c>
      <c r="L483" s="2">
        <v>251</v>
      </c>
      <c r="M483" s="2">
        <v>632</v>
      </c>
      <c r="N483" s="2">
        <v>12375</v>
      </c>
      <c r="O483" s="2">
        <v>3162</v>
      </c>
    </row>
    <row r="484" spans="1:15" x14ac:dyDescent="0.35">
      <c r="A484" s="2">
        <v>6290855005</v>
      </c>
      <c r="B484" s="3">
        <v>42556</v>
      </c>
      <c r="C484" s="2">
        <v>4.170000076</v>
      </c>
      <c r="D484" s="2">
        <v>4.170000076</v>
      </c>
      <c r="E484" s="2">
        <v>0</v>
      </c>
      <c r="F484" s="2">
        <v>0</v>
      </c>
      <c r="G484" s="2">
        <v>0</v>
      </c>
      <c r="H484" s="2">
        <v>4.1599998469999999</v>
      </c>
      <c r="I484" s="2">
        <v>0</v>
      </c>
      <c r="J484" s="2">
        <v>0</v>
      </c>
      <c r="K484" s="2">
        <v>0</v>
      </c>
      <c r="L484" s="2">
        <v>227</v>
      </c>
      <c r="M484" s="2">
        <v>1213</v>
      </c>
      <c r="N484" s="2">
        <v>5510</v>
      </c>
      <c r="O484" s="2">
        <v>2613</v>
      </c>
    </row>
    <row r="485" spans="1:15" x14ac:dyDescent="0.35">
      <c r="A485" s="2">
        <v>1927972279</v>
      </c>
      <c r="B485" s="3">
        <v>42709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966</v>
      </c>
      <c r="N485" s="2">
        <v>0</v>
      </c>
      <c r="O485" s="2">
        <v>1383</v>
      </c>
    </row>
    <row r="486" spans="1:15" x14ac:dyDescent="0.35">
      <c r="A486" s="2">
        <v>1644430081</v>
      </c>
      <c r="B486" s="3">
        <v>42485</v>
      </c>
      <c r="C486" s="2">
        <v>2.5999999049999998</v>
      </c>
      <c r="D486" s="2">
        <v>2.5999999049999998</v>
      </c>
      <c r="E486" s="2">
        <v>0</v>
      </c>
      <c r="F486" s="2">
        <v>0.58999997400000004</v>
      </c>
      <c r="G486" s="2">
        <v>5.9999998999999998E-2</v>
      </c>
      <c r="H486" s="2">
        <v>1.9500000479999999</v>
      </c>
      <c r="I486" s="2">
        <v>0</v>
      </c>
      <c r="J486" s="2">
        <v>8</v>
      </c>
      <c r="K486" s="2">
        <v>1</v>
      </c>
      <c r="L486" s="2">
        <v>94</v>
      </c>
      <c r="M486" s="2">
        <v>1337</v>
      </c>
      <c r="N486" s="2">
        <v>3580</v>
      </c>
      <c r="O486" s="2">
        <v>2497</v>
      </c>
    </row>
    <row r="487" spans="1:15" x14ac:dyDescent="0.35">
      <c r="A487" s="2">
        <v>4445114986</v>
      </c>
      <c r="B487" s="3">
        <v>42479</v>
      </c>
      <c r="C487" s="2">
        <v>1.3899999860000001</v>
      </c>
      <c r="D487" s="2">
        <v>1.3899999860000001</v>
      </c>
      <c r="E487" s="2">
        <v>0</v>
      </c>
      <c r="F487" s="2">
        <v>0</v>
      </c>
      <c r="G487" s="2">
        <v>0</v>
      </c>
      <c r="H487" s="2">
        <v>1.3899999860000001</v>
      </c>
      <c r="I487" s="2">
        <v>0</v>
      </c>
      <c r="J487" s="2">
        <v>0</v>
      </c>
      <c r="K487" s="2">
        <v>0</v>
      </c>
      <c r="L487" s="2">
        <v>121</v>
      </c>
      <c r="M487" s="2">
        <v>895</v>
      </c>
      <c r="N487" s="2">
        <v>2064</v>
      </c>
      <c r="O487" s="2">
        <v>1954</v>
      </c>
    </row>
    <row r="488" spans="1:15" x14ac:dyDescent="0.35">
      <c r="A488" s="2">
        <v>8792009665</v>
      </c>
      <c r="B488" s="3">
        <v>42485</v>
      </c>
      <c r="C488" s="2">
        <v>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1440</v>
      </c>
      <c r="N488" s="2">
        <v>0</v>
      </c>
      <c r="O488" s="2">
        <v>1688</v>
      </c>
    </row>
    <row r="489" spans="1:15" x14ac:dyDescent="0.35">
      <c r="A489" s="2">
        <v>8253242879</v>
      </c>
      <c r="B489" s="3">
        <v>42479</v>
      </c>
      <c r="C489" s="2">
        <v>2.7799999710000001</v>
      </c>
      <c r="D489" s="2">
        <v>2.7799999710000001</v>
      </c>
      <c r="E489" s="2">
        <v>0</v>
      </c>
      <c r="F489" s="2">
        <v>0</v>
      </c>
      <c r="G489" s="2">
        <v>0</v>
      </c>
      <c r="H489" s="2">
        <v>2.7799999710000001</v>
      </c>
      <c r="I489" s="2">
        <v>0</v>
      </c>
      <c r="J489" s="2">
        <v>0</v>
      </c>
      <c r="K489" s="2">
        <v>0</v>
      </c>
      <c r="L489" s="2">
        <v>164</v>
      </c>
      <c r="M489" s="2">
        <v>1276</v>
      </c>
      <c r="N489" s="2">
        <v>4212</v>
      </c>
      <c r="O489" s="2">
        <v>1763</v>
      </c>
    </row>
    <row r="490" spans="1:15" x14ac:dyDescent="0.35">
      <c r="A490" s="2">
        <v>2873212765</v>
      </c>
      <c r="B490" s="3">
        <v>42484</v>
      </c>
      <c r="C490" s="2">
        <v>4.6799998279999997</v>
      </c>
      <c r="D490" s="2">
        <v>4.6799998279999997</v>
      </c>
      <c r="E490" s="2">
        <v>0</v>
      </c>
      <c r="F490" s="2">
        <v>3</v>
      </c>
      <c r="G490" s="2">
        <v>5.9999998999999998E-2</v>
      </c>
      <c r="H490" s="2">
        <v>1.6200000050000001</v>
      </c>
      <c r="I490" s="2">
        <v>0</v>
      </c>
      <c r="J490" s="2">
        <v>46</v>
      </c>
      <c r="K490" s="2">
        <v>1</v>
      </c>
      <c r="L490" s="2">
        <v>190</v>
      </c>
      <c r="M490" s="2">
        <v>1203</v>
      </c>
      <c r="N490" s="2">
        <v>6873</v>
      </c>
      <c r="O490" s="2">
        <v>1898</v>
      </c>
    </row>
    <row r="491" spans="1:15" x14ac:dyDescent="0.35">
      <c r="A491" s="2">
        <v>1644430081</v>
      </c>
      <c r="B491" s="3">
        <v>42478</v>
      </c>
      <c r="C491" s="2">
        <v>5.1900000569999998</v>
      </c>
      <c r="D491" s="2">
        <v>5.1900000569999998</v>
      </c>
      <c r="E491" s="2">
        <v>0</v>
      </c>
      <c r="F491" s="2">
        <v>1.0700000519999999</v>
      </c>
      <c r="G491" s="2">
        <v>1.6699999569999999</v>
      </c>
      <c r="H491" s="2">
        <v>2.4500000480000002</v>
      </c>
      <c r="I491" s="2">
        <v>0</v>
      </c>
      <c r="J491" s="2">
        <v>15</v>
      </c>
      <c r="K491" s="2">
        <v>33</v>
      </c>
      <c r="L491" s="2">
        <v>121</v>
      </c>
      <c r="M491" s="2">
        <v>1271</v>
      </c>
      <c r="N491" s="2">
        <v>7132</v>
      </c>
      <c r="O491" s="2">
        <v>2806</v>
      </c>
    </row>
    <row r="492" spans="1:15" x14ac:dyDescent="0.35">
      <c r="A492" s="2">
        <v>4445114986</v>
      </c>
      <c r="B492" s="3">
        <v>42475</v>
      </c>
      <c r="C492" s="2">
        <v>4.829999924</v>
      </c>
      <c r="D492" s="2">
        <v>4.829999924</v>
      </c>
      <c r="E492" s="2">
        <v>0</v>
      </c>
      <c r="F492" s="2">
        <v>0</v>
      </c>
      <c r="G492" s="2">
        <v>0</v>
      </c>
      <c r="H492" s="2">
        <v>4.829999924</v>
      </c>
      <c r="I492" s="2">
        <v>0</v>
      </c>
      <c r="J492" s="2">
        <v>0</v>
      </c>
      <c r="K492" s="2">
        <v>0</v>
      </c>
      <c r="L492" s="2">
        <v>350</v>
      </c>
      <c r="M492" s="2">
        <v>711</v>
      </c>
      <c r="N492" s="2">
        <v>7198</v>
      </c>
      <c r="O492" s="2">
        <v>2496</v>
      </c>
    </row>
    <row r="493" spans="1:15" x14ac:dyDescent="0.35">
      <c r="A493" s="2">
        <v>5577150313</v>
      </c>
      <c r="B493" s="3">
        <v>42434</v>
      </c>
      <c r="C493" s="2">
        <v>8.25</v>
      </c>
      <c r="D493" s="2">
        <v>8.25</v>
      </c>
      <c r="E493" s="2">
        <v>0</v>
      </c>
      <c r="F493" s="2">
        <v>4.5199999809999998</v>
      </c>
      <c r="G493" s="2">
        <v>0.15000000599999999</v>
      </c>
      <c r="H493" s="2">
        <v>3.5699999330000001</v>
      </c>
      <c r="I493" s="2">
        <v>0</v>
      </c>
      <c r="J493" s="2">
        <v>97</v>
      </c>
      <c r="K493" s="2">
        <v>8</v>
      </c>
      <c r="L493" s="2">
        <v>212</v>
      </c>
      <c r="M493" s="2">
        <v>580</v>
      </c>
      <c r="N493" s="2">
        <v>11045</v>
      </c>
      <c r="O493" s="2">
        <v>3795</v>
      </c>
    </row>
    <row r="494" spans="1:15" x14ac:dyDescent="0.35">
      <c r="A494" s="2">
        <v>4558609924</v>
      </c>
      <c r="B494" s="3">
        <v>42484</v>
      </c>
      <c r="C494" s="2">
        <v>5.6599998469999999</v>
      </c>
      <c r="D494" s="2">
        <v>5.6599998469999999</v>
      </c>
      <c r="E494" s="2">
        <v>0</v>
      </c>
      <c r="F494" s="2">
        <v>0</v>
      </c>
      <c r="G494" s="2">
        <v>0</v>
      </c>
      <c r="H494" s="2">
        <v>5.6500000950000002</v>
      </c>
      <c r="I494" s="2">
        <v>0</v>
      </c>
      <c r="J494" s="2">
        <v>0</v>
      </c>
      <c r="K494" s="2">
        <v>0</v>
      </c>
      <c r="L494" s="2">
        <v>395</v>
      </c>
      <c r="M494" s="2">
        <v>1045</v>
      </c>
      <c r="N494" s="2">
        <v>8563</v>
      </c>
      <c r="O494" s="2">
        <v>2173</v>
      </c>
    </row>
    <row r="495" spans="1:15" x14ac:dyDescent="0.35">
      <c r="A495" s="2">
        <v>2026352035</v>
      </c>
      <c r="B495" s="3">
        <v>42475</v>
      </c>
      <c r="C495" s="2">
        <v>2.369999886</v>
      </c>
      <c r="D495" s="2">
        <v>2.369999886</v>
      </c>
      <c r="E495" s="2">
        <v>0</v>
      </c>
      <c r="F495" s="2">
        <v>0</v>
      </c>
      <c r="G495" s="2">
        <v>0</v>
      </c>
      <c r="H495" s="2">
        <v>2.369999886</v>
      </c>
      <c r="I495" s="2">
        <v>0</v>
      </c>
      <c r="J495" s="2">
        <v>0</v>
      </c>
      <c r="K495" s="2">
        <v>0</v>
      </c>
      <c r="L495" s="2">
        <v>188</v>
      </c>
      <c r="M495" s="2">
        <v>687</v>
      </c>
      <c r="N495" s="2">
        <v>3821</v>
      </c>
      <c r="O495" s="2">
        <v>1444</v>
      </c>
    </row>
    <row r="496" spans="1:15" x14ac:dyDescent="0.35">
      <c r="A496" s="2">
        <v>2873212765</v>
      </c>
      <c r="B496" s="3">
        <v>42478</v>
      </c>
      <c r="C496" s="2">
        <v>5.2399997709999999</v>
      </c>
      <c r="D496" s="2">
        <v>5.2399997709999999</v>
      </c>
      <c r="E496" s="2">
        <v>0</v>
      </c>
      <c r="F496" s="2">
        <v>7.0000000000000007E-2</v>
      </c>
      <c r="G496" s="2">
        <v>0.280000001</v>
      </c>
      <c r="H496" s="2">
        <v>4.8899998660000001</v>
      </c>
      <c r="I496" s="2">
        <v>0</v>
      </c>
      <c r="J496" s="2">
        <v>1</v>
      </c>
      <c r="K496" s="2">
        <v>6</v>
      </c>
      <c r="L496" s="2">
        <v>311</v>
      </c>
      <c r="M496" s="2">
        <v>1122</v>
      </c>
      <c r="N496" s="2">
        <v>7762</v>
      </c>
      <c r="O496" s="2">
        <v>1890</v>
      </c>
    </row>
    <row r="497" spans="1:15" x14ac:dyDescent="0.35">
      <c r="A497" s="2">
        <v>6962181067</v>
      </c>
      <c r="B497" s="3">
        <v>42486</v>
      </c>
      <c r="C497" s="2">
        <v>6.9000000950000002</v>
      </c>
      <c r="D497" s="2">
        <v>6.9000000950000002</v>
      </c>
      <c r="E497" s="2">
        <v>0</v>
      </c>
      <c r="F497" s="2">
        <v>2.579999924</v>
      </c>
      <c r="G497" s="2">
        <v>0.41999998700000002</v>
      </c>
      <c r="H497" s="2">
        <v>3.9000000950000002</v>
      </c>
      <c r="I497" s="2">
        <v>0</v>
      </c>
      <c r="J497" s="2">
        <v>36</v>
      </c>
      <c r="K497" s="2">
        <v>7</v>
      </c>
      <c r="L497" s="2">
        <v>254</v>
      </c>
      <c r="M497" s="2">
        <v>680</v>
      </c>
      <c r="N497" s="2">
        <v>10433</v>
      </c>
      <c r="O497" s="2">
        <v>2012</v>
      </c>
    </row>
    <row r="498" spans="1:15" x14ac:dyDescent="0.35">
      <c r="A498" s="2">
        <v>6117666160</v>
      </c>
      <c r="B498" s="3">
        <v>42490</v>
      </c>
      <c r="C498" s="2">
        <v>5.2800002099999999</v>
      </c>
      <c r="D498" s="2">
        <v>5.2800002099999999</v>
      </c>
      <c r="E498" s="2">
        <v>0</v>
      </c>
      <c r="F498" s="2">
        <v>0</v>
      </c>
      <c r="G498" s="2">
        <v>0</v>
      </c>
      <c r="H498" s="2">
        <v>5.2800002099999999</v>
      </c>
      <c r="I498" s="2">
        <v>0</v>
      </c>
      <c r="J498" s="2">
        <v>0</v>
      </c>
      <c r="K498" s="2">
        <v>0</v>
      </c>
      <c r="L498" s="2">
        <v>343</v>
      </c>
      <c r="M498" s="2">
        <v>1040</v>
      </c>
      <c r="N498" s="2">
        <v>6987</v>
      </c>
      <c r="O498" s="2">
        <v>2275</v>
      </c>
    </row>
    <row r="499" spans="1:15" x14ac:dyDescent="0.35">
      <c r="A499" s="2">
        <v>2320127002</v>
      </c>
      <c r="B499" s="3">
        <v>42405</v>
      </c>
      <c r="C499" s="2">
        <v>2.4500000480000002</v>
      </c>
      <c r="D499" s="2">
        <v>2.4500000480000002</v>
      </c>
      <c r="E499" s="2">
        <v>0</v>
      </c>
      <c r="F499" s="2">
        <v>0.36000001399999998</v>
      </c>
      <c r="G499" s="2">
        <v>0.209999993</v>
      </c>
      <c r="H499" s="2">
        <v>1.8799999949999999</v>
      </c>
      <c r="I499" s="2">
        <v>0</v>
      </c>
      <c r="J499" s="2">
        <v>5</v>
      </c>
      <c r="K499" s="2">
        <v>6</v>
      </c>
      <c r="L499" s="2">
        <v>123</v>
      </c>
      <c r="M499" s="2">
        <v>1306</v>
      </c>
      <c r="N499" s="2">
        <v>3634</v>
      </c>
      <c r="O499" s="2">
        <v>1613</v>
      </c>
    </row>
    <row r="500" spans="1:15" x14ac:dyDescent="0.35">
      <c r="A500" s="2">
        <v>4558609924</v>
      </c>
      <c r="B500" s="3">
        <v>42485</v>
      </c>
      <c r="C500" s="2">
        <v>5.3499999049999998</v>
      </c>
      <c r="D500" s="2">
        <v>5.3499999049999998</v>
      </c>
      <c r="E500" s="2">
        <v>0</v>
      </c>
      <c r="F500" s="2">
        <v>0.58999997400000004</v>
      </c>
      <c r="G500" s="2">
        <v>0.25</v>
      </c>
      <c r="H500" s="2">
        <v>4.5100002290000001</v>
      </c>
      <c r="I500" s="2">
        <v>0</v>
      </c>
      <c r="J500" s="2">
        <v>18</v>
      </c>
      <c r="K500" s="2">
        <v>10</v>
      </c>
      <c r="L500" s="2">
        <v>340</v>
      </c>
      <c r="M500" s="2">
        <v>993</v>
      </c>
      <c r="N500" s="2">
        <v>8095</v>
      </c>
      <c r="O500" s="2">
        <v>2225</v>
      </c>
    </row>
    <row r="501" spans="1:15" x14ac:dyDescent="0.35">
      <c r="A501" s="2">
        <v>1644430081</v>
      </c>
      <c r="B501" s="3">
        <v>42587</v>
      </c>
      <c r="C501" s="2">
        <v>4.8899998660000001</v>
      </c>
      <c r="D501" s="2">
        <v>4.8899998660000001</v>
      </c>
      <c r="E501" s="2">
        <v>0</v>
      </c>
      <c r="F501" s="2">
        <v>0</v>
      </c>
      <c r="G501" s="2">
        <v>0</v>
      </c>
      <c r="H501" s="2">
        <v>4.8800001139999996</v>
      </c>
      <c r="I501" s="2">
        <v>0</v>
      </c>
      <c r="J501" s="2">
        <v>0</v>
      </c>
      <c r="K501" s="2">
        <v>0</v>
      </c>
      <c r="L501" s="2">
        <v>295</v>
      </c>
      <c r="M501" s="2">
        <v>991</v>
      </c>
      <c r="N501" s="2">
        <v>6724</v>
      </c>
      <c r="O501" s="2">
        <v>2987</v>
      </c>
    </row>
    <row r="502" spans="1:15" x14ac:dyDescent="0.35">
      <c r="A502" s="2">
        <v>8053475328</v>
      </c>
      <c r="B502" s="3">
        <v>42679</v>
      </c>
      <c r="C502" s="2">
        <v>9.3999996190000008</v>
      </c>
      <c r="D502" s="2">
        <v>9.3999996190000008</v>
      </c>
      <c r="E502" s="2">
        <v>0</v>
      </c>
      <c r="F502" s="2">
        <v>6.079999924</v>
      </c>
      <c r="G502" s="2">
        <v>0.280000001</v>
      </c>
      <c r="H502" s="2">
        <v>3.039999962</v>
      </c>
      <c r="I502" s="2">
        <v>0</v>
      </c>
      <c r="J502" s="2">
        <v>60</v>
      </c>
      <c r="K502" s="2">
        <v>7</v>
      </c>
      <c r="L502" s="2">
        <v>184</v>
      </c>
      <c r="M502" s="2">
        <v>1189</v>
      </c>
      <c r="N502" s="2">
        <v>12209</v>
      </c>
      <c r="O502" s="2">
        <v>2809</v>
      </c>
    </row>
    <row r="503" spans="1:15" x14ac:dyDescent="0.35">
      <c r="A503" s="2">
        <v>1844505072</v>
      </c>
      <c r="B503" s="3">
        <v>42556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1440</v>
      </c>
      <c r="N503" s="2">
        <v>0</v>
      </c>
      <c r="O503" s="2">
        <v>1347</v>
      </c>
    </row>
    <row r="504" spans="1:15" x14ac:dyDescent="0.35">
      <c r="A504" s="2">
        <v>1927972279</v>
      </c>
      <c r="B504" s="3">
        <v>42474</v>
      </c>
      <c r="C504" s="2">
        <v>1.5</v>
      </c>
      <c r="D504" s="2">
        <v>1.5</v>
      </c>
      <c r="E504" s="2">
        <v>0</v>
      </c>
      <c r="F504" s="2">
        <v>0</v>
      </c>
      <c r="G504" s="2">
        <v>0.40000000600000002</v>
      </c>
      <c r="H504" s="2">
        <v>1.1000000240000001</v>
      </c>
      <c r="I504" s="2">
        <v>0</v>
      </c>
      <c r="J504" s="2">
        <v>0</v>
      </c>
      <c r="K504" s="2">
        <v>9</v>
      </c>
      <c r="L504" s="2">
        <v>88</v>
      </c>
      <c r="M504" s="2">
        <v>1292</v>
      </c>
      <c r="N504" s="2">
        <v>2163</v>
      </c>
      <c r="O504" s="2">
        <v>2383</v>
      </c>
    </row>
    <row r="505" spans="1:15" x14ac:dyDescent="0.35">
      <c r="A505" s="2">
        <v>8053475328</v>
      </c>
      <c r="B505" s="3">
        <v>42488</v>
      </c>
      <c r="C505" s="2">
        <v>12.399999619999999</v>
      </c>
      <c r="D505" s="2">
        <v>12.399999619999999</v>
      </c>
      <c r="E505" s="2">
        <v>0</v>
      </c>
      <c r="F505" s="2">
        <v>9.6700000760000009</v>
      </c>
      <c r="G505" s="2">
        <v>0.38999998600000002</v>
      </c>
      <c r="H505" s="2">
        <v>2.3499999049999998</v>
      </c>
      <c r="I505" s="2">
        <v>0</v>
      </c>
      <c r="J505" s="2">
        <v>90</v>
      </c>
      <c r="K505" s="2">
        <v>9</v>
      </c>
      <c r="L505" s="2">
        <v>153</v>
      </c>
      <c r="M505" s="2">
        <v>1188</v>
      </c>
      <c r="N505" s="2">
        <v>15447</v>
      </c>
      <c r="O505" s="2">
        <v>3062</v>
      </c>
    </row>
    <row r="506" spans="1:15" x14ac:dyDescent="0.35">
      <c r="A506" s="2">
        <v>2873212765</v>
      </c>
      <c r="B506" s="3">
        <v>42526</v>
      </c>
      <c r="C506" s="2">
        <v>4.75</v>
      </c>
      <c r="D506" s="2">
        <v>4.75</v>
      </c>
      <c r="E506" s="2">
        <v>0</v>
      </c>
      <c r="F506" s="2">
        <v>0</v>
      </c>
      <c r="G506" s="2">
        <v>0.119999997</v>
      </c>
      <c r="H506" s="2">
        <v>4.6100001339999999</v>
      </c>
      <c r="I506" s="2">
        <v>0.01</v>
      </c>
      <c r="J506" s="2">
        <v>0</v>
      </c>
      <c r="K506" s="2">
        <v>5</v>
      </c>
      <c r="L506" s="2">
        <v>370</v>
      </c>
      <c r="M506" s="2">
        <v>1065</v>
      </c>
      <c r="N506" s="2">
        <v>7063</v>
      </c>
      <c r="O506" s="2">
        <v>1910</v>
      </c>
    </row>
    <row r="507" spans="1:15" x14ac:dyDescent="0.35">
      <c r="A507" s="2">
        <v>2320127002</v>
      </c>
      <c r="B507" s="3">
        <v>42465</v>
      </c>
      <c r="C507" s="2">
        <v>0.810000002</v>
      </c>
      <c r="D507" s="2">
        <v>0.810000002</v>
      </c>
      <c r="E507" s="2">
        <v>0</v>
      </c>
      <c r="F507" s="2">
        <v>0</v>
      </c>
      <c r="G507" s="2">
        <v>0</v>
      </c>
      <c r="H507" s="2">
        <v>0.810000002</v>
      </c>
      <c r="I507" s="2">
        <v>0</v>
      </c>
      <c r="J507" s="2">
        <v>0</v>
      </c>
      <c r="K507" s="2">
        <v>0</v>
      </c>
      <c r="L507" s="2">
        <v>52</v>
      </c>
      <c r="M507" s="2">
        <v>1388</v>
      </c>
      <c r="N507" s="2">
        <v>1201</v>
      </c>
      <c r="O507" s="2">
        <v>1426</v>
      </c>
    </row>
    <row r="508" spans="1:15" x14ac:dyDescent="0.35">
      <c r="A508" s="2">
        <v>1503960366</v>
      </c>
      <c r="B508" s="3">
        <v>42708</v>
      </c>
      <c r="C508" s="2">
        <v>8.5</v>
      </c>
      <c r="D508" s="2">
        <v>8.5</v>
      </c>
      <c r="E508" s="2">
        <v>0</v>
      </c>
      <c r="F508" s="2">
        <v>1.8799999949999999</v>
      </c>
      <c r="G508" s="2">
        <v>0.55000001200000004</v>
      </c>
      <c r="H508" s="2">
        <v>6.0599999430000002</v>
      </c>
      <c r="I508" s="2">
        <v>0</v>
      </c>
      <c r="J508" s="2">
        <v>25</v>
      </c>
      <c r="K508" s="2">
        <v>13</v>
      </c>
      <c r="L508" s="2">
        <v>328</v>
      </c>
      <c r="M508" s="2">
        <v>728</v>
      </c>
      <c r="N508" s="2">
        <v>13162</v>
      </c>
      <c r="O508" s="2">
        <v>1985</v>
      </c>
    </row>
    <row r="509" spans="1:15" x14ac:dyDescent="0.35">
      <c r="A509" s="2">
        <v>8877689391</v>
      </c>
      <c r="B509" s="3">
        <v>42434</v>
      </c>
      <c r="C509" s="2">
        <v>8.2100000380000004</v>
      </c>
      <c r="D509" s="2">
        <v>8.2100000380000004</v>
      </c>
      <c r="E509" s="2">
        <v>0</v>
      </c>
      <c r="F509" s="2">
        <v>1.3899999860000001</v>
      </c>
      <c r="G509" s="2">
        <v>0.10000000100000001</v>
      </c>
      <c r="H509" s="2">
        <v>6.670000076</v>
      </c>
      <c r="I509" s="2">
        <v>0.01</v>
      </c>
      <c r="J509" s="2">
        <v>19</v>
      </c>
      <c r="K509" s="2">
        <v>3</v>
      </c>
      <c r="L509" s="2">
        <v>229</v>
      </c>
      <c r="M509" s="2">
        <v>1189</v>
      </c>
      <c r="N509" s="2">
        <v>10818</v>
      </c>
      <c r="O509" s="2">
        <v>2817</v>
      </c>
    </row>
    <row r="510" spans="1:15" x14ac:dyDescent="0.35">
      <c r="A510" s="2">
        <v>5577150313</v>
      </c>
      <c r="B510" s="3">
        <v>42483</v>
      </c>
      <c r="C510" s="2">
        <v>5.7100000380000004</v>
      </c>
      <c r="D510" s="2">
        <v>5.7100000380000004</v>
      </c>
      <c r="E510" s="2">
        <v>0</v>
      </c>
      <c r="F510" s="2">
        <v>1.210000038</v>
      </c>
      <c r="G510" s="2">
        <v>0.36000001399999998</v>
      </c>
      <c r="H510" s="2">
        <v>4.1399998660000001</v>
      </c>
      <c r="I510" s="2">
        <v>0</v>
      </c>
      <c r="J510" s="2">
        <v>24</v>
      </c>
      <c r="K510" s="2">
        <v>24</v>
      </c>
      <c r="L510" s="2">
        <v>223</v>
      </c>
      <c r="M510" s="2">
        <v>627</v>
      </c>
      <c r="N510" s="2">
        <v>7638</v>
      </c>
      <c r="O510" s="2">
        <v>3152</v>
      </c>
    </row>
    <row r="511" spans="1:15" x14ac:dyDescent="0.35">
      <c r="A511" s="2">
        <v>8792009665</v>
      </c>
      <c r="B511" s="3">
        <v>42476</v>
      </c>
      <c r="C511" s="2">
        <v>0.15999999600000001</v>
      </c>
      <c r="D511" s="2">
        <v>0.15999999600000001</v>
      </c>
      <c r="E511" s="2">
        <v>0</v>
      </c>
      <c r="F511" s="2">
        <v>0</v>
      </c>
      <c r="G511" s="2">
        <v>0</v>
      </c>
      <c r="H511" s="2">
        <v>0.15999999600000001</v>
      </c>
      <c r="I511" s="2">
        <v>0</v>
      </c>
      <c r="J511" s="2">
        <v>0</v>
      </c>
      <c r="K511" s="2">
        <v>0</v>
      </c>
      <c r="L511" s="2">
        <v>12</v>
      </c>
      <c r="M511" s="2">
        <v>1428</v>
      </c>
      <c r="N511" s="2">
        <v>244</v>
      </c>
      <c r="O511" s="2">
        <v>1721</v>
      </c>
    </row>
    <row r="512" spans="1:15" x14ac:dyDescent="0.35">
      <c r="A512" s="2">
        <v>4558609924</v>
      </c>
      <c r="B512" s="3">
        <v>42587</v>
      </c>
      <c r="C512" s="2">
        <v>4.329999924</v>
      </c>
      <c r="D512" s="2">
        <v>4.329999924</v>
      </c>
      <c r="E512" s="2">
        <v>0</v>
      </c>
      <c r="F512" s="2">
        <v>1.7999999520000001</v>
      </c>
      <c r="G512" s="2">
        <v>0.5</v>
      </c>
      <c r="H512" s="2">
        <v>2.0199999809999998</v>
      </c>
      <c r="I512" s="2">
        <v>0</v>
      </c>
      <c r="J512" s="2">
        <v>66</v>
      </c>
      <c r="K512" s="2">
        <v>35</v>
      </c>
      <c r="L512" s="2">
        <v>238</v>
      </c>
      <c r="M512" s="2">
        <v>1019</v>
      </c>
      <c r="N512" s="2">
        <v>6543</v>
      </c>
      <c r="O512" s="2">
        <v>2666</v>
      </c>
    </row>
    <row r="513" spans="1:15" x14ac:dyDescent="0.35">
      <c r="A513" s="2">
        <v>4319703577</v>
      </c>
      <c r="B513" s="3">
        <v>42486</v>
      </c>
      <c r="C513" s="2">
        <v>6.6399998660000001</v>
      </c>
      <c r="D513" s="2">
        <v>6.6399998660000001</v>
      </c>
      <c r="E513" s="2">
        <v>0</v>
      </c>
      <c r="F513" s="2">
        <v>0.56999999300000004</v>
      </c>
      <c r="G513" s="2">
        <v>0.920000017</v>
      </c>
      <c r="H513" s="2">
        <v>5.1500000950000002</v>
      </c>
      <c r="I513" s="2">
        <v>0</v>
      </c>
      <c r="J513" s="2">
        <v>8</v>
      </c>
      <c r="K513" s="2">
        <v>21</v>
      </c>
      <c r="L513" s="2">
        <v>288</v>
      </c>
      <c r="M513" s="2">
        <v>649</v>
      </c>
      <c r="N513" s="2">
        <v>9899</v>
      </c>
      <c r="O513" s="2">
        <v>2236</v>
      </c>
    </row>
    <row r="514" spans="1:15" x14ac:dyDescent="0.35">
      <c r="A514" s="2">
        <v>7086361926</v>
      </c>
      <c r="B514" s="3">
        <v>42481</v>
      </c>
      <c r="C514" s="2">
        <v>6.1799998279999997</v>
      </c>
      <c r="D514" s="2">
        <v>6.1799998279999997</v>
      </c>
      <c r="E514" s="2">
        <v>0</v>
      </c>
      <c r="F514" s="2">
        <v>1.3600000139999999</v>
      </c>
      <c r="G514" s="2">
        <v>0.30000001199999998</v>
      </c>
      <c r="H514" s="2">
        <v>4.5100002290000001</v>
      </c>
      <c r="I514" s="2">
        <v>0</v>
      </c>
      <c r="J514" s="2">
        <v>19</v>
      </c>
      <c r="K514" s="2">
        <v>6</v>
      </c>
      <c r="L514" s="2">
        <v>206</v>
      </c>
      <c r="M514" s="2">
        <v>758</v>
      </c>
      <c r="N514" s="2">
        <v>9469</v>
      </c>
      <c r="O514" s="2">
        <v>2463</v>
      </c>
    </row>
    <row r="515" spans="1:15" x14ac:dyDescent="0.35">
      <c r="A515" s="2">
        <v>1927972279</v>
      </c>
      <c r="B515" s="3">
        <v>42475</v>
      </c>
      <c r="C515" s="2">
        <v>0.68000000699999996</v>
      </c>
      <c r="D515" s="2">
        <v>0.68000000699999996</v>
      </c>
      <c r="E515" s="2">
        <v>0</v>
      </c>
      <c r="F515" s="2">
        <v>0</v>
      </c>
      <c r="G515" s="2">
        <v>0</v>
      </c>
      <c r="H515" s="2">
        <v>0.68000000699999996</v>
      </c>
      <c r="I515" s="2">
        <v>0</v>
      </c>
      <c r="J515" s="2">
        <v>0</v>
      </c>
      <c r="K515" s="2">
        <v>0</v>
      </c>
      <c r="L515" s="2">
        <v>51</v>
      </c>
      <c r="M515" s="2">
        <v>941</v>
      </c>
      <c r="N515" s="2">
        <v>980</v>
      </c>
      <c r="O515" s="2">
        <v>2221</v>
      </c>
    </row>
    <row r="516" spans="1:15" x14ac:dyDescent="0.35">
      <c r="A516" s="2">
        <v>1844505072</v>
      </c>
      <c r="B516" s="3">
        <v>42526</v>
      </c>
      <c r="C516" s="2">
        <v>2.9999998999999999E-2</v>
      </c>
      <c r="D516" s="2">
        <v>2.9999998999999999E-2</v>
      </c>
      <c r="E516" s="2">
        <v>0</v>
      </c>
      <c r="F516" s="2">
        <v>0</v>
      </c>
      <c r="G516" s="2">
        <v>0</v>
      </c>
      <c r="H516" s="2">
        <v>2.9999998999999999E-2</v>
      </c>
      <c r="I516" s="2">
        <v>0</v>
      </c>
      <c r="J516" s="2">
        <v>0</v>
      </c>
      <c r="K516" s="2">
        <v>0</v>
      </c>
      <c r="L516" s="2">
        <v>2</v>
      </c>
      <c r="M516" s="2">
        <v>1438</v>
      </c>
      <c r="N516" s="2">
        <v>44</v>
      </c>
      <c r="O516" s="2">
        <v>1351</v>
      </c>
    </row>
    <row r="517" spans="1:15" x14ac:dyDescent="0.35">
      <c r="A517" s="2">
        <v>4445114986</v>
      </c>
      <c r="B517" s="3">
        <v>42709</v>
      </c>
      <c r="C517" s="2">
        <v>0.519999981</v>
      </c>
      <c r="D517" s="2">
        <v>0.519999981</v>
      </c>
      <c r="E517" s="2">
        <v>0</v>
      </c>
      <c r="F517" s="2">
        <v>0</v>
      </c>
      <c r="G517" s="2">
        <v>0</v>
      </c>
      <c r="H517" s="2">
        <v>0.519999981</v>
      </c>
      <c r="I517" s="2">
        <v>0</v>
      </c>
      <c r="J517" s="2">
        <v>0</v>
      </c>
      <c r="K517" s="2">
        <v>0</v>
      </c>
      <c r="L517" s="2">
        <v>58</v>
      </c>
      <c r="M517" s="2">
        <v>380</v>
      </c>
      <c r="N517" s="2">
        <v>768</v>
      </c>
      <c r="O517" s="2">
        <v>1212</v>
      </c>
    </row>
    <row r="518" spans="1:15" x14ac:dyDescent="0.35">
      <c r="A518" s="2">
        <v>6290855005</v>
      </c>
      <c r="B518" s="3">
        <v>42526</v>
      </c>
      <c r="C518" s="2">
        <v>4.6199998860000004</v>
      </c>
      <c r="D518" s="2">
        <v>4.6199998860000004</v>
      </c>
      <c r="E518" s="2">
        <v>0</v>
      </c>
      <c r="F518" s="2">
        <v>0</v>
      </c>
      <c r="G518" s="2">
        <v>0</v>
      </c>
      <c r="H518" s="2">
        <v>4.5900001530000001</v>
      </c>
      <c r="I518" s="2">
        <v>2.9999998999999999E-2</v>
      </c>
      <c r="J518" s="2">
        <v>0</v>
      </c>
      <c r="K518" s="2">
        <v>0</v>
      </c>
      <c r="L518" s="2">
        <v>305</v>
      </c>
      <c r="M518" s="2">
        <v>1135</v>
      </c>
      <c r="N518" s="2">
        <v>6116</v>
      </c>
      <c r="O518" s="2">
        <v>2806</v>
      </c>
    </row>
    <row r="519" spans="1:15" x14ac:dyDescent="0.35">
      <c r="A519" s="2">
        <v>1624580081</v>
      </c>
      <c r="B519" s="3">
        <v>42587</v>
      </c>
      <c r="C519" s="2">
        <v>2.2300000190000002</v>
      </c>
      <c r="D519" s="2">
        <v>2.2300000190000002</v>
      </c>
      <c r="E519" s="2">
        <v>0</v>
      </c>
      <c r="F519" s="2">
        <v>0</v>
      </c>
      <c r="G519" s="2">
        <v>0</v>
      </c>
      <c r="H519" s="2">
        <v>2.2200000289999999</v>
      </c>
      <c r="I519" s="2">
        <v>0</v>
      </c>
      <c r="J519" s="2">
        <v>0</v>
      </c>
      <c r="K519" s="2">
        <v>0</v>
      </c>
      <c r="L519" s="2">
        <v>152</v>
      </c>
      <c r="M519" s="2">
        <v>1288</v>
      </c>
      <c r="N519" s="2">
        <v>3427</v>
      </c>
      <c r="O519" s="2">
        <v>1427</v>
      </c>
    </row>
    <row r="520" spans="1:15" x14ac:dyDescent="0.35">
      <c r="A520" s="2">
        <v>7086361926</v>
      </c>
      <c r="B520" s="3">
        <v>42709</v>
      </c>
      <c r="C520" s="2">
        <v>2.5599999430000002</v>
      </c>
      <c r="D520" s="2">
        <v>2.5599999430000002</v>
      </c>
      <c r="E520" s="2">
        <v>0</v>
      </c>
      <c r="F520" s="2">
        <v>0.37999999499999998</v>
      </c>
      <c r="G520" s="2">
        <v>0.27000001099999998</v>
      </c>
      <c r="H520" s="2">
        <v>1.8899999860000001</v>
      </c>
      <c r="I520" s="2">
        <v>0</v>
      </c>
      <c r="J520" s="2">
        <v>5</v>
      </c>
      <c r="K520" s="2">
        <v>4</v>
      </c>
      <c r="L520" s="2">
        <v>58</v>
      </c>
      <c r="M520" s="2">
        <v>343</v>
      </c>
      <c r="N520" s="2">
        <v>3789</v>
      </c>
      <c r="O520" s="2">
        <v>1199</v>
      </c>
    </row>
    <row r="521" spans="1:15" x14ac:dyDescent="0.35">
      <c r="A521" s="2">
        <v>8583815059</v>
      </c>
      <c r="B521" s="3">
        <v>42478</v>
      </c>
      <c r="C521" s="2">
        <v>3.0099999899999998</v>
      </c>
      <c r="D521" s="2">
        <v>3.0099999899999998</v>
      </c>
      <c r="E521" s="2">
        <v>0</v>
      </c>
      <c r="F521" s="2">
        <v>0.310000002</v>
      </c>
      <c r="G521" s="2">
        <v>1.059999943</v>
      </c>
      <c r="H521" s="2">
        <v>1.3500000240000001</v>
      </c>
      <c r="I521" s="2">
        <v>0</v>
      </c>
      <c r="J521" s="2">
        <v>4</v>
      </c>
      <c r="K521" s="2">
        <v>22</v>
      </c>
      <c r="L521" s="2">
        <v>105</v>
      </c>
      <c r="M521" s="2">
        <v>1309</v>
      </c>
      <c r="N521" s="2">
        <v>3864</v>
      </c>
      <c r="O521" s="2">
        <v>2536</v>
      </c>
    </row>
    <row r="522" spans="1:15" x14ac:dyDescent="0.35">
      <c r="A522" s="2">
        <v>4020332650</v>
      </c>
      <c r="B522" s="3">
        <v>42495</v>
      </c>
      <c r="C522" s="2">
        <v>8.4300003050000001</v>
      </c>
      <c r="D522" s="2">
        <v>8.4300003050000001</v>
      </c>
      <c r="E522" s="2">
        <v>0</v>
      </c>
      <c r="F522" s="2">
        <v>2.619999886</v>
      </c>
      <c r="G522" s="2">
        <v>1.6799999480000001</v>
      </c>
      <c r="H522" s="2">
        <v>4.0399999619999996</v>
      </c>
      <c r="I522" s="2">
        <v>7.0000000000000007E-2</v>
      </c>
      <c r="J522" s="2">
        <v>38</v>
      </c>
      <c r="K522" s="2">
        <v>42</v>
      </c>
      <c r="L522" s="2">
        <v>196</v>
      </c>
      <c r="M522" s="2">
        <v>916</v>
      </c>
      <c r="N522" s="2">
        <v>11728</v>
      </c>
      <c r="O522" s="2">
        <v>3429</v>
      </c>
    </row>
    <row r="523" spans="1:15" x14ac:dyDescent="0.35">
      <c r="A523" s="2">
        <v>2873212765</v>
      </c>
      <c r="B523" s="3">
        <v>42475</v>
      </c>
      <c r="C523" s="2">
        <v>5.6999998090000004</v>
      </c>
      <c r="D523" s="2">
        <v>5.6999998090000004</v>
      </c>
      <c r="E523" s="2">
        <v>0</v>
      </c>
      <c r="F523" s="2">
        <v>0</v>
      </c>
      <c r="G523" s="2">
        <v>0</v>
      </c>
      <c r="H523" s="2">
        <v>5.6900000569999998</v>
      </c>
      <c r="I523" s="2">
        <v>0.01</v>
      </c>
      <c r="J523" s="2">
        <v>0</v>
      </c>
      <c r="K523" s="2">
        <v>0</v>
      </c>
      <c r="L523" s="2">
        <v>448</v>
      </c>
      <c r="M523" s="2">
        <v>992</v>
      </c>
      <c r="N523" s="2">
        <v>8482</v>
      </c>
      <c r="O523" s="2">
        <v>2063</v>
      </c>
    </row>
    <row r="524" spans="1:15" x14ac:dyDescent="0.35">
      <c r="A524" s="2">
        <v>1624580081</v>
      </c>
      <c r="B524" s="3">
        <v>42487</v>
      </c>
      <c r="C524" s="2">
        <v>5.4400000569999998</v>
      </c>
      <c r="D524" s="2">
        <v>5.4400000569999998</v>
      </c>
      <c r="E524" s="2">
        <v>0</v>
      </c>
      <c r="F524" s="2">
        <v>1.1100000139999999</v>
      </c>
      <c r="G524" s="2">
        <v>1.8700000050000001</v>
      </c>
      <c r="H524" s="2">
        <v>2.460000038</v>
      </c>
      <c r="I524" s="2">
        <v>0</v>
      </c>
      <c r="J524" s="2">
        <v>17</v>
      </c>
      <c r="K524" s="2">
        <v>36</v>
      </c>
      <c r="L524" s="2">
        <v>154</v>
      </c>
      <c r="M524" s="2">
        <v>1233</v>
      </c>
      <c r="N524" s="2">
        <v>8367</v>
      </c>
      <c r="O524" s="2">
        <v>1670</v>
      </c>
    </row>
    <row r="525" spans="1:15" x14ac:dyDescent="0.35">
      <c r="A525" s="2">
        <v>4020332650</v>
      </c>
      <c r="B525" s="3">
        <v>42475</v>
      </c>
      <c r="C525" s="2">
        <v>1.3500000240000001</v>
      </c>
      <c r="D525" s="2">
        <v>1.3500000240000001</v>
      </c>
      <c r="E525" s="2">
        <v>0</v>
      </c>
      <c r="F525" s="2">
        <v>0.209999993</v>
      </c>
      <c r="G525" s="2">
        <v>0.36000001399999998</v>
      </c>
      <c r="H525" s="2">
        <v>0.769999981</v>
      </c>
      <c r="I525" s="2">
        <v>0</v>
      </c>
      <c r="J525" s="2">
        <v>36</v>
      </c>
      <c r="K525" s="2">
        <v>18</v>
      </c>
      <c r="L525" s="2">
        <v>87</v>
      </c>
      <c r="M525" s="2">
        <v>1299</v>
      </c>
      <c r="N525" s="2">
        <v>1882</v>
      </c>
      <c r="O525" s="2">
        <v>2951</v>
      </c>
    </row>
    <row r="526" spans="1:15" x14ac:dyDescent="0.35">
      <c r="A526" s="2">
        <v>2026352035</v>
      </c>
      <c r="B526" s="3">
        <v>42482</v>
      </c>
      <c r="C526" s="2">
        <v>1.809999943</v>
      </c>
      <c r="D526" s="2">
        <v>1.809999943</v>
      </c>
      <c r="E526" s="2">
        <v>0</v>
      </c>
      <c r="F526" s="2">
        <v>0</v>
      </c>
      <c r="G526" s="2">
        <v>0</v>
      </c>
      <c r="H526" s="2">
        <v>1.809999943</v>
      </c>
      <c r="I526" s="2">
        <v>0</v>
      </c>
      <c r="J526" s="2">
        <v>0</v>
      </c>
      <c r="K526" s="2">
        <v>0</v>
      </c>
      <c r="L526" s="2">
        <v>162</v>
      </c>
      <c r="M526" s="2">
        <v>712</v>
      </c>
      <c r="N526" s="2">
        <v>2915</v>
      </c>
      <c r="O526" s="2">
        <v>1399</v>
      </c>
    </row>
    <row r="527" spans="1:15" x14ac:dyDescent="0.35">
      <c r="A527" s="2">
        <v>8877689391</v>
      </c>
      <c r="B527" s="3">
        <v>42709</v>
      </c>
      <c r="C527" s="2">
        <v>6.1199998860000004</v>
      </c>
      <c r="D527" s="2">
        <v>6.1199998860000004</v>
      </c>
      <c r="E527" s="2">
        <v>0</v>
      </c>
      <c r="F527" s="2">
        <v>1.8200000519999999</v>
      </c>
      <c r="G527" s="2">
        <v>3.9999999000000001E-2</v>
      </c>
      <c r="H527" s="2">
        <v>4.25</v>
      </c>
      <c r="I527" s="2">
        <v>0</v>
      </c>
      <c r="J527" s="2">
        <v>23</v>
      </c>
      <c r="K527" s="2">
        <v>1</v>
      </c>
      <c r="L527" s="2">
        <v>137</v>
      </c>
      <c r="M527" s="2">
        <v>770</v>
      </c>
      <c r="N527" s="2">
        <v>8064</v>
      </c>
      <c r="O527" s="2">
        <v>1849</v>
      </c>
    </row>
    <row r="528" spans="1:15" x14ac:dyDescent="0.35">
      <c r="A528" s="2">
        <v>8053475328</v>
      </c>
      <c r="B528" s="3">
        <v>42487</v>
      </c>
      <c r="C528" s="2">
        <v>9.8199996949999999</v>
      </c>
      <c r="D528" s="2">
        <v>9.8199996949999999</v>
      </c>
      <c r="E528" s="2">
        <v>0</v>
      </c>
      <c r="F528" s="2">
        <v>6.4600000380000004</v>
      </c>
      <c r="G528" s="2">
        <v>0.43000000700000002</v>
      </c>
      <c r="H528" s="2">
        <v>2.9300000669999999</v>
      </c>
      <c r="I528" s="2">
        <v>0</v>
      </c>
      <c r="J528" s="2">
        <v>60</v>
      </c>
      <c r="K528" s="2">
        <v>10</v>
      </c>
      <c r="L528" s="2">
        <v>183</v>
      </c>
      <c r="M528" s="2">
        <v>1187</v>
      </c>
      <c r="N528" s="2">
        <v>12422</v>
      </c>
      <c r="O528" s="2">
        <v>2852</v>
      </c>
    </row>
    <row r="529" spans="1:15" x14ac:dyDescent="0.35">
      <c r="A529" s="2">
        <v>8053475328</v>
      </c>
      <c r="B529" s="3">
        <v>42477</v>
      </c>
      <c r="C529" s="2">
        <v>13.68999958</v>
      </c>
      <c r="D529" s="2">
        <v>13.68999958</v>
      </c>
      <c r="E529" s="2">
        <v>0</v>
      </c>
      <c r="F529" s="2">
        <v>9.2399997710000008</v>
      </c>
      <c r="G529" s="2">
        <v>0.80000001200000004</v>
      </c>
      <c r="H529" s="2">
        <v>3.6400001049999999</v>
      </c>
      <c r="I529" s="2">
        <v>0</v>
      </c>
      <c r="J529" s="2">
        <v>111</v>
      </c>
      <c r="K529" s="2">
        <v>21</v>
      </c>
      <c r="L529" s="2">
        <v>195</v>
      </c>
      <c r="M529" s="2">
        <v>1113</v>
      </c>
      <c r="N529" s="2">
        <v>18827</v>
      </c>
      <c r="O529" s="2">
        <v>3213</v>
      </c>
    </row>
    <row r="530" spans="1:15" x14ac:dyDescent="0.35">
      <c r="A530" s="2">
        <v>2347167796</v>
      </c>
      <c r="B530" s="3">
        <v>42488</v>
      </c>
      <c r="C530" s="2">
        <v>3.5999999049999998</v>
      </c>
      <c r="D530" s="2">
        <v>3.5999999049999998</v>
      </c>
      <c r="E530" s="2">
        <v>0</v>
      </c>
      <c r="F530" s="2">
        <v>0</v>
      </c>
      <c r="G530" s="2">
        <v>0</v>
      </c>
      <c r="H530" s="2">
        <v>3.5999999049999998</v>
      </c>
      <c r="I530" s="2">
        <v>0</v>
      </c>
      <c r="J530" s="2">
        <v>0</v>
      </c>
      <c r="K530" s="2">
        <v>0</v>
      </c>
      <c r="L530" s="2">
        <v>229</v>
      </c>
      <c r="M530" s="2">
        <v>764</v>
      </c>
      <c r="N530" s="2">
        <v>5439</v>
      </c>
      <c r="O530" s="2">
        <v>1854</v>
      </c>
    </row>
    <row r="531" spans="1:15" x14ac:dyDescent="0.35">
      <c r="A531" s="2">
        <v>4445114986</v>
      </c>
      <c r="B531" s="3">
        <v>42708</v>
      </c>
      <c r="C531" s="2">
        <v>2.2000000480000002</v>
      </c>
      <c r="D531" s="2">
        <v>2.2000000480000002</v>
      </c>
      <c r="E531" s="2">
        <v>0</v>
      </c>
      <c r="F531" s="2">
        <v>0</v>
      </c>
      <c r="G531" s="2">
        <v>0</v>
      </c>
      <c r="H531" s="2">
        <v>2.2000000480000002</v>
      </c>
      <c r="I531" s="2">
        <v>0</v>
      </c>
      <c r="J531" s="2">
        <v>0</v>
      </c>
      <c r="K531" s="2">
        <v>0</v>
      </c>
      <c r="L531" s="2">
        <v>196</v>
      </c>
      <c r="M531" s="2">
        <v>787</v>
      </c>
      <c r="N531" s="2">
        <v>3276</v>
      </c>
      <c r="O531" s="2">
        <v>2113</v>
      </c>
    </row>
    <row r="532" spans="1:15" x14ac:dyDescent="0.35">
      <c r="A532" s="2">
        <v>6290855005</v>
      </c>
      <c r="B532" s="3">
        <v>42480</v>
      </c>
      <c r="C532" s="2">
        <v>4.8099999430000002</v>
      </c>
      <c r="D532" s="2">
        <v>4.8099999430000002</v>
      </c>
      <c r="E532" s="2">
        <v>0</v>
      </c>
      <c r="F532" s="2">
        <v>0</v>
      </c>
      <c r="G532" s="2">
        <v>0</v>
      </c>
      <c r="H532" s="2">
        <v>4.8000001909999996</v>
      </c>
      <c r="I532" s="2">
        <v>0.01</v>
      </c>
      <c r="J532" s="2">
        <v>0</v>
      </c>
      <c r="K532" s="2">
        <v>0</v>
      </c>
      <c r="L532" s="2">
        <v>258</v>
      </c>
      <c r="M532" s="2">
        <v>1182</v>
      </c>
      <c r="N532" s="2">
        <v>6361</v>
      </c>
      <c r="O532" s="2">
        <v>2701</v>
      </c>
    </row>
    <row r="533" spans="1:15" x14ac:dyDescent="0.35">
      <c r="A533" s="2">
        <v>3372868164</v>
      </c>
      <c r="B533" s="3">
        <v>42480</v>
      </c>
      <c r="C533" s="2">
        <v>3.329999924</v>
      </c>
      <c r="D533" s="2">
        <v>3.329999924</v>
      </c>
      <c r="E533" s="2">
        <v>0</v>
      </c>
      <c r="F533" s="2">
        <v>0.83999997400000004</v>
      </c>
      <c r="G533" s="2">
        <v>9.0000003999999995E-2</v>
      </c>
      <c r="H533" s="2">
        <v>2.380000114</v>
      </c>
      <c r="I533" s="2">
        <v>0.02</v>
      </c>
      <c r="J533" s="2">
        <v>15</v>
      </c>
      <c r="K533" s="2">
        <v>3</v>
      </c>
      <c r="L533" s="2">
        <v>274</v>
      </c>
      <c r="M533" s="2">
        <v>1148</v>
      </c>
      <c r="N533" s="2">
        <v>4880</v>
      </c>
      <c r="O533" s="2">
        <v>1867</v>
      </c>
    </row>
    <row r="534" spans="1:15" x14ac:dyDescent="0.35">
      <c r="A534" s="2">
        <v>3977333714</v>
      </c>
      <c r="B534" s="3">
        <v>42556</v>
      </c>
      <c r="C534" s="2">
        <v>7.7300000190000002</v>
      </c>
      <c r="D534" s="2">
        <v>7.7300000190000002</v>
      </c>
      <c r="E534" s="2">
        <v>0</v>
      </c>
      <c r="F534" s="2">
        <v>0</v>
      </c>
      <c r="G534" s="2">
        <v>4.1300001139999996</v>
      </c>
      <c r="H534" s="2">
        <v>3.5899999139999998</v>
      </c>
      <c r="I534" s="2">
        <v>0</v>
      </c>
      <c r="J534" s="2">
        <v>0</v>
      </c>
      <c r="K534" s="2">
        <v>86</v>
      </c>
      <c r="L534" s="2">
        <v>208</v>
      </c>
      <c r="M534" s="2">
        <v>703</v>
      </c>
      <c r="N534" s="2">
        <v>11550</v>
      </c>
      <c r="O534" s="2">
        <v>1574</v>
      </c>
    </row>
    <row r="535" spans="1:15" x14ac:dyDescent="0.35">
      <c r="A535" s="2">
        <v>8792009665</v>
      </c>
      <c r="B535" s="3">
        <v>42618</v>
      </c>
      <c r="C535" s="2">
        <v>0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1440</v>
      </c>
      <c r="N535" s="2">
        <v>0</v>
      </c>
      <c r="O535" s="2">
        <v>1688</v>
      </c>
    </row>
    <row r="536" spans="1:15" x14ac:dyDescent="0.35">
      <c r="A536" s="2">
        <v>1927972279</v>
      </c>
      <c r="B536" s="3">
        <v>42587</v>
      </c>
      <c r="C536" s="2">
        <v>0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1440</v>
      </c>
      <c r="N536" s="2">
        <v>0</v>
      </c>
      <c r="O536" s="2">
        <v>2063</v>
      </c>
    </row>
    <row r="537" spans="1:15" x14ac:dyDescent="0.35">
      <c r="A537" s="2">
        <v>1927972279</v>
      </c>
      <c r="B537" s="3">
        <v>42473</v>
      </c>
      <c r="C537" s="2">
        <v>0.25</v>
      </c>
      <c r="D537" s="2">
        <v>0.25</v>
      </c>
      <c r="E537" s="2">
        <v>0</v>
      </c>
      <c r="F537" s="2">
        <v>0</v>
      </c>
      <c r="G537" s="2">
        <v>0</v>
      </c>
      <c r="H537" s="2">
        <v>0.25</v>
      </c>
      <c r="I537" s="2">
        <v>0</v>
      </c>
      <c r="J537" s="2">
        <v>0</v>
      </c>
      <c r="K537" s="2">
        <v>0</v>
      </c>
      <c r="L537" s="2">
        <v>32</v>
      </c>
      <c r="M537" s="2">
        <v>986</v>
      </c>
      <c r="N537" s="2">
        <v>356</v>
      </c>
      <c r="O537" s="2">
        <v>2151</v>
      </c>
    </row>
    <row r="538" spans="1:15" x14ac:dyDescent="0.35">
      <c r="A538" s="2">
        <v>8053475328</v>
      </c>
      <c r="B538" s="3">
        <v>42405</v>
      </c>
      <c r="C538" s="2">
        <v>1.4299999480000001</v>
      </c>
      <c r="D538" s="2">
        <v>1.4299999480000001</v>
      </c>
      <c r="E538" s="2">
        <v>0</v>
      </c>
      <c r="F538" s="2">
        <v>0</v>
      </c>
      <c r="G538" s="2">
        <v>0</v>
      </c>
      <c r="H538" s="2">
        <v>1.4299999480000001</v>
      </c>
      <c r="I538" s="2">
        <v>0</v>
      </c>
      <c r="J538" s="2">
        <v>0</v>
      </c>
      <c r="K538" s="2">
        <v>0</v>
      </c>
      <c r="L538" s="2">
        <v>95</v>
      </c>
      <c r="M538" s="2">
        <v>1345</v>
      </c>
      <c r="N538" s="2">
        <v>1969</v>
      </c>
      <c r="O538" s="2">
        <v>1988</v>
      </c>
    </row>
    <row r="539" spans="1:15" x14ac:dyDescent="0.35">
      <c r="A539" s="2">
        <v>1624580081</v>
      </c>
      <c r="B539" s="3">
        <v>42374</v>
      </c>
      <c r="C539" s="2">
        <v>28.030000690000001</v>
      </c>
      <c r="D539" s="2">
        <v>28.030000690000001</v>
      </c>
      <c r="E539" s="2">
        <v>0</v>
      </c>
      <c r="F539" s="2">
        <v>21.920000080000001</v>
      </c>
      <c r="G539" s="2">
        <v>4.1900000569999998</v>
      </c>
      <c r="H539" s="2">
        <v>1.9099999670000001</v>
      </c>
      <c r="I539" s="2">
        <v>0.02</v>
      </c>
      <c r="J539" s="2">
        <v>186</v>
      </c>
      <c r="K539" s="2">
        <v>63</v>
      </c>
      <c r="L539" s="2">
        <v>171</v>
      </c>
      <c r="M539" s="2">
        <v>1020</v>
      </c>
      <c r="N539" s="2">
        <v>36019</v>
      </c>
      <c r="O539" s="2">
        <v>2690</v>
      </c>
    </row>
    <row r="540" spans="1:15" x14ac:dyDescent="0.35">
      <c r="A540" s="2">
        <v>4020332650</v>
      </c>
      <c r="B540" s="3">
        <v>42479</v>
      </c>
      <c r="C540" s="2">
        <v>0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1440</v>
      </c>
      <c r="N540" s="2">
        <v>0</v>
      </c>
      <c r="O540" s="2">
        <v>1980</v>
      </c>
    </row>
    <row r="541" spans="1:15" x14ac:dyDescent="0.35">
      <c r="A541" s="2">
        <v>8583815059</v>
      </c>
      <c r="B541" s="3">
        <v>42405</v>
      </c>
      <c r="C541" s="2">
        <v>6.6100001339999999</v>
      </c>
      <c r="D541" s="2">
        <v>6.6100001339999999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2">
        <v>1440</v>
      </c>
      <c r="N541" s="2">
        <v>8469</v>
      </c>
      <c r="O541" s="2">
        <v>2894</v>
      </c>
    </row>
    <row r="542" spans="1:15" x14ac:dyDescent="0.35">
      <c r="A542" s="2">
        <v>1927972279</v>
      </c>
      <c r="B542" s="3">
        <v>42374</v>
      </c>
      <c r="C542" s="2">
        <v>1.8700000050000001</v>
      </c>
      <c r="D542" s="2">
        <v>1.8700000050000001</v>
      </c>
      <c r="E542" s="2">
        <v>0</v>
      </c>
      <c r="F542" s="2">
        <v>1.0099999900000001</v>
      </c>
      <c r="G542" s="2">
        <v>2.9999998999999999E-2</v>
      </c>
      <c r="H542" s="2">
        <v>0.829999983</v>
      </c>
      <c r="I542" s="2">
        <v>0</v>
      </c>
      <c r="J542" s="2">
        <v>14</v>
      </c>
      <c r="K542" s="2">
        <v>1</v>
      </c>
      <c r="L542" s="2">
        <v>70</v>
      </c>
      <c r="M542" s="2">
        <v>1355</v>
      </c>
      <c r="N542" s="2">
        <v>2704</v>
      </c>
      <c r="O542" s="2">
        <v>2411</v>
      </c>
    </row>
    <row r="543" spans="1:15" x14ac:dyDescent="0.35">
      <c r="A543" s="2">
        <v>4445114986</v>
      </c>
      <c r="B543" s="3">
        <v>42618</v>
      </c>
      <c r="C543" s="2">
        <v>3.539999962</v>
      </c>
      <c r="D543" s="2">
        <v>3.539999962</v>
      </c>
      <c r="E543" s="2">
        <v>0</v>
      </c>
      <c r="F543" s="2">
        <v>0</v>
      </c>
      <c r="G543" s="2">
        <v>0</v>
      </c>
      <c r="H543" s="2">
        <v>3.539999962</v>
      </c>
      <c r="I543" s="2">
        <v>0</v>
      </c>
      <c r="J543" s="2">
        <v>0</v>
      </c>
      <c r="K543" s="2">
        <v>0</v>
      </c>
      <c r="L543" s="2">
        <v>266</v>
      </c>
      <c r="M543" s="2">
        <v>641</v>
      </c>
      <c r="N543" s="2">
        <v>5275</v>
      </c>
      <c r="O543" s="2">
        <v>2281</v>
      </c>
    </row>
    <row r="544" spans="1:15" x14ac:dyDescent="0.35">
      <c r="A544" s="2">
        <v>4319703577</v>
      </c>
      <c r="B544" s="3">
        <v>42490</v>
      </c>
      <c r="C544" s="2">
        <v>5.5199999809999998</v>
      </c>
      <c r="D544" s="2">
        <v>5.5199999809999998</v>
      </c>
      <c r="E544" s="2">
        <v>0</v>
      </c>
      <c r="F544" s="2">
        <v>0.40000000600000002</v>
      </c>
      <c r="G544" s="2">
        <v>1.6100000139999999</v>
      </c>
      <c r="H544" s="2">
        <v>3.5099999899999998</v>
      </c>
      <c r="I544" s="2">
        <v>0</v>
      </c>
      <c r="J544" s="2">
        <v>6</v>
      </c>
      <c r="K544" s="2">
        <v>38</v>
      </c>
      <c r="L544" s="2">
        <v>196</v>
      </c>
      <c r="M544" s="2">
        <v>695</v>
      </c>
      <c r="N544" s="2">
        <v>8221</v>
      </c>
      <c r="O544" s="2">
        <v>2092</v>
      </c>
    </row>
    <row r="545" spans="1:15" x14ac:dyDescent="0.35">
      <c r="A545" s="2">
        <v>6290855005</v>
      </c>
      <c r="B545" s="3">
        <v>42477</v>
      </c>
      <c r="C545" s="2">
        <v>5.9400000569999998</v>
      </c>
      <c r="D545" s="2">
        <v>5.9400000569999998</v>
      </c>
      <c r="E545" s="2">
        <v>0</v>
      </c>
      <c r="F545" s="2">
        <v>1.1399999860000001</v>
      </c>
      <c r="G545" s="2">
        <v>0.790000021</v>
      </c>
      <c r="H545" s="2">
        <v>4</v>
      </c>
      <c r="I545" s="2">
        <v>0</v>
      </c>
      <c r="J545" s="2">
        <v>31</v>
      </c>
      <c r="K545" s="2">
        <v>12</v>
      </c>
      <c r="L545" s="2">
        <v>225</v>
      </c>
      <c r="M545" s="2">
        <v>1172</v>
      </c>
      <c r="N545" s="2">
        <v>7851</v>
      </c>
      <c r="O545" s="2">
        <v>3171</v>
      </c>
    </row>
    <row r="546" spans="1:15" x14ac:dyDescent="0.35">
      <c r="A546" s="2">
        <v>3977333714</v>
      </c>
      <c r="B546" s="3">
        <v>42476</v>
      </c>
      <c r="C546" s="2">
        <v>9</v>
      </c>
      <c r="D546" s="2">
        <v>9</v>
      </c>
      <c r="E546" s="2">
        <v>0</v>
      </c>
      <c r="F546" s="2">
        <v>2.0299999710000001</v>
      </c>
      <c r="G546" s="2">
        <v>4</v>
      </c>
      <c r="H546" s="2">
        <v>2.9700000289999999</v>
      </c>
      <c r="I546" s="2">
        <v>0</v>
      </c>
      <c r="J546" s="2">
        <v>31</v>
      </c>
      <c r="K546" s="2">
        <v>83</v>
      </c>
      <c r="L546" s="2">
        <v>153</v>
      </c>
      <c r="M546" s="2">
        <v>663</v>
      </c>
      <c r="N546" s="2">
        <v>13459</v>
      </c>
      <c r="O546" s="2">
        <v>1625</v>
      </c>
    </row>
    <row r="547" spans="1:15" x14ac:dyDescent="0.35">
      <c r="A547" s="2">
        <v>1503960366</v>
      </c>
      <c r="B547" s="3">
        <v>42374</v>
      </c>
      <c r="C547" s="2">
        <v>6.8099999430000002</v>
      </c>
      <c r="D547" s="2">
        <v>6.8099999430000002</v>
      </c>
      <c r="E547" s="2">
        <v>0</v>
      </c>
      <c r="F547" s="2">
        <v>2.289999962</v>
      </c>
      <c r="G547" s="2">
        <v>1.6000000240000001</v>
      </c>
      <c r="H547" s="2">
        <v>2.920000076</v>
      </c>
      <c r="I547" s="2">
        <v>0</v>
      </c>
      <c r="J547" s="2">
        <v>33</v>
      </c>
      <c r="K547" s="2">
        <v>35</v>
      </c>
      <c r="L547" s="2">
        <v>246</v>
      </c>
      <c r="M547" s="2">
        <v>730</v>
      </c>
      <c r="N547" s="2">
        <v>10602</v>
      </c>
      <c r="O547" s="2">
        <v>1820</v>
      </c>
    </row>
    <row r="548" spans="1:15" x14ac:dyDescent="0.35">
      <c r="A548" s="2">
        <v>7086361926</v>
      </c>
      <c r="B548" s="3">
        <v>42465</v>
      </c>
      <c r="C548" s="2">
        <v>8.3100004199999997</v>
      </c>
      <c r="D548" s="2">
        <v>8.3100004199999997</v>
      </c>
      <c r="E548" s="2">
        <v>0</v>
      </c>
      <c r="F548" s="2">
        <v>5.2800002099999999</v>
      </c>
      <c r="G548" s="2">
        <v>0.119999997</v>
      </c>
      <c r="H548" s="2">
        <v>2.9000000950000002</v>
      </c>
      <c r="I548" s="2">
        <v>0</v>
      </c>
      <c r="J548" s="2">
        <v>45</v>
      </c>
      <c r="K548" s="2">
        <v>12</v>
      </c>
      <c r="L548" s="2">
        <v>135</v>
      </c>
      <c r="M548" s="2">
        <v>843</v>
      </c>
      <c r="N548" s="2">
        <v>10988</v>
      </c>
      <c r="O548" s="2">
        <v>2655</v>
      </c>
    </row>
    <row r="549" spans="1:15" x14ac:dyDescent="0.35">
      <c r="A549" s="2">
        <v>8583815059</v>
      </c>
      <c r="B549" s="3">
        <v>42477</v>
      </c>
      <c r="C549" s="2">
        <v>2.3499999049999998</v>
      </c>
      <c r="D549" s="2">
        <v>2.3499999049999998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1440</v>
      </c>
      <c r="N549" s="2">
        <v>3008</v>
      </c>
      <c r="O549" s="2">
        <v>2439</v>
      </c>
    </row>
    <row r="550" spans="1:15" x14ac:dyDescent="0.35">
      <c r="A550" s="2">
        <v>7086361926</v>
      </c>
      <c r="B550" s="3">
        <v>42434</v>
      </c>
      <c r="C550" s="2">
        <v>6.7600002290000001</v>
      </c>
      <c r="D550" s="2">
        <v>6.7600002290000001</v>
      </c>
      <c r="E550" s="2">
        <v>0</v>
      </c>
      <c r="F550" s="2">
        <v>2.7400000100000002</v>
      </c>
      <c r="G550" s="2">
        <v>0.85000002399999997</v>
      </c>
      <c r="H550" s="2">
        <v>3.1600000860000002</v>
      </c>
      <c r="I550" s="2">
        <v>0</v>
      </c>
      <c r="J550" s="2">
        <v>57</v>
      </c>
      <c r="K550" s="2">
        <v>36</v>
      </c>
      <c r="L550" s="2">
        <v>152</v>
      </c>
      <c r="M550" s="2">
        <v>761</v>
      </c>
      <c r="N550" s="2">
        <v>10288</v>
      </c>
      <c r="O550" s="2">
        <v>2754</v>
      </c>
    </row>
    <row r="551" spans="1:15" x14ac:dyDescent="0.35">
      <c r="A551" s="2">
        <v>4319703577</v>
      </c>
      <c r="B551" s="3">
        <v>42587</v>
      </c>
      <c r="C551" s="2">
        <v>2.460000038</v>
      </c>
      <c r="D551" s="2">
        <v>2.460000038</v>
      </c>
      <c r="E551" s="2">
        <v>0</v>
      </c>
      <c r="F551" s="2">
        <v>0</v>
      </c>
      <c r="G551" s="2">
        <v>0</v>
      </c>
      <c r="H551" s="2">
        <v>2.460000038</v>
      </c>
      <c r="I551" s="2">
        <v>0</v>
      </c>
      <c r="J551" s="2">
        <v>0</v>
      </c>
      <c r="K551" s="2">
        <v>0</v>
      </c>
      <c r="L551" s="2">
        <v>153</v>
      </c>
      <c r="M551" s="2">
        <v>603</v>
      </c>
      <c r="N551" s="2">
        <v>3672</v>
      </c>
      <c r="O551" s="2">
        <v>1792</v>
      </c>
    </row>
    <row r="552" spans="1:15" x14ac:dyDescent="0.35">
      <c r="A552" s="2">
        <v>5553957443</v>
      </c>
      <c r="B552" s="3">
        <v>42473</v>
      </c>
      <c r="C552" s="2">
        <v>3.1600000860000002</v>
      </c>
      <c r="D552" s="2">
        <v>3.1600000860000002</v>
      </c>
      <c r="E552" s="2">
        <v>0</v>
      </c>
      <c r="F552" s="2">
        <v>0</v>
      </c>
      <c r="G552" s="2">
        <v>0</v>
      </c>
      <c r="H552" s="2">
        <v>3.1600000860000002</v>
      </c>
      <c r="I552" s="2">
        <v>0</v>
      </c>
      <c r="J552" s="2">
        <v>0</v>
      </c>
      <c r="K552" s="2">
        <v>0</v>
      </c>
      <c r="L552" s="2">
        <v>226</v>
      </c>
      <c r="M552" s="2">
        <v>647</v>
      </c>
      <c r="N552" s="2">
        <v>4832</v>
      </c>
      <c r="O552" s="2">
        <v>1718</v>
      </c>
    </row>
    <row r="553" spans="1:15" x14ac:dyDescent="0.35">
      <c r="A553" s="2">
        <v>5577150313</v>
      </c>
      <c r="B553" s="3">
        <v>42486</v>
      </c>
      <c r="C553" s="2">
        <v>3.9800000190000002</v>
      </c>
      <c r="D553" s="2">
        <v>3.9800000190000002</v>
      </c>
      <c r="E553" s="2">
        <v>0</v>
      </c>
      <c r="F553" s="2">
        <v>0.85000002399999997</v>
      </c>
      <c r="G553" s="2">
        <v>0.64999997600000003</v>
      </c>
      <c r="H553" s="2">
        <v>2.4700000289999999</v>
      </c>
      <c r="I553" s="2">
        <v>0</v>
      </c>
      <c r="J553" s="2">
        <v>38</v>
      </c>
      <c r="K553" s="2">
        <v>32</v>
      </c>
      <c r="L553" s="2">
        <v>181</v>
      </c>
      <c r="M553" s="2">
        <v>759</v>
      </c>
      <c r="N553" s="2">
        <v>5325</v>
      </c>
      <c r="O553" s="2">
        <v>3088</v>
      </c>
    </row>
    <row r="554" spans="1:15" x14ac:dyDescent="0.35">
      <c r="A554" s="2">
        <v>1624580081</v>
      </c>
      <c r="B554" s="3">
        <v>42479</v>
      </c>
      <c r="C554" s="2">
        <v>1.8999999759999999</v>
      </c>
      <c r="D554" s="2">
        <v>1.8999999759999999</v>
      </c>
      <c r="E554" s="2">
        <v>0</v>
      </c>
      <c r="F554" s="2">
        <v>0</v>
      </c>
      <c r="G554" s="2">
        <v>0</v>
      </c>
      <c r="H554" s="2">
        <v>1.8999999759999999</v>
      </c>
      <c r="I554" s="2">
        <v>0</v>
      </c>
      <c r="J554" s="2">
        <v>0</v>
      </c>
      <c r="K554" s="2">
        <v>0</v>
      </c>
      <c r="L554" s="2">
        <v>141</v>
      </c>
      <c r="M554" s="2">
        <v>1299</v>
      </c>
      <c r="N554" s="2">
        <v>2916</v>
      </c>
      <c r="O554" s="2">
        <v>1435</v>
      </c>
    </row>
    <row r="555" spans="1:15" x14ac:dyDescent="0.35">
      <c r="A555" s="2">
        <v>2022484408</v>
      </c>
      <c r="B555" s="3">
        <v>42434</v>
      </c>
      <c r="C555" s="2">
        <v>8.7399997710000008</v>
      </c>
      <c r="D555" s="2">
        <v>8.7399997710000008</v>
      </c>
      <c r="E555" s="2">
        <v>0</v>
      </c>
      <c r="F555" s="2">
        <v>3.9900000100000002</v>
      </c>
      <c r="G555" s="2">
        <v>0.46000000800000002</v>
      </c>
      <c r="H555" s="2">
        <v>4.2800002099999999</v>
      </c>
      <c r="I555" s="2">
        <v>0</v>
      </c>
      <c r="J555" s="2">
        <v>72</v>
      </c>
      <c r="K555" s="2">
        <v>14</v>
      </c>
      <c r="L555" s="2">
        <v>250</v>
      </c>
      <c r="M555" s="2">
        <v>1104</v>
      </c>
      <c r="N555" s="2">
        <v>12183</v>
      </c>
      <c r="O555" s="2">
        <v>2752</v>
      </c>
    </row>
    <row r="556" spans="1:15" x14ac:dyDescent="0.35">
      <c r="A556" s="2">
        <v>2320127002</v>
      </c>
      <c r="B556" s="3">
        <v>42679</v>
      </c>
      <c r="C556" s="2">
        <v>4.329999924</v>
      </c>
      <c r="D556" s="2">
        <v>4.329999924</v>
      </c>
      <c r="E556" s="2">
        <v>0</v>
      </c>
      <c r="F556" s="2">
        <v>0</v>
      </c>
      <c r="G556" s="2">
        <v>0</v>
      </c>
      <c r="H556" s="2">
        <v>4.329999924</v>
      </c>
      <c r="I556" s="2">
        <v>0</v>
      </c>
      <c r="J556" s="2">
        <v>0</v>
      </c>
      <c r="K556" s="2">
        <v>0</v>
      </c>
      <c r="L556" s="2">
        <v>300</v>
      </c>
      <c r="M556" s="2">
        <v>1140</v>
      </c>
      <c r="N556" s="2">
        <v>6424</v>
      </c>
      <c r="O556" s="2">
        <v>1903</v>
      </c>
    </row>
    <row r="557" spans="1:15" x14ac:dyDescent="0.35">
      <c r="A557" s="2">
        <v>8053475328</v>
      </c>
      <c r="B557" s="3">
        <v>42482</v>
      </c>
      <c r="C557" s="2">
        <v>8.2899999619999996</v>
      </c>
      <c r="D557" s="2">
        <v>8.2899999619999996</v>
      </c>
      <c r="E557" s="2">
        <v>0</v>
      </c>
      <c r="F557" s="2">
        <v>6.2600002290000001</v>
      </c>
      <c r="G557" s="2">
        <v>0.15000000599999999</v>
      </c>
      <c r="H557" s="2">
        <v>1.8799999949999999</v>
      </c>
      <c r="I557" s="2">
        <v>0</v>
      </c>
      <c r="J557" s="2">
        <v>60</v>
      </c>
      <c r="K557" s="2">
        <v>3</v>
      </c>
      <c r="L557" s="2">
        <v>117</v>
      </c>
      <c r="M557" s="2">
        <v>1260</v>
      </c>
      <c r="N557" s="2">
        <v>10520</v>
      </c>
      <c r="O557" s="2">
        <v>2655</v>
      </c>
    </row>
    <row r="558" spans="1:15" x14ac:dyDescent="0.35">
      <c r="A558" s="2">
        <v>6290855005</v>
      </c>
      <c r="B558" s="3">
        <v>42473</v>
      </c>
      <c r="C558" s="2">
        <v>5.4000000950000002</v>
      </c>
      <c r="D558" s="2">
        <v>5.4000000950000002</v>
      </c>
      <c r="E558" s="2">
        <v>0</v>
      </c>
      <c r="F558" s="2">
        <v>0</v>
      </c>
      <c r="G558" s="2">
        <v>0</v>
      </c>
      <c r="H558" s="2">
        <v>5.3899998660000001</v>
      </c>
      <c r="I558" s="2">
        <v>0.01</v>
      </c>
      <c r="J558" s="2">
        <v>0</v>
      </c>
      <c r="K558" s="2">
        <v>0</v>
      </c>
      <c r="L558" s="2">
        <v>350</v>
      </c>
      <c r="M558" s="2">
        <v>1090</v>
      </c>
      <c r="N558" s="2">
        <v>7142</v>
      </c>
      <c r="O558" s="2">
        <v>2905</v>
      </c>
    </row>
    <row r="559" spans="1:15" x14ac:dyDescent="0.35">
      <c r="A559" s="2">
        <v>6962181067</v>
      </c>
      <c r="B559" s="3">
        <v>42618</v>
      </c>
      <c r="C559" s="2">
        <v>8.7200002669999996</v>
      </c>
      <c r="D559" s="2">
        <v>8.6800003050000001</v>
      </c>
      <c r="E559" s="2">
        <v>3.1678218839999999</v>
      </c>
      <c r="F559" s="2">
        <v>3.9000000950000002</v>
      </c>
      <c r="G559" s="2">
        <v>1.1799999480000001</v>
      </c>
      <c r="H559" s="2">
        <v>3.6500000950000002</v>
      </c>
      <c r="I559" s="2">
        <v>0</v>
      </c>
      <c r="J559" s="2">
        <v>43</v>
      </c>
      <c r="K559" s="2">
        <v>21</v>
      </c>
      <c r="L559" s="2">
        <v>231</v>
      </c>
      <c r="M559" s="2">
        <v>607</v>
      </c>
      <c r="N559" s="2">
        <v>12342</v>
      </c>
      <c r="O559" s="2">
        <v>2105</v>
      </c>
    </row>
    <row r="560" spans="1:15" x14ac:dyDescent="0.35">
      <c r="A560" s="2">
        <v>8877689391</v>
      </c>
      <c r="B560" s="3">
        <v>42476</v>
      </c>
      <c r="C560" s="2">
        <v>25.290000920000001</v>
      </c>
      <c r="D560" s="2">
        <v>25.290000920000001</v>
      </c>
      <c r="E560" s="2">
        <v>0</v>
      </c>
      <c r="F560" s="2">
        <v>13.239999770000001</v>
      </c>
      <c r="G560" s="2">
        <v>1.210000038</v>
      </c>
      <c r="H560" s="2">
        <v>10.710000040000001</v>
      </c>
      <c r="I560" s="2">
        <v>0</v>
      </c>
      <c r="J560" s="2">
        <v>94</v>
      </c>
      <c r="K560" s="2">
        <v>29</v>
      </c>
      <c r="L560" s="2">
        <v>429</v>
      </c>
      <c r="M560" s="2">
        <v>888</v>
      </c>
      <c r="N560" s="2">
        <v>29326</v>
      </c>
      <c r="O560" s="2">
        <v>4547</v>
      </c>
    </row>
    <row r="561" spans="1:15" x14ac:dyDescent="0.35">
      <c r="A561" s="2">
        <v>2022484408</v>
      </c>
      <c r="B561" s="3">
        <v>42708</v>
      </c>
      <c r="C561" s="2">
        <v>8.3400001530000001</v>
      </c>
      <c r="D561" s="2">
        <v>8.3400001530000001</v>
      </c>
      <c r="E561" s="2">
        <v>0</v>
      </c>
      <c r="F561" s="2">
        <v>3.3099999430000002</v>
      </c>
      <c r="G561" s="2">
        <v>0.769999981</v>
      </c>
      <c r="H561" s="2">
        <v>4.2600002290000001</v>
      </c>
      <c r="I561" s="2">
        <v>0</v>
      </c>
      <c r="J561" s="2">
        <v>42</v>
      </c>
      <c r="K561" s="2">
        <v>14</v>
      </c>
      <c r="L561" s="2">
        <v>227</v>
      </c>
      <c r="M561" s="2">
        <v>1157</v>
      </c>
      <c r="N561" s="2">
        <v>11875</v>
      </c>
      <c r="O561" s="2">
        <v>2390</v>
      </c>
    </row>
    <row r="562" spans="1:15" x14ac:dyDescent="0.35">
      <c r="A562" s="2">
        <v>2873212765</v>
      </c>
      <c r="B562" s="3">
        <v>42465</v>
      </c>
      <c r="C562" s="2">
        <v>5.5599999430000002</v>
      </c>
      <c r="D562" s="2">
        <v>5.5599999430000002</v>
      </c>
      <c r="E562" s="2">
        <v>0</v>
      </c>
      <c r="F562" s="2">
        <v>0</v>
      </c>
      <c r="G562" s="2">
        <v>0</v>
      </c>
      <c r="H562" s="2">
        <v>5.5599999430000002</v>
      </c>
      <c r="I562" s="2">
        <v>0</v>
      </c>
      <c r="J562" s="2">
        <v>0</v>
      </c>
      <c r="K562" s="2">
        <v>0</v>
      </c>
      <c r="L562" s="2">
        <v>420</v>
      </c>
      <c r="M562" s="2">
        <v>1020</v>
      </c>
      <c r="N562" s="2">
        <v>8278</v>
      </c>
      <c r="O562" s="2">
        <v>2015</v>
      </c>
    </row>
    <row r="563" spans="1:15" x14ac:dyDescent="0.35">
      <c r="A563" s="2">
        <v>8877689391</v>
      </c>
      <c r="B563" s="3">
        <v>42485</v>
      </c>
      <c r="C563" s="2">
        <v>8.7399997710000008</v>
      </c>
      <c r="D563" s="2">
        <v>8.7399997710000008</v>
      </c>
      <c r="E563" s="2">
        <v>0</v>
      </c>
      <c r="F563" s="2">
        <v>2.369999886</v>
      </c>
      <c r="G563" s="2">
        <v>7.0000000000000007E-2</v>
      </c>
      <c r="H563" s="2">
        <v>6.2699999809999998</v>
      </c>
      <c r="I563" s="2">
        <v>0.01</v>
      </c>
      <c r="J563" s="2">
        <v>113</v>
      </c>
      <c r="K563" s="2">
        <v>8</v>
      </c>
      <c r="L563" s="2">
        <v>218</v>
      </c>
      <c r="M563" s="2">
        <v>1101</v>
      </c>
      <c r="N563" s="2">
        <v>12986</v>
      </c>
      <c r="O563" s="2">
        <v>3802</v>
      </c>
    </row>
    <row r="564" spans="1:15" x14ac:dyDescent="0.35">
      <c r="A564" s="2">
        <v>1503960366</v>
      </c>
      <c r="B564" s="3">
        <v>42489</v>
      </c>
      <c r="C564" s="2">
        <v>7.1500000950000002</v>
      </c>
      <c r="D564" s="2">
        <v>7.1500000950000002</v>
      </c>
      <c r="E564" s="2">
        <v>0</v>
      </c>
      <c r="F564" s="2">
        <v>1.059999943</v>
      </c>
      <c r="G564" s="2">
        <v>0.5</v>
      </c>
      <c r="H564" s="2">
        <v>5.579999924</v>
      </c>
      <c r="I564" s="2">
        <v>0</v>
      </c>
      <c r="J564" s="2">
        <v>16</v>
      </c>
      <c r="K564" s="2">
        <v>12</v>
      </c>
      <c r="L564" s="2">
        <v>243</v>
      </c>
      <c r="M564" s="2">
        <v>815</v>
      </c>
      <c r="N564" s="2">
        <v>11181</v>
      </c>
      <c r="O564" s="2">
        <v>1837</v>
      </c>
    </row>
    <row r="565" spans="1:15" x14ac:dyDescent="0.35">
      <c r="A565" s="2">
        <v>1927972279</v>
      </c>
      <c r="B565" s="3">
        <v>42476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1440</v>
      </c>
      <c r="N565" s="2">
        <v>0</v>
      </c>
      <c r="O565" s="2">
        <v>2064</v>
      </c>
    </row>
    <row r="566" spans="1:15" x14ac:dyDescent="0.35">
      <c r="A566" s="2">
        <v>3977333714</v>
      </c>
      <c r="B566" s="3">
        <v>42478</v>
      </c>
      <c r="C566" s="2">
        <v>7.8000001909999996</v>
      </c>
      <c r="D566" s="2">
        <v>7.8000001909999996</v>
      </c>
      <c r="E566" s="2">
        <v>0</v>
      </c>
      <c r="F566" s="2">
        <v>0.25</v>
      </c>
      <c r="G566" s="2">
        <v>3.7300000190000002</v>
      </c>
      <c r="H566" s="2">
        <v>3.8199999330000001</v>
      </c>
      <c r="I566" s="2">
        <v>0</v>
      </c>
      <c r="J566" s="2">
        <v>4</v>
      </c>
      <c r="K566" s="2">
        <v>95</v>
      </c>
      <c r="L566" s="2">
        <v>214</v>
      </c>
      <c r="M566" s="2">
        <v>605</v>
      </c>
      <c r="N566" s="2">
        <v>11663</v>
      </c>
      <c r="O566" s="2">
        <v>1584</v>
      </c>
    </row>
    <row r="567" spans="1:15" x14ac:dyDescent="0.35">
      <c r="A567" s="2">
        <v>2347167796</v>
      </c>
      <c r="B567" s="3">
        <v>42480</v>
      </c>
      <c r="C567" s="2">
        <v>7.2699999809999998</v>
      </c>
      <c r="D567" s="2">
        <v>7.2699999809999998</v>
      </c>
      <c r="E567" s="2">
        <v>0</v>
      </c>
      <c r="F567" s="2">
        <v>0.68000000699999996</v>
      </c>
      <c r="G567" s="2">
        <v>1.809999943</v>
      </c>
      <c r="H567" s="2">
        <v>4.7800002099999999</v>
      </c>
      <c r="I567" s="2">
        <v>0</v>
      </c>
      <c r="J567" s="2">
        <v>11</v>
      </c>
      <c r="K567" s="2">
        <v>43</v>
      </c>
      <c r="L567" s="2">
        <v>269</v>
      </c>
      <c r="M567" s="2">
        <v>1011</v>
      </c>
      <c r="N567" s="2">
        <v>10999</v>
      </c>
      <c r="O567" s="2">
        <v>2198</v>
      </c>
    </row>
    <row r="568" spans="1:15" x14ac:dyDescent="0.35">
      <c r="A568" s="2">
        <v>6117666160</v>
      </c>
      <c r="B568" s="3">
        <v>42374</v>
      </c>
      <c r="C568" s="2">
        <v>6.7300000190000002</v>
      </c>
      <c r="D568" s="2">
        <v>6.7300000190000002</v>
      </c>
      <c r="E568" s="2">
        <v>0</v>
      </c>
      <c r="F568" s="2">
        <v>0</v>
      </c>
      <c r="G568" s="2">
        <v>0</v>
      </c>
      <c r="H568" s="2">
        <v>6.7300000190000002</v>
      </c>
      <c r="I568" s="2">
        <v>0</v>
      </c>
      <c r="J568" s="2">
        <v>0</v>
      </c>
      <c r="K568" s="2">
        <v>0</v>
      </c>
      <c r="L568" s="2">
        <v>397</v>
      </c>
      <c r="M568" s="2">
        <v>525</v>
      </c>
      <c r="N568" s="2">
        <v>8915</v>
      </c>
      <c r="O568" s="2">
        <v>2361</v>
      </c>
    </row>
    <row r="569" spans="1:15" x14ac:dyDescent="0.35">
      <c r="A569" s="2">
        <v>8792009665</v>
      </c>
      <c r="B569" s="3">
        <v>42556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1440</v>
      </c>
      <c r="N569" s="2">
        <v>0</v>
      </c>
      <c r="O569" s="2">
        <v>1688</v>
      </c>
    </row>
    <row r="570" spans="1:15" x14ac:dyDescent="0.35">
      <c r="A570" s="2">
        <v>2026352035</v>
      </c>
      <c r="B570" s="3">
        <v>42477</v>
      </c>
      <c r="C570" s="2">
        <v>0.519999981</v>
      </c>
      <c r="D570" s="2">
        <v>0.519999981</v>
      </c>
      <c r="E570" s="2">
        <v>0</v>
      </c>
      <c r="F570" s="2">
        <v>0</v>
      </c>
      <c r="G570" s="2">
        <v>0</v>
      </c>
      <c r="H570" s="2">
        <v>0.519999981</v>
      </c>
      <c r="I570" s="2">
        <v>0</v>
      </c>
      <c r="J570" s="2">
        <v>0</v>
      </c>
      <c r="K570" s="2">
        <v>0</v>
      </c>
      <c r="L570" s="2">
        <v>60</v>
      </c>
      <c r="M570" s="2">
        <v>1053</v>
      </c>
      <c r="N570" s="2">
        <v>838</v>
      </c>
      <c r="O570" s="2">
        <v>1214</v>
      </c>
    </row>
    <row r="571" spans="1:15" x14ac:dyDescent="0.35">
      <c r="A571" s="2">
        <v>1844505072</v>
      </c>
      <c r="B571" s="3">
        <v>42495</v>
      </c>
      <c r="C571" s="2">
        <v>1.480000019</v>
      </c>
      <c r="D571" s="2">
        <v>1.480000019</v>
      </c>
      <c r="E571" s="2">
        <v>0</v>
      </c>
      <c r="F571" s="2">
        <v>0</v>
      </c>
      <c r="G571" s="2">
        <v>0</v>
      </c>
      <c r="H571" s="2">
        <v>1.480000019</v>
      </c>
      <c r="I571" s="2">
        <v>0</v>
      </c>
      <c r="J571" s="2">
        <v>0</v>
      </c>
      <c r="K571" s="2">
        <v>0</v>
      </c>
      <c r="L571" s="2">
        <v>120</v>
      </c>
      <c r="M571" s="2">
        <v>1320</v>
      </c>
      <c r="N571" s="2">
        <v>2237</v>
      </c>
      <c r="O571" s="2">
        <v>1589</v>
      </c>
    </row>
    <row r="572" spans="1:15" x14ac:dyDescent="0.35">
      <c r="A572" s="2">
        <v>7086361926</v>
      </c>
      <c r="B572" s="3">
        <v>42488</v>
      </c>
      <c r="C572" s="2">
        <v>7.8000001909999996</v>
      </c>
      <c r="D572" s="2">
        <v>7.8000001909999996</v>
      </c>
      <c r="E572" s="2">
        <v>0</v>
      </c>
      <c r="F572" s="2">
        <v>2.789999962</v>
      </c>
      <c r="G572" s="2">
        <v>1.6399999860000001</v>
      </c>
      <c r="H572" s="2">
        <v>3.3599998950000001</v>
      </c>
      <c r="I572" s="2">
        <v>0</v>
      </c>
      <c r="J572" s="2">
        <v>54</v>
      </c>
      <c r="K572" s="2">
        <v>48</v>
      </c>
      <c r="L572" s="2">
        <v>161</v>
      </c>
      <c r="M572" s="2">
        <v>810</v>
      </c>
      <c r="N572" s="2">
        <v>11584</v>
      </c>
      <c r="O572" s="2">
        <v>2862</v>
      </c>
    </row>
    <row r="573" spans="1:15" x14ac:dyDescent="0.35">
      <c r="A573" s="2">
        <v>2022484408</v>
      </c>
      <c r="B573" s="3">
        <v>42587</v>
      </c>
      <c r="C573" s="2">
        <v>2.3099999430000002</v>
      </c>
      <c r="D573" s="2">
        <v>2.3099999430000002</v>
      </c>
      <c r="E573" s="2">
        <v>0</v>
      </c>
      <c r="F573" s="2">
        <v>0</v>
      </c>
      <c r="G573" s="2">
        <v>0</v>
      </c>
      <c r="H573" s="2">
        <v>2.3099999430000002</v>
      </c>
      <c r="I573" s="2">
        <v>0</v>
      </c>
      <c r="J573" s="2">
        <v>0</v>
      </c>
      <c r="K573" s="2">
        <v>0</v>
      </c>
      <c r="L573" s="2">
        <v>135</v>
      </c>
      <c r="M573" s="2">
        <v>1305</v>
      </c>
      <c r="N573" s="2">
        <v>3292</v>
      </c>
      <c r="O573" s="2">
        <v>1848</v>
      </c>
    </row>
    <row r="574" spans="1:15" x14ac:dyDescent="0.35">
      <c r="A574" s="2">
        <v>3372868164</v>
      </c>
      <c r="B574" s="3">
        <v>42477</v>
      </c>
      <c r="C574" s="2">
        <v>5.8800001139999996</v>
      </c>
      <c r="D574" s="2">
        <v>5.8800001139999996</v>
      </c>
      <c r="E574" s="2">
        <v>0</v>
      </c>
      <c r="F574" s="2">
        <v>1.4099999670000001</v>
      </c>
      <c r="G574" s="2">
        <v>0.10000000100000001</v>
      </c>
      <c r="H574" s="2">
        <v>4.3600001339999999</v>
      </c>
      <c r="I574" s="2">
        <v>0.01</v>
      </c>
      <c r="J574" s="2">
        <v>11</v>
      </c>
      <c r="K574" s="2">
        <v>2</v>
      </c>
      <c r="L574" s="2">
        <v>322</v>
      </c>
      <c r="M574" s="2">
        <v>1105</v>
      </c>
      <c r="N574" s="2">
        <v>8199</v>
      </c>
      <c r="O574" s="2">
        <v>1964</v>
      </c>
    </row>
    <row r="575" spans="1:15" x14ac:dyDescent="0.35">
      <c r="A575" s="2">
        <v>7007744171</v>
      </c>
      <c r="B575" s="3">
        <v>42473</v>
      </c>
      <c r="C575" s="2">
        <v>9.6499996190000008</v>
      </c>
      <c r="D575" s="2">
        <v>8.6000003809999992</v>
      </c>
      <c r="E575" s="2">
        <v>4.8513069150000003</v>
      </c>
      <c r="F575" s="2">
        <v>4.6100001339999999</v>
      </c>
      <c r="G575" s="2">
        <v>0.560000002</v>
      </c>
      <c r="H575" s="2">
        <v>4.4800000190000002</v>
      </c>
      <c r="I575" s="2">
        <v>0</v>
      </c>
      <c r="J575" s="2">
        <v>56</v>
      </c>
      <c r="K575" s="2">
        <v>22</v>
      </c>
      <c r="L575" s="2">
        <v>261</v>
      </c>
      <c r="M575" s="2">
        <v>1101</v>
      </c>
      <c r="N575" s="2">
        <v>12862</v>
      </c>
      <c r="O575" s="2">
        <v>2742</v>
      </c>
    </row>
    <row r="576" spans="1:15" x14ac:dyDescent="0.35">
      <c r="A576" s="2">
        <v>6775888955</v>
      </c>
      <c r="B576" s="3">
        <v>42486</v>
      </c>
      <c r="C576" s="2">
        <v>5.2699999809999998</v>
      </c>
      <c r="D576" s="2">
        <v>5.2699999809999998</v>
      </c>
      <c r="E576" s="2">
        <v>1.9595960379999999</v>
      </c>
      <c r="F576" s="2">
        <v>3.4800000190000002</v>
      </c>
      <c r="G576" s="2">
        <v>0.87000000499999997</v>
      </c>
      <c r="H576" s="2">
        <v>0.730000019</v>
      </c>
      <c r="I576" s="2">
        <v>0</v>
      </c>
      <c r="J576" s="2">
        <v>42</v>
      </c>
      <c r="K576" s="2">
        <v>30</v>
      </c>
      <c r="L576" s="2">
        <v>47</v>
      </c>
      <c r="M576" s="2">
        <v>1321</v>
      </c>
      <c r="N576" s="2">
        <v>7091</v>
      </c>
      <c r="O576" s="2">
        <v>2584</v>
      </c>
    </row>
    <row r="577" spans="1:15" x14ac:dyDescent="0.35">
      <c r="A577" s="2">
        <v>6775888955</v>
      </c>
      <c r="B577" s="3">
        <v>42556</v>
      </c>
      <c r="C577" s="2">
        <v>1.4099999670000001</v>
      </c>
      <c r="D577" s="2">
        <v>1.4099999670000001</v>
      </c>
      <c r="E577" s="2">
        <v>0</v>
      </c>
      <c r="F577" s="2">
        <v>0.12999999500000001</v>
      </c>
      <c r="G577" s="2">
        <v>0.23999999499999999</v>
      </c>
      <c r="H577" s="2">
        <v>1.0499999520000001</v>
      </c>
      <c r="I577" s="2">
        <v>0</v>
      </c>
      <c r="J577" s="2">
        <v>2</v>
      </c>
      <c r="K577" s="2">
        <v>5</v>
      </c>
      <c r="L577" s="2">
        <v>49</v>
      </c>
      <c r="M577" s="2">
        <v>551</v>
      </c>
      <c r="N577" s="2">
        <v>1967</v>
      </c>
      <c r="O577" s="2">
        <v>1032</v>
      </c>
    </row>
    <row r="578" spans="1:15" x14ac:dyDescent="0.35">
      <c r="A578" s="2">
        <v>8053475328</v>
      </c>
      <c r="B578" s="3">
        <v>42489</v>
      </c>
      <c r="C578" s="2">
        <v>9.6499996190000008</v>
      </c>
      <c r="D578" s="2">
        <v>9.6499996190000008</v>
      </c>
      <c r="E578" s="2">
        <v>0</v>
      </c>
      <c r="F578" s="2">
        <v>6.170000076</v>
      </c>
      <c r="G578" s="2">
        <v>0.310000002</v>
      </c>
      <c r="H578" s="2">
        <v>3.170000076</v>
      </c>
      <c r="I578" s="2">
        <v>0</v>
      </c>
      <c r="J578" s="2">
        <v>58</v>
      </c>
      <c r="K578" s="2">
        <v>8</v>
      </c>
      <c r="L578" s="2">
        <v>159</v>
      </c>
      <c r="M578" s="2">
        <v>1215</v>
      </c>
      <c r="N578" s="2">
        <v>12315</v>
      </c>
      <c r="O578" s="2">
        <v>2794</v>
      </c>
    </row>
    <row r="579" spans="1:15" x14ac:dyDescent="0.35">
      <c r="A579" s="2">
        <v>6117666160</v>
      </c>
      <c r="B579" s="3">
        <v>42495</v>
      </c>
      <c r="C579" s="2">
        <v>7.4000000950000002</v>
      </c>
      <c r="D579" s="2">
        <v>7.4000000950000002</v>
      </c>
      <c r="E579" s="2">
        <v>0</v>
      </c>
      <c r="F579" s="2">
        <v>0</v>
      </c>
      <c r="G579" s="2">
        <v>0</v>
      </c>
      <c r="H579" s="2">
        <v>7.4000000950000002</v>
      </c>
      <c r="I579" s="2">
        <v>0</v>
      </c>
      <c r="J579" s="2">
        <v>0</v>
      </c>
      <c r="K579" s="2">
        <v>0</v>
      </c>
      <c r="L579" s="2">
        <v>487</v>
      </c>
      <c r="M579" s="2">
        <v>479</v>
      </c>
      <c r="N579" s="2">
        <v>9799</v>
      </c>
      <c r="O579" s="2">
        <v>2636</v>
      </c>
    </row>
    <row r="580" spans="1:15" x14ac:dyDescent="0.35">
      <c r="A580" s="2">
        <v>4702921684</v>
      </c>
      <c r="B580" s="3">
        <v>42484</v>
      </c>
      <c r="C580" s="2">
        <v>12.22000027</v>
      </c>
      <c r="D580" s="2">
        <v>12.22000027</v>
      </c>
      <c r="E580" s="2">
        <v>0</v>
      </c>
      <c r="F580" s="2">
        <v>1.2000000479999999</v>
      </c>
      <c r="G580" s="2">
        <v>5.1199998860000004</v>
      </c>
      <c r="H580" s="2">
        <v>5.8800001139999996</v>
      </c>
      <c r="I580" s="2">
        <v>0</v>
      </c>
      <c r="J580" s="2">
        <v>15</v>
      </c>
      <c r="K580" s="2">
        <v>95</v>
      </c>
      <c r="L580" s="2">
        <v>281</v>
      </c>
      <c r="M580" s="2">
        <v>542</v>
      </c>
      <c r="N580" s="2">
        <v>15050</v>
      </c>
      <c r="O580" s="2">
        <v>3538</v>
      </c>
    </row>
    <row r="581" spans="1:15" x14ac:dyDescent="0.35">
      <c r="A581" s="2">
        <v>8877689391</v>
      </c>
      <c r="B581" s="3">
        <v>42487</v>
      </c>
      <c r="C581" s="2">
        <v>20.649999619999999</v>
      </c>
      <c r="D581" s="2">
        <v>20.649999619999999</v>
      </c>
      <c r="E581" s="2">
        <v>0</v>
      </c>
      <c r="F581" s="2">
        <v>13.06999969</v>
      </c>
      <c r="G581" s="2">
        <v>0.439999998</v>
      </c>
      <c r="H581" s="2">
        <v>7.0999999049999998</v>
      </c>
      <c r="I581" s="2">
        <v>0</v>
      </c>
      <c r="J581" s="2">
        <v>93</v>
      </c>
      <c r="K581" s="2">
        <v>8</v>
      </c>
      <c r="L581" s="2">
        <v>235</v>
      </c>
      <c r="M581" s="2">
        <v>1104</v>
      </c>
      <c r="N581" s="2">
        <v>23629</v>
      </c>
      <c r="O581" s="2">
        <v>3808</v>
      </c>
    </row>
    <row r="582" spans="1:15" x14ac:dyDescent="0.35">
      <c r="A582" s="2">
        <v>1624580081</v>
      </c>
      <c r="B582" s="3">
        <v>42486</v>
      </c>
      <c r="C582" s="2">
        <v>1.8400000329999999</v>
      </c>
      <c r="D582" s="2">
        <v>1.8400000329999999</v>
      </c>
      <c r="E582" s="2">
        <v>0</v>
      </c>
      <c r="F582" s="2">
        <v>0</v>
      </c>
      <c r="G582" s="2">
        <v>0</v>
      </c>
      <c r="H582" s="2">
        <v>1.8300000430000001</v>
      </c>
      <c r="I582" s="2">
        <v>0.01</v>
      </c>
      <c r="J582" s="2">
        <v>0</v>
      </c>
      <c r="K582" s="2">
        <v>0</v>
      </c>
      <c r="L582" s="2">
        <v>140</v>
      </c>
      <c r="M582" s="2">
        <v>1300</v>
      </c>
      <c r="N582" s="2">
        <v>2826</v>
      </c>
      <c r="O582" s="2">
        <v>1402</v>
      </c>
    </row>
    <row r="583" spans="1:15" x14ac:dyDescent="0.35">
      <c r="A583" s="2">
        <v>8583815059</v>
      </c>
      <c r="B583" s="3">
        <v>42475</v>
      </c>
      <c r="C583" s="2">
        <v>2.6800000669999999</v>
      </c>
      <c r="D583" s="2">
        <v>2.6800000669999999</v>
      </c>
      <c r="E583" s="2">
        <v>0</v>
      </c>
      <c r="F583" s="2">
        <v>0</v>
      </c>
      <c r="G583" s="2">
        <v>0</v>
      </c>
      <c r="H583" s="2">
        <v>0.89999997600000003</v>
      </c>
      <c r="I583" s="2">
        <v>0</v>
      </c>
      <c r="J583" s="2">
        <v>0</v>
      </c>
      <c r="K583" s="2">
        <v>0</v>
      </c>
      <c r="L583" s="2">
        <v>65</v>
      </c>
      <c r="M583" s="2">
        <v>1375</v>
      </c>
      <c r="N583" s="2">
        <v>3430</v>
      </c>
      <c r="O583" s="2">
        <v>2505</v>
      </c>
    </row>
    <row r="584" spans="1:15" x14ac:dyDescent="0.35">
      <c r="A584" s="2">
        <v>2022484408</v>
      </c>
      <c r="B584" s="3">
        <v>42475</v>
      </c>
      <c r="C584" s="2">
        <v>8.0299997330000004</v>
      </c>
      <c r="D584" s="2">
        <v>8.0299997330000004</v>
      </c>
      <c r="E584" s="2">
        <v>0</v>
      </c>
      <c r="F584" s="2">
        <v>1.940000057</v>
      </c>
      <c r="G584" s="2">
        <v>0.310000002</v>
      </c>
      <c r="H584" s="2">
        <v>5.7800002099999999</v>
      </c>
      <c r="I584" s="2">
        <v>0</v>
      </c>
      <c r="J584" s="2">
        <v>27</v>
      </c>
      <c r="K584" s="2">
        <v>9</v>
      </c>
      <c r="L584" s="2">
        <v>282</v>
      </c>
      <c r="M584" s="2">
        <v>1122</v>
      </c>
      <c r="N584" s="2">
        <v>11034</v>
      </c>
      <c r="O584" s="2">
        <v>2525</v>
      </c>
    </row>
    <row r="585" spans="1:15" x14ac:dyDescent="0.35">
      <c r="A585" s="2">
        <v>6962181067</v>
      </c>
      <c r="B585" s="3">
        <v>42489</v>
      </c>
      <c r="C585" s="2">
        <v>7.1100001339999999</v>
      </c>
      <c r="D585" s="2">
        <v>7.1100001339999999</v>
      </c>
      <c r="E585" s="2">
        <v>0</v>
      </c>
      <c r="F585" s="2">
        <v>0.81999999300000004</v>
      </c>
      <c r="G585" s="2">
        <v>0.47999998900000002</v>
      </c>
      <c r="H585" s="2">
        <v>5.8099999430000002</v>
      </c>
      <c r="I585" s="2">
        <v>0</v>
      </c>
      <c r="J585" s="2">
        <v>12</v>
      </c>
      <c r="K585" s="2">
        <v>15</v>
      </c>
      <c r="L585" s="2">
        <v>369</v>
      </c>
      <c r="M585" s="2">
        <v>645</v>
      </c>
      <c r="N585" s="2">
        <v>10762</v>
      </c>
      <c r="O585" s="2">
        <v>2254</v>
      </c>
    </row>
    <row r="586" spans="1:15" x14ac:dyDescent="0.35">
      <c r="A586" s="2">
        <v>2022484408</v>
      </c>
      <c r="B586" s="3">
        <v>42489</v>
      </c>
      <c r="C586" s="2">
        <v>7.1900000569999998</v>
      </c>
      <c r="D586" s="2">
        <v>7.1900000569999998</v>
      </c>
      <c r="E586" s="2">
        <v>0</v>
      </c>
      <c r="F586" s="2">
        <v>0.47999998900000002</v>
      </c>
      <c r="G586" s="2">
        <v>1.210000038</v>
      </c>
      <c r="H586" s="2">
        <v>5.5</v>
      </c>
      <c r="I586" s="2">
        <v>0</v>
      </c>
      <c r="J586" s="2">
        <v>21</v>
      </c>
      <c r="K586" s="2">
        <v>40</v>
      </c>
      <c r="L586" s="2">
        <v>281</v>
      </c>
      <c r="M586" s="2">
        <v>1098</v>
      </c>
      <c r="N586" s="2">
        <v>10245</v>
      </c>
      <c r="O586" s="2">
        <v>2611</v>
      </c>
    </row>
    <row r="587" spans="1:15" x14ac:dyDescent="0.35">
      <c r="A587" s="2">
        <v>1503960366</v>
      </c>
      <c r="B587" s="3">
        <v>42488</v>
      </c>
      <c r="C587" s="2">
        <v>8.5299997330000004</v>
      </c>
      <c r="D587" s="2">
        <v>8.5299997330000004</v>
      </c>
      <c r="E587" s="2">
        <v>0</v>
      </c>
      <c r="F587" s="2">
        <v>3.539999962</v>
      </c>
      <c r="G587" s="2">
        <v>1.1599999670000001</v>
      </c>
      <c r="H587" s="2">
        <v>3.789999962</v>
      </c>
      <c r="I587" s="2">
        <v>0</v>
      </c>
      <c r="J587" s="2">
        <v>48</v>
      </c>
      <c r="K587" s="2">
        <v>28</v>
      </c>
      <c r="L587" s="2">
        <v>189</v>
      </c>
      <c r="M587" s="2">
        <v>782</v>
      </c>
      <c r="N587" s="2">
        <v>13154</v>
      </c>
      <c r="O587" s="2">
        <v>1898</v>
      </c>
    </row>
    <row r="588" spans="1:15" x14ac:dyDescent="0.35">
      <c r="A588" s="2">
        <v>4702921684</v>
      </c>
      <c r="B588" s="3">
        <v>42478</v>
      </c>
      <c r="C588" s="2">
        <v>7.3800001139999996</v>
      </c>
      <c r="D588" s="2">
        <v>7.3800001139999996</v>
      </c>
      <c r="E588" s="2">
        <v>0</v>
      </c>
      <c r="F588" s="2">
        <v>1.8200000519999999</v>
      </c>
      <c r="G588" s="2">
        <v>1.4900000099999999</v>
      </c>
      <c r="H588" s="2">
        <v>4.0700001720000003</v>
      </c>
      <c r="I588" s="2">
        <v>0</v>
      </c>
      <c r="J588" s="2">
        <v>22</v>
      </c>
      <c r="K588" s="2">
        <v>30</v>
      </c>
      <c r="L588" s="2">
        <v>191</v>
      </c>
      <c r="M588" s="2">
        <v>890</v>
      </c>
      <c r="N588" s="2">
        <v>9105</v>
      </c>
      <c r="O588" s="2">
        <v>3013</v>
      </c>
    </row>
    <row r="589" spans="1:15" x14ac:dyDescent="0.35">
      <c r="A589" s="2">
        <v>1624580081</v>
      </c>
      <c r="B589" s="3">
        <v>42489</v>
      </c>
      <c r="C589" s="2">
        <v>1.5499999520000001</v>
      </c>
      <c r="D589" s="2">
        <v>1.5499999520000001</v>
      </c>
      <c r="E589" s="2">
        <v>0</v>
      </c>
      <c r="F589" s="2">
        <v>0</v>
      </c>
      <c r="G589" s="2">
        <v>0</v>
      </c>
      <c r="H589" s="2">
        <v>1.5499999520000001</v>
      </c>
      <c r="I589" s="2">
        <v>0</v>
      </c>
      <c r="J589" s="2">
        <v>0</v>
      </c>
      <c r="K589" s="2">
        <v>0</v>
      </c>
      <c r="L589" s="2">
        <v>150</v>
      </c>
      <c r="M589" s="2">
        <v>1290</v>
      </c>
      <c r="N589" s="2">
        <v>2390</v>
      </c>
      <c r="O589" s="2">
        <v>1404</v>
      </c>
    </row>
    <row r="590" spans="1:15" x14ac:dyDescent="0.35">
      <c r="A590" s="2">
        <v>8877689391</v>
      </c>
      <c r="B590" s="3">
        <v>42474</v>
      </c>
      <c r="C590" s="2">
        <v>18.979999540000001</v>
      </c>
      <c r="D590" s="2">
        <v>18.979999540000001</v>
      </c>
      <c r="E590" s="2">
        <v>0</v>
      </c>
      <c r="F590" s="2">
        <v>10.55000019</v>
      </c>
      <c r="G590" s="2">
        <v>0.58999997400000004</v>
      </c>
      <c r="H590" s="2">
        <v>7.75</v>
      </c>
      <c r="I590" s="2">
        <v>0.02</v>
      </c>
      <c r="J590" s="2">
        <v>68</v>
      </c>
      <c r="K590" s="2">
        <v>13</v>
      </c>
      <c r="L590" s="2">
        <v>298</v>
      </c>
      <c r="M590" s="2">
        <v>1061</v>
      </c>
      <c r="N590" s="2">
        <v>21129</v>
      </c>
      <c r="O590" s="2">
        <v>3793</v>
      </c>
    </row>
    <row r="591" spans="1:15" x14ac:dyDescent="0.35">
      <c r="A591" s="2">
        <v>8053475328</v>
      </c>
      <c r="B591" s="3">
        <v>42434</v>
      </c>
      <c r="C591" s="2">
        <v>11.899999619999999</v>
      </c>
      <c r="D591" s="2">
        <v>11.899999619999999</v>
      </c>
      <c r="E591" s="2">
        <v>0</v>
      </c>
      <c r="F591" s="2">
        <v>8.3900003430000005</v>
      </c>
      <c r="G591" s="2">
        <v>0.93000000699999996</v>
      </c>
      <c r="H591" s="2">
        <v>2.5899999139999998</v>
      </c>
      <c r="I591" s="2">
        <v>0</v>
      </c>
      <c r="J591" s="2">
        <v>87</v>
      </c>
      <c r="K591" s="2">
        <v>22</v>
      </c>
      <c r="L591" s="2">
        <v>165</v>
      </c>
      <c r="M591" s="2">
        <v>1166</v>
      </c>
      <c r="N591" s="2">
        <v>15484</v>
      </c>
      <c r="O591" s="2">
        <v>3023</v>
      </c>
    </row>
    <row r="592" spans="1:15" x14ac:dyDescent="0.35">
      <c r="A592" s="2">
        <v>4702921684</v>
      </c>
      <c r="B592" s="3">
        <v>42482</v>
      </c>
      <c r="C592" s="2">
        <v>1.3500000240000001</v>
      </c>
      <c r="D592" s="2">
        <v>1.3500000240000001</v>
      </c>
      <c r="E592" s="2">
        <v>0</v>
      </c>
      <c r="F592" s="2">
        <v>0</v>
      </c>
      <c r="G592" s="2">
        <v>0</v>
      </c>
      <c r="H592" s="2">
        <v>1.3500000240000001</v>
      </c>
      <c r="I592" s="2">
        <v>0</v>
      </c>
      <c r="J592" s="2">
        <v>0</v>
      </c>
      <c r="K592" s="2">
        <v>0</v>
      </c>
      <c r="L592" s="2">
        <v>72</v>
      </c>
      <c r="M592" s="2">
        <v>1341</v>
      </c>
      <c r="N592" s="2">
        <v>1664</v>
      </c>
      <c r="O592" s="2">
        <v>2241</v>
      </c>
    </row>
    <row r="593" spans="1:15" x14ac:dyDescent="0.35">
      <c r="A593" s="2">
        <v>6290855005</v>
      </c>
      <c r="B593" s="3">
        <v>42490</v>
      </c>
      <c r="C593" s="2">
        <v>5.0999999049999998</v>
      </c>
      <c r="D593" s="2">
        <v>5.0999999049999998</v>
      </c>
      <c r="E593" s="2">
        <v>0</v>
      </c>
      <c r="F593" s="2">
        <v>0</v>
      </c>
      <c r="G593" s="2">
        <v>0</v>
      </c>
      <c r="H593" s="2">
        <v>5.0900001530000001</v>
      </c>
      <c r="I593" s="2">
        <v>0.01</v>
      </c>
      <c r="J593" s="2">
        <v>0</v>
      </c>
      <c r="K593" s="2">
        <v>0</v>
      </c>
      <c r="L593" s="2">
        <v>324</v>
      </c>
      <c r="M593" s="2">
        <v>1116</v>
      </c>
      <c r="N593" s="2">
        <v>6744</v>
      </c>
      <c r="O593" s="2">
        <v>2843</v>
      </c>
    </row>
    <row r="594" spans="1:15" x14ac:dyDescent="0.35">
      <c r="A594" s="2">
        <v>4558609924</v>
      </c>
      <c r="B594" s="3">
        <v>42478</v>
      </c>
      <c r="C594" s="2">
        <v>5.9099998469999999</v>
      </c>
      <c r="D594" s="2">
        <v>5.9099998469999999</v>
      </c>
      <c r="E594" s="2">
        <v>0</v>
      </c>
      <c r="F594" s="2">
        <v>0.980000019</v>
      </c>
      <c r="G594" s="2">
        <v>0.93000000699999996</v>
      </c>
      <c r="H594" s="2">
        <v>4</v>
      </c>
      <c r="I594" s="2">
        <v>0</v>
      </c>
      <c r="J594" s="2">
        <v>14</v>
      </c>
      <c r="K594" s="2">
        <v>15</v>
      </c>
      <c r="L594" s="2">
        <v>331</v>
      </c>
      <c r="M594" s="2">
        <v>1080</v>
      </c>
      <c r="N594" s="2">
        <v>8940</v>
      </c>
      <c r="O594" s="2">
        <v>2116</v>
      </c>
    </row>
    <row r="595" spans="1:15" x14ac:dyDescent="0.35">
      <c r="A595" s="2">
        <v>2873212765</v>
      </c>
      <c r="B595" s="3">
        <v>42490</v>
      </c>
      <c r="C595" s="2">
        <v>5.6799998279999997</v>
      </c>
      <c r="D595" s="2">
        <v>5.6799998279999997</v>
      </c>
      <c r="E595" s="2">
        <v>0</v>
      </c>
      <c r="F595" s="2">
        <v>0.33000001299999998</v>
      </c>
      <c r="G595" s="2">
        <v>1.0800000430000001</v>
      </c>
      <c r="H595" s="2">
        <v>4.2600002290000001</v>
      </c>
      <c r="I595" s="2">
        <v>0.01</v>
      </c>
      <c r="J595" s="2">
        <v>5</v>
      </c>
      <c r="K595" s="2">
        <v>20</v>
      </c>
      <c r="L595" s="2">
        <v>248</v>
      </c>
      <c r="M595" s="2">
        <v>1167</v>
      </c>
      <c r="N595" s="2">
        <v>8452</v>
      </c>
      <c r="O595" s="2">
        <v>1830</v>
      </c>
    </row>
    <row r="596" spans="1:15" x14ac:dyDescent="0.35">
      <c r="A596" s="2">
        <v>6117666160</v>
      </c>
      <c r="B596" s="3">
        <v>42488</v>
      </c>
      <c r="C596" s="2">
        <v>2.5999999049999998</v>
      </c>
      <c r="D596" s="2">
        <v>2.5999999049999998</v>
      </c>
      <c r="E596" s="2">
        <v>0</v>
      </c>
      <c r="F596" s="2">
        <v>0</v>
      </c>
      <c r="G596" s="2">
        <v>0</v>
      </c>
      <c r="H596" s="2">
        <v>2.5999999049999998</v>
      </c>
      <c r="I596" s="2">
        <v>0</v>
      </c>
      <c r="J596" s="2">
        <v>0</v>
      </c>
      <c r="K596" s="2">
        <v>0</v>
      </c>
      <c r="L596" s="2">
        <v>141</v>
      </c>
      <c r="M596" s="2">
        <v>758</v>
      </c>
      <c r="N596" s="2">
        <v>3403</v>
      </c>
      <c r="O596" s="2">
        <v>1879</v>
      </c>
    </row>
    <row r="597" spans="1:15" x14ac:dyDescent="0.35">
      <c r="A597" s="2">
        <v>2320127002</v>
      </c>
      <c r="B597" s="3">
        <v>42481</v>
      </c>
      <c r="C597" s="2">
        <v>2.289999962</v>
      </c>
      <c r="D597" s="2">
        <v>2.289999962</v>
      </c>
      <c r="E597" s="2">
        <v>0</v>
      </c>
      <c r="F597" s="2">
        <v>5.9999998999999998E-2</v>
      </c>
      <c r="G597" s="2">
        <v>0.41999998700000002</v>
      </c>
      <c r="H597" s="2">
        <v>1.809999943</v>
      </c>
      <c r="I597" s="2">
        <v>0</v>
      </c>
      <c r="J597" s="2">
        <v>1</v>
      </c>
      <c r="K597" s="2">
        <v>10</v>
      </c>
      <c r="L597" s="2">
        <v>127</v>
      </c>
      <c r="M597" s="2">
        <v>1302</v>
      </c>
      <c r="N597" s="2">
        <v>3404</v>
      </c>
      <c r="O597" s="2">
        <v>1610</v>
      </c>
    </row>
    <row r="598" spans="1:15" x14ac:dyDescent="0.35">
      <c r="A598" s="2">
        <v>1503960366</v>
      </c>
      <c r="B598" s="3">
        <v>42587</v>
      </c>
      <c r="C598" s="2">
        <v>6.579999924</v>
      </c>
      <c r="D598" s="2">
        <v>6.579999924</v>
      </c>
      <c r="E598" s="2">
        <v>0</v>
      </c>
      <c r="F598" s="2">
        <v>3.5299999710000001</v>
      </c>
      <c r="G598" s="2">
        <v>0.31999999299999998</v>
      </c>
      <c r="H598" s="2">
        <v>2.7300000190000002</v>
      </c>
      <c r="I598" s="2">
        <v>0</v>
      </c>
      <c r="J598" s="2">
        <v>44</v>
      </c>
      <c r="K598" s="2">
        <v>8</v>
      </c>
      <c r="L598" s="2">
        <v>203</v>
      </c>
      <c r="M598" s="2">
        <v>574</v>
      </c>
      <c r="N598" s="2">
        <v>10060</v>
      </c>
      <c r="O598" s="2">
        <v>1740</v>
      </c>
    </row>
    <row r="599" spans="1:15" x14ac:dyDescent="0.35">
      <c r="A599" s="2">
        <v>7007744171</v>
      </c>
      <c r="B599" s="3">
        <v>42495</v>
      </c>
      <c r="C599" s="2">
        <v>11.100000380000001</v>
      </c>
      <c r="D599" s="2">
        <v>10.039999959999999</v>
      </c>
      <c r="E599" s="2">
        <v>4.8782320019999998</v>
      </c>
      <c r="F599" s="2">
        <v>4.329999924</v>
      </c>
      <c r="G599" s="2">
        <v>1.289999962</v>
      </c>
      <c r="H599" s="2">
        <v>5.4800000190000002</v>
      </c>
      <c r="I599" s="2">
        <v>0</v>
      </c>
      <c r="J599" s="2">
        <v>53</v>
      </c>
      <c r="K599" s="2">
        <v>23</v>
      </c>
      <c r="L599" s="2">
        <v>317</v>
      </c>
      <c r="M599" s="2">
        <v>1047</v>
      </c>
      <c r="N599" s="2">
        <v>15010</v>
      </c>
      <c r="O599" s="2">
        <v>2933</v>
      </c>
    </row>
    <row r="600" spans="1:15" x14ac:dyDescent="0.35">
      <c r="A600" s="2">
        <v>4388161847</v>
      </c>
      <c r="B600" s="3">
        <v>42556</v>
      </c>
      <c r="C600" s="2">
        <v>17.540000920000001</v>
      </c>
      <c r="D600" s="2">
        <v>17.540000920000001</v>
      </c>
      <c r="E600" s="2">
        <v>0</v>
      </c>
      <c r="F600" s="2">
        <v>9.4499998089999995</v>
      </c>
      <c r="G600" s="2">
        <v>2.7699999809999998</v>
      </c>
      <c r="H600" s="2">
        <v>5.329999924</v>
      </c>
      <c r="I600" s="2">
        <v>0</v>
      </c>
      <c r="J600" s="2">
        <v>120</v>
      </c>
      <c r="K600" s="2">
        <v>56</v>
      </c>
      <c r="L600" s="2">
        <v>260</v>
      </c>
      <c r="M600" s="2">
        <v>508</v>
      </c>
      <c r="N600" s="2">
        <v>22770</v>
      </c>
      <c r="O600" s="2">
        <v>4022</v>
      </c>
    </row>
    <row r="601" spans="1:15" x14ac:dyDescent="0.35">
      <c r="A601" s="2">
        <v>8792009665</v>
      </c>
      <c r="B601" s="3">
        <v>42484</v>
      </c>
      <c r="C601" s="2">
        <v>0.25999999000000001</v>
      </c>
      <c r="D601" s="2">
        <v>0.25999999000000001</v>
      </c>
      <c r="E601" s="2">
        <v>0</v>
      </c>
      <c r="F601" s="2">
        <v>3.9999999000000001E-2</v>
      </c>
      <c r="G601" s="2">
        <v>5.0000001000000002E-2</v>
      </c>
      <c r="H601" s="2">
        <v>0.15999999600000001</v>
      </c>
      <c r="I601" s="2">
        <v>0</v>
      </c>
      <c r="J601" s="2">
        <v>3</v>
      </c>
      <c r="K601" s="2">
        <v>8</v>
      </c>
      <c r="L601" s="2">
        <v>19</v>
      </c>
      <c r="M601" s="2">
        <v>1410</v>
      </c>
      <c r="N601" s="2">
        <v>400</v>
      </c>
      <c r="O601" s="2">
        <v>1799</v>
      </c>
    </row>
    <row r="602" spans="1:15" x14ac:dyDescent="0.35">
      <c r="A602" s="2">
        <v>4020332650</v>
      </c>
      <c r="B602" s="3">
        <v>42490</v>
      </c>
      <c r="C602" s="2">
        <v>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1440</v>
      </c>
      <c r="N602" s="2">
        <v>0</v>
      </c>
      <c r="O602" s="2">
        <v>1980</v>
      </c>
    </row>
    <row r="603" spans="1:15" x14ac:dyDescent="0.35">
      <c r="A603" s="2">
        <v>2320127002</v>
      </c>
      <c r="B603" s="3">
        <v>42485</v>
      </c>
      <c r="C603" s="2">
        <v>2.420000076</v>
      </c>
      <c r="D603" s="2">
        <v>2.420000076</v>
      </c>
      <c r="E603" s="2">
        <v>0</v>
      </c>
      <c r="F603" s="2">
        <v>0.23000000400000001</v>
      </c>
      <c r="G603" s="2">
        <v>0.20000000300000001</v>
      </c>
      <c r="H603" s="2">
        <v>1.9900000099999999</v>
      </c>
      <c r="I603" s="2">
        <v>0</v>
      </c>
      <c r="J603" s="2">
        <v>3</v>
      </c>
      <c r="K603" s="2">
        <v>5</v>
      </c>
      <c r="L603" s="2">
        <v>152</v>
      </c>
      <c r="M603" s="2">
        <v>1280</v>
      </c>
      <c r="N603" s="2">
        <v>3588</v>
      </c>
      <c r="O603" s="2">
        <v>1654</v>
      </c>
    </row>
    <row r="604" spans="1:15" x14ac:dyDescent="0.35">
      <c r="A604" s="2">
        <v>1624580081</v>
      </c>
      <c r="B604" s="3">
        <v>42478</v>
      </c>
      <c r="C604" s="2">
        <v>7.4099998469999999</v>
      </c>
      <c r="D604" s="2">
        <v>7.4099998469999999</v>
      </c>
      <c r="E604" s="2">
        <v>0</v>
      </c>
      <c r="F604" s="2">
        <v>2.1500000950000002</v>
      </c>
      <c r="G604" s="2">
        <v>0.62000000499999997</v>
      </c>
      <c r="H604" s="2">
        <v>4.6199998860000004</v>
      </c>
      <c r="I604" s="2">
        <v>0.01</v>
      </c>
      <c r="J604" s="2">
        <v>17</v>
      </c>
      <c r="K604" s="2">
        <v>7</v>
      </c>
      <c r="L604" s="2">
        <v>202</v>
      </c>
      <c r="M604" s="2">
        <v>1214</v>
      </c>
      <c r="N604" s="2">
        <v>10536</v>
      </c>
      <c r="O604" s="2">
        <v>1604</v>
      </c>
    </row>
    <row r="605" spans="1:15" x14ac:dyDescent="0.35">
      <c r="A605" s="2">
        <v>8792009665</v>
      </c>
      <c r="B605" s="3">
        <v>42587</v>
      </c>
      <c r="C605" s="2">
        <v>0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1440</v>
      </c>
      <c r="N605" s="2">
        <v>0</v>
      </c>
      <c r="O605" s="2">
        <v>1688</v>
      </c>
    </row>
    <row r="606" spans="1:15" x14ac:dyDescent="0.35">
      <c r="A606" s="2">
        <v>4020332650</v>
      </c>
      <c r="B606" s="3">
        <v>42648</v>
      </c>
      <c r="C606" s="2">
        <v>3.9800000190000002</v>
      </c>
      <c r="D606" s="2">
        <v>3.9800000190000002</v>
      </c>
      <c r="E606" s="2">
        <v>0</v>
      </c>
      <c r="F606" s="2">
        <v>0</v>
      </c>
      <c r="G606" s="2">
        <v>0</v>
      </c>
      <c r="H606" s="2">
        <v>3.869999886</v>
      </c>
      <c r="I606" s="2">
        <v>3.9999999000000001E-2</v>
      </c>
      <c r="J606" s="2">
        <v>0</v>
      </c>
      <c r="K606" s="2">
        <v>0</v>
      </c>
      <c r="L606" s="2">
        <v>206</v>
      </c>
      <c r="M606" s="2">
        <v>774</v>
      </c>
      <c r="N606" s="2">
        <v>5546</v>
      </c>
      <c r="O606" s="2">
        <v>2926</v>
      </c>
    </row>
    <row r="607" spans="1:15" x14ac:dyDescent="0.35">
      <c r="A607" s="2">
        <v>4445114986</v>
      </c>
      <c r="B607" s="3">
        <v>42587</v>
      </c>
      <c r="C607" s="2">
        <v>4.9000000950000002</v>
      </c>
      <c r="D607" s="2">
        <v>4.9000000950000002</v>
      </c>
      <c r="E607" s="2">
        <v>0</v>
      </c>
      <c r="F607" s="2">
        <v>0</v>
      </c>
      <c r="G607" s="2">
        <v>0.25</v>
      </c>
      <c r="H607" s="2">
        <v>4.6500000950000002</v>
      </c>
      <c r="I607" s="2">
        <v>0</v>
      </c>
      <c r="J607" s="2">
        <v>0</v>
      </c>
      <c r="K607" s="2">
        <v>8</v>
      </c>
      <c r="L607" s="2">
        <v>308</v>
      </c>
      <c r="M607" s="2">
        <v>733</v>
      </c>
      <c r="N607" s="2">
        <v>7303</v>
      </c>
      <c r="O607" s="2">
        <v>2423</v>
      </c>
    </row>
    <row r="608" spans="1:15" x14ac:dyDescent="0.35">
      <c r="A608" s="2">
        <v>8792009665</v>
      </c>
      <c r="B608" s="3">
        <v>42648</v>
      </c>
      <c r="C608" s="2">
        <v>0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2">
        <v>0</v>
      </c>
      <c r="J608" s="2">
        <v>0</v>
      </c>
      <c r="K608" s="2">
        <v>0</v>
      </c>
      <c r="L608" s="2">
        <v>0</v>
      </c>
      <c r="M608" s="2">
        <v>48</v>
      </c>
      <c r="N608" s="2">
        <v>0</v>
      </c>
      <c r="O608" s="2">
        <v>57</v>
      </c>
    </row>
    <row r="609" spans="1:15" x14ac:dyDescent="0.35">
      <c r="A609" s="2">
        <v>8053475328</v>
      </c>
      <c r="B609" s="3">
        <v>42709</v>
      </c>
      <c r="C609" s="2">
        <v>3.9100000860000002</v>
      </c>
      <c r="D609" s="2">
        <v>3.9100000860000002</v>
      </c>
      <c r="E609" s="2">
        <v>0</v>
      </c>
      <c r="F609" s="2">
        <v>2.9500000480000002</v>
      </c>
      <c r="G609" s="2">
        <v>0.20000000300000001</v>
      </c>
      <c r="H609" s="2">
        <v>0.75999998999999996</v>
      </c>
      <c r="I609" s="2">
        <v>0</v>
      </c>
      <c r="J609" s="2">
        <v>28</v>
      </c>
      <c r="K609" s="2">
        <v>4</v>
      </c>
      <c r="L609" s="2">
        <v>39</v>
      </c>
      <c r="M609" s="2">
        <v>839</v>
      </c>
      <c r="N609" s="2">
        <v>4998</v>
      </c>
      <c r="O609" s="2">
        <v>1505</v>
      </c>
    </row>
    <row r="610" spans="1:15" x14ac:dyDescent="0.35">
      <c r="A610" s="2">
        <v>7086361926</v>
      </c>
      <c r="B610" s="3">
        <v>42487</v>
      </c>
      <c r="C610" s="2">
        <v>8.3400001530000001</v>
      </c>
      <c r="D610" s="2">
        <v>8.3400001530000001</v>
      </c>
      <c r="E610" s="2">
        <v>0</v>
      </c>
      <c r="F610" s="2">
        <v>5.6300001139999996</v>
      </c>
      <c r="G610" s="2">
        <v>0.18000000699999999</v>
      </c>
      <c r="H610" s="2">
        <v>2.5299999710000001</v>
      </c>
      <c r="I610" s="2">
        <v>0</v>
      </c>
      <c r="J610" s="2">
        <v>55</v>
      </c>
      <c r="K610" s="2">
        <v>6</v>
      </c>
      <c r="L610" s="2">
        <v>145</v>
      </c>
      <c r="M610" s="2">
        <v>829</v>
      </c>
      <c r="N610" s="2">
        <v>11107</v>
      </c>
      <c r="O610" s="2">
        <v>2693</v>
      </c>
    </row>
    <row r="611" spans="1:15" x14ac:dyDescent="0.35">
      <c r="A611" s="2">
        <v>2026352035</v>
      </c>
      <c r="B611" s="3">
        <v>42481</v>
      </c>
      <c r="C611" s="2">
        <v>1.5299999710000001</v>
      </c>
      <c r="D611" s="2">
        <v>1.5299999710000001</v>
      </c>
      <c r="E611" s="2">
        <v>0</v>
      </c>
      <c r="F611" s="2">
        <v>0</v>
      </c>
      <c r="G611" s="2">
        <v>0</v>
      </c>
      <c r="H611" s="2">
        <v>1.5299999710000001</v>
      </c>
      <c r="I611" s="2">
        <v>0</v>
      </c>
      <c r="J611" s="2">
        <v>0</v>
      </c>
      <c r="K611" s="2">
        <v>0</v>
      </c>
      <c r="L611" s="2">
        <v>153</v>
      </c>
      <c r="M611" s="2">
        <v>749</v>
      </c>
      <c r="N611" s="2">
        <v>2467</v>
      </c>
      <c r="O611" s="2">
        <v>1370</v>
      </c>
    </row>
    <row r="612" spans="1:15" x14ac:dyDescent="0.35">
      <c r="A612" s="2">
        <v>8253242879</v>
      </c>
      <c r="B612" s="3">
        <v>42474</v>
      </c>
      <c r="C612" s="2">
        <v>3.460000038</v>
      </c>
      <c r="D612" s="2">
        <v>3.460000038</v>
      </c>
      <c r="E612" s="2">
        <v>0</v>
      </c>
      <c r="F612" s="2">
        <v>1.9299999480000001</v>
      </c>
      <c r="G612" s="2">
        <v>0.99000001000000004</v>
      </c>
      <c r="H612" s="2">
        <v>0.540000021</v>
      </c>
      <c r="I612" s="2">
        <v>0</v>
      </c>
      <c r="J612" s="2">
        <v>29</v>
      </c>
      <c r="K612" s="2">
        <v>16</v>
      </c>
      <c r="L612" s="2">
        <v>33</v>
      </c>
      <c r="M612" s="2">
        <v>1362</v>
      </c>
      <c r="N612" s="2">
        <v>5234</v>
      </c>
      <c r="O612" s="2">
        <v>1705</v>
      </c>
    </row>
    <row r="613" spans="1:15" x14ac:dyDescent="0.35">
      <c r="A613" s="2">
        <v>8253242879</v>
      </c>
      <c r="B613" s="3">
        <v>42484</v>
      </c>
      <c r="C613" s="2">
        <v>7.1300001139999996</v>
      </c>
      <c r="D613" s="2">
        <v>7.1300001139999996</v>
      </c>
      <c r="E613" s="2">
        <v>0</v>
      </c>
      <c r="F613" s="2">
        <v>5.5999999049999998</v>
      </c>
      <c r="G613" s="2">
        <v>0.189999998</v>
      </c>
      <c r="H613" s="2">
        <v>1.3400000329999999</v>
      </c>
      <c r="I613" s="2">
        <v>0</v>
      </c>
      <c r="J613" s="2">
        <v>41</v>
      </c>
      <c r="K613" s="2">
        <v>4</v>
      </c>
      <c r="L613" s="2">
        <v>82</v>
      </c>
      <c r="M613" s="2">
        <v>1313</v>
      </c>
      <c r="N613" s="2">
        <v>8905</v>
      </c>
      <c r="O613" s="2">
        <v>1976</v>
      </c>
    </row>
    <row r="614" spans="1:15" x14ac:dyDescent="0.35">
      <c r="A614" s="2">
        <v>4558609924</v>
      </c>
      <c r="B614" s="3">
        <v>42679</v>
      </c>
      <c r="C614" s="2">
        <v>6.0199999809999998</v>
      </c>
      <c r="D614" s="2">
        <v>6.0199999809999998</v>
      </c>
      <c r="E614" s="2">
        <v>0</v>
      </c>
      <c r="F614" s="2">
        <v>0.25999999000000001</v>
      </c>
      <c r="G614" s="2">
        <v>1.8200000519999999</v>
      </c>
      <c r="H614" s="2">
        <v>3.9400000569999998</v>
      </c>
      <c r="I614" s="2">
        <v>0</v>
      </c>
      <c r="J614" s="2">
        <v>4</v>
      </c>
      <c r="K614" s="2">
        <v>31</v>
      </c>
      <c r="L614" s="2">
        <v>324</v>
      </c>
      <c r="M614" s="2">
        <v>1081</v>
      </c>
      <c r="N614" s="2">
        <v>9108</v>
      </c>
      <c r="O614" s="2">
        <v>2131</v>
      </c>
    </row>
    <row r="615" spans="1:15" x14ac:dyDescent="0.35">
      <c r="A615" s="2">
        <v>8877689391</v>
      </c>
      <c r="B615" s="3">
        <v>42473</v>
      </c>
      <c r="C615" s="2">
        <v>9.5799999239999991</v>
      </c>
      <c r="D615" s="2">
        <v>9.5799999239999991</v>
      </c>
      <c r="E615" s="2">
        <v>0</v>
      </c>
      <c r="F615" s="2">
        <v>3.5499999519999998</v>
      </c>
      <c r="G615" s="2">
        <v>0.37999999499999998</v>
      </c>
      <c r="H615" s="2">
        <v>5.6399998660000001</v>
      </c>
      <c r="I615" s="2">
        <v>0</v>
      </c>
      <c r="J615" s="2">
        <v>108</v>
      </c>
      <c r="K615" s="2">
        <v>18</v>
      </c>
      <c r="L615" s="2">
        <v>216</v>
      </c>
      <c r="M615" s="2">
        <v>1098</v>
      </c>
      <c r="N615" s="2">
        <v>15337</v>
      </c>
      <c r="O615" s="2">
        <v>3566</v>
      </c>
    </row>
    <row r="616" spans="1:15" x14ac:dyDescent="0.35">
      <c r="A616" s="2">
        <v>8253242879</v>
      </c>
      <c r="B616" s="3">
        <v>42708</v>
      </c>
      <c r="C616" s="2">
        <v>7.1599998469999999</v>
      </c>
      <c r="D616" s="2">
        <v>7.1599998469999999</v>
      </c>
      <c r="E616" s="2">
        <v>0</v>
      </c>
      <c r="F616" s="2">
        <v>5.4299998279999997</v>
      </c>
      <c r="G616" s="2">
        <v>0.14000000100000001</v>
      </c>
      <c r="H616" s="2">
        <v>1.5900000329999999</v>
      </c>
      <c r="I616" s="2">
        <v>0</v>
      </c>
      <c r="J616" s="2">
        <v>40</v>
      </c>
      <c r="K616" s="2">
        <v>2</v>
      </c>
      <c r="L616" s="2">
        <v>154</v>
      </c>
      <c r="M616" s="2">
        <v>1244</v>
      </c>
      <c r="N616" s="2">
        <v>9033</v>
      </c>
      <c r="O616" s="2">
        <v>2044</v>
      </c>
    </row>
    <row r="617" spans="1:15" x14ac:dyDescent="0.35">
      <c r="A617" s="2">
        <v>5577150313</v>
      </c>
      <c r="B617" s="3">
        <v>42484</v>
      </c>
      <c r="C617" s="2">
        <v>11.77999973</v>
      </c>
      <c r="D617" s="2">
        <v>11.77999973</v>
      </c>
      <c r="E617" s="2">
        <v>0</v>
      </c>
      <c r="F617" s="2">
        <v>7.6500000950000002</v>
      </c>
      <c r="G617" s="2">
        <v>2.1500000950000002</v>
      </c>
      <c r="H617" s="2">
        <v>1.980000019</v>
      </c>
      <c r="I617" s="2">
        <v>0</v>
      </c>
      <c r="J617" s="2">
        <v>210</v>
      </c>
      <c r="K617" s="2">
        <v>65</v>
      </c>
      <c r="L617" s="2">
        <v>141</v>
      </c>
      <c r="M617" s="2">
        <v>425</v>
      </c>
      <c r="N617" s="2">
        <v>15764</v>
      </c>
      <c r="O617" s="2">
        <v>4392</v>
      </c>
    </row>
    <row r="618" spans="1:15" x14ac:dyDescent="0.35">
      <c r="A618" s="2">
        <v>8877689391</v>
      </c>
      <c r="B618" s="3">
        <v>42708</v>
      </c>
      <c r="C618" s="2">
        <v>20.399999619999999</v>
      </c>
      <c r="D618" s="2">
        <v>20.399999619999999</v>
      </c>
      <c r="E618" s="2">
        <v>0</v>
      </c>
      <c r="F618" s="2">
        <v>12.22000027</v>
      </c>
      <c r="G618" s="2">
        <v>0.34000000400000002</v>
      </c>
      <c r="H618" s="2">
        <v>7.8200001720000003</v>
      </c>
      <c r="I618" s="2">
        <v>0</v>
      </c>
      <c r="J618" s="2">
        <v>85</v>
      </c>
      <c r="K618" s="2">
        <v>7</v>
      </c>
      <c r="L618" s="2">
        <v>312</v>
      </c>
      <c r="M618" s="2">
        <v>1036</v>
      </c>
      <c r="N618" s="2">
        <v>23186</v>
      </c>
      <c r="O618" s="2">
        <v>3921</v>
      </c>
    </row>
    <row r="619" spans="1:15" x14ac:dyDescent="0.35">
      <c r="A619" s="2">
        <v>2022484408</v>
      </c>
      <c r="B619" s="3">
        <v>42480</v>
      </c>
      <c r="C619" s="2">
        <v>10.670000079999999</v>
      </c>
      <c r="D619" s="2">
        <v>10.670000079999999</v>
      </c>
      <c r="E619" s="2">
        <v>0</v>
      </c>
      <c r="F619" s="2">
        <v>3.3399999139999998</v>
      </c>
      <c r="G619" s="2">
        <v>1.9299999480000001</v>
      </c>
      <c r="H619" s="2">
        <v>5.4000000950000002</v>
      </c>
      <c r="I619" s="2">
        <v>0</v>
      </c>
      <c r="J619" s="2">
        <v>48</v>
      </c>
      <c r="K619" s="2">
        <v>63</v>
      </c>
      <c r="L619" s="2">
        <v>276</v>
      </c>
      <c r="M619" s="2">
        <v>1053</v>
      </c>
      <c r="N619" s="2">
        <v>15112</v>
      </c>
      <c r="O619" s="2">
        <v>2897</v>
      </c>
    </row>
    <row r="620" spans="1:15" x14ac:dyDescent="0.35">
      <c r="A620" s="2">
        <v>6775888955</v>
      </c>
      <c r="B620" s="3">
        <v>42476</v>
      </c>
      <c r="C620" s="2">
        <v>3.3900001049999999</v>
      </c>
      <c r="D620" s="2">
        <v>3.3900001049999999</v>
      </c>
      <c r="E620" s="2">
        <v>0</v>
      </c>
      <c r="F620" s="2">
        <v>2.5199999809999998</v>
      </c>
      <c r="G620" s="2">
        <v>0.810000002</v>
      </c>
      <c r="H620" s="2">
        <v>5.9999998999999998E-2</v>
      </c>
      <c r="I620" s="2">
        <v>0</v>
      </c>
      <c r="J620" s="2">
        <v>36</v>
      </c>
      <c r="K620" s="2">
        <v>18</v>
      </c>
      <c r="L620" s="2">
        <v>9</v>
      </c>
      <c r="M620" s="2">
        <v>1377</v>
      </c>
      <c r="N620" s="2">
        <v>4732</v>
      </c>
      <c r="O620" s="2">
        <v>2225</v>
      </c>
    </row>
    <row r="621" spans="1:15" x14ac:dyDescent="0.35">
      <c r="A621" s="2">
        <v>1927972279</v>
      </c>
      <c r="B621" s="3">
        <v>42679</v>
      </c>
      <c r="C621" s="2">
        <v>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1440</v>
      </c>
      <c r="N621" s="2">
        <v>0</v>
      </c>
      <c r="O621" s="2">
        <v>2063</v>
      </c>
    </row>
    <row r="622" spans="1:15" x14ac:dyDescent="0.35">
      <c r="A622" s="2">
        <v>6290855005</v>
      </c>
      <c r="B622" s="3">
        <v>42485</v>
      </c>
      <c r="C622" s="2">
        <v>5.9000000950000002</v>
      </c>
      <c r="D622" s="2">
        <v>5.9000000950000002</v>
      </c>
      <c r="E622" s="2">
        <v>0</v>
      </c>
      <c r="F622" s="2">
        <v>0.68000000699999996</v>
      </c>
      <c r="G622" s="2">
        <v>0.18000000699999999</v>
      </c>
      <c r="H622" s="2">
        <v>5.0300002099999999</v>
      </c>
      <c r="I622" s="2">
        <v>0.01</v>
      </c>
      <c r="J622" s="2">
        <v>8</v>
      </c>
      <c r="K622" s="2">
        <v>3</v>
      </c>
      <c r="L622" s="2">
        <v>249</v>
      </c>
      <c r="M622" s="2">
        <v>1180</v>
      </c>
      <c r="N622" s="2">
        <v>7802</v>
      </c>
      <c r="O622" s="2">
        <v>2771</v>
      </c>
    </row>
    <row r="623" spans="1:15" x14ac:dyDescent="0.35">
      <c r="A623" s="2">
        <v>6775888955</v>
      </c>
      <c r="B623" s="3">
        <v>42474</v>
      </c>
      <c r="C623" s="2">
        <v>3.7000000480000002</v>
      </c>
      <c r="D623" s="2">
        <v>3.7000000480000002</v>
      </c>
      <c r="E623" s="2">
        <v>0</v>
      </c>
      <c r="F623" s="2">
        <v>0.87000000499999997</v>
      </c>
      <c r="G623" s="2">
        <v>0.86000001400000003</v>
      </c>
      <c r="H623" s="2">
        <v>1.9700000289999999</v>
      </c>
      <c r="I623" s="2">
        <v>0</v>
      </c>
      <c r="J623" s="2">
        <v>14</v>
      </c>
      <c r="K623" s="2">
        <v>24</v>
      </c>
      <c r="L623" s="2">
        <v>105</v>
      </c>
      <c r="M623" s="2">
        <v>863</v>
      </c>
      <c r="N623" s="2">
        <v>5162</v>
      </c>
      <c r="O623" s="2">
        <v>2507</v>
      </c>
    </row>
    <row r="624" spans="1:15" x14ac:dyDescent="0.35">
      <c r="A624" s="2">
        <v>6962181067</v>
      </c>
      <c r="B624" s="3">
        <v>42648</v>
      </c>
      <c r="C624" s="2">
        <v>10.210000040000001</v>
      </c>
      <c r="D624" s="2">
        <v>10.210000040000001</v>
      </c>
      <c r="E624" s="2">
        <v>0</v>
      </c>
      <c r="F624" s="2">
        <v>3.4700000289999999</v>
      </c>
      <c r="G624" s="2">
        <v>1.75</v>
      </c>
      <c r="H624" s="2">
        <v>4.9899997709999999</v>
      </c>
      <c r="I624" s="2">
        <v>0</v>
      </c>
      <c r="J624" s="2">
        <v>62</v>
      </c>
      <c r="K624" s="2">
        <v>34</v>
      </c>
      <c r="L624" s="2">
        <v>275</v>
      </c>
      <c r="M624" s="2">
        <v>626</v>
      </c>
      <c r="N624" s="2">
        <v>15448</v>
      </c>
      <c r="O624" s="2">
        <v>2361</v>
      </c>
    </row>
    <row r="625" spans="1:15" x14ac:dyDescent="0.35">
      <c r="A625" s="2">
        <v>1844505072</v>
      </c>
      <c r="B625" s="3">
        <v>42374</v>
      </c>
      <c r="C625" s="2">
        <v>1.7000000479999999</v>
      </c>
      <c r="D625" s="2">
        <v>1.7000000479999999</v>
      </c>
      <c r="E625" s="2">
        <v>0</v>
      </c>
      <c r="F625" s="2">
        <v>0</v>
      </c>
      <c r="G625" s="2">
        <v>0.25999999000000001</v>
      </c>
      <c r="H625" s="2">
        <v>1.4500000479999999</v>
      </c>
      <c r="I625" s="2">
        <v>0</v>
      </c>
      <c r="J625" s="2">
        <v>0</v>
      </c>
      <c r="K625" s="2">
        <v>7</v>
      </c>
      <c r="L625" s="2">
        <v>75</v>
      </c>
      <c r="M625" s="2">
        <v>585</v>
      </c>
      <c r="N625" s="2">
        <v>2573</v>
      </c>
      <c r="O625" s="2">
        <v>1541</v>
      </c>
    </row>
    <row r="626" spans="1:15" x14ac:dyDescent="0.35">
      <c r="A626" s="2">
        <v>2320127002</v>
      </c>
      <c r="B626" s="3">
        <v>42482</v>
      </c>
      <c r="C626" s="2">
        <v>3.7599999899999998</v>
      </c>
      <c r="D626" s="2">
        <v>3.7599999899999998</v>
      </c>
      <c r="E626" s="2">
        <v>0</v>
      </c>
      <c r="F626" s="2">
        <v>0</v>
      </c>
      <c r="G626" s="2">
        <v>0</v>
      </c>
      <c r="H626" s="2">
        <v>3.7599999899999998</v>
      </c>
      <c r="I626" s="2">
        <v>0</v>
      </c>
      <c r="J626" s="2">
        <v>0</v>
      </c>
      <c r="K626" s="2">
        <v>0</v>
      </c>
      <c r="L626" s="2">
        <v>266</v>
      </c>
      <c r="M626" s="2">
        <v>1174</v>
      </c>
      <c r="N626" s="2">
        <v>5583</v>
      </c>
      <c r="O626" s="2">
        <v>1851</v>
      </c>
    </row>
    <row r="627" spans="1:15" x14ac:dyDescent="0.35">
      <c r="A627" s="2">
        <v>6290855005</v>
      </c>
      <c r="B627" s="3">
        <v>42374</v>
      </c>
      <c r="C627" s="2">
        <v>7.4400000569999998</v>
      </c>
      <c r="D627" s="2">
        <v>7.4400000569999998</v>
      </c>
      <c r="E627" s="2">
        <v>0</v>
      </c>
      <c r="F627" s="2">
        <v>0.66000002599999996</v>
      </c>
      <c r="G627" s="2">
        <v>2.75</v>
      </c>
      <c r="H627" s="2">
        <v>4</v>
      </c>
      <c r="I627" s="2">
        <v>0.02</v>
      </c>
      <c r="J627" s="2">
        <v>8</v>
      </c>
      <c r="K627" s="2">
        <v>95</v>
      </c>
      <c r="L627" s="2">
        <v>282</v>
      </c>
      <c r="M627" s="2">
        <v>1055</v>
      </c>
      <c r="N627" s="2">
        <v>9837</v>
      </c>
      <c r="O627" s="2">
        <v>3327</v>
      </c>
    </row>
    <row r="628" spans="1:15" x14ac:dyDescent="0.35">
      <c r="A628" s="2">
        <v>1844505072</v>
      </c>
      <c r="B628" s="3">
        <v>42483</v>
      </c>
      <c r="C628" s="2">
        <v>2.3599998950000001</v>
      </c>
      <c r="D628" s="2">
        <v>2.3599998950000001</v>
      </c>
      <c r="E628" s="2">
        <v>0</v>
      </c>
      <c r="F628" s="2">
        <v>0</v>
      </c>
      <c r="G628" s="2">
        <v>0</v>
      </c>
      <c r="H628" s="2">
        <v>2.3599998950000001</v>
      </c>
      <c r="I628" s="2">
        <v>0</v>
      </c>
      <c r="J628" s="2">
        <v>0</v>
      </c>
      <c r="K628" s="2">
        <v>0</v>
      </c>
      <c r="L628" s="2">
        <v>139</v>
      </c>
      <c r="M628" s="2">
        <v>1301</v>
      </c>
      <c r="N628" s="2">
        <v>3570</v>
      </c>
      <c r="O628" s="2">
        <v>1645</v>
      </c>
    </row>
    <row r="629" spans="1:15" x14ac:dyDescent="0.35">
      <c r="A629" s="2">
        <v>4388161847</v>
      </c>
      <c r="B629" s="3">
        <v>42481</v>
      </c>
      <c r="C629" s="2">
        <v>7.7300000190000002</v>
      </c>
      <c r="D629" s="2">
        <v>7.7300000190000002</v>
      </c>
      <c r="E629" s="2">
        <v>0</v>
      </c>
      <c r="F629" s="2">
        <v>0.37000000500000002</v>
      </c>
      <c r="G629" s="2">
        <v>0.38999998600000002</v>
      </c>
      <c r="H629" s="2">
        <v>6.9800000190000002</v>
      </c>
      <c r="I629" s="2">
        <v>0</v>
      </c>
      <c r="J629" s="2">
        <v>7</v>
      </c>
      <c r="K629" s="2">
        <v>12</v>
      </c>
      <c r="L629" s="2">
        <v>272</v>
      </c>
      <c r="M629" s="2">
        <v>853</v>
      </c>
      <c r="N629" s="2">
        <v>10055</v>
      </c>
      <c r="O629" s="2">
        <v>3069</v>
      </c>
    </row>
    <row r="630" spans="1:15" x14ac:dyDescent="0.35">
      <c r="A630" s="2">
        <v>4388161847</v>
      </c>
      <c r="B630" s="3">
        <v>42479</v>
      </c>
      <c r="C630" s="2">
        <v>7.829999924</v>
      </c>
      <c r="D630" s="2">
        <v>7.829999924</v>
      </c>
      <c r="E630" s="2">
        <v>0</v>
      </c>
      <c r="F630" s="2">
        <v>1.3700000050000001</v>
      </c>
      <c r="G630" s="2">
        <v>0.689999998</v>
      </c>
      <c r="H630" s="2">
        <v>5.7699999809999998</v>
      </c>
      <c r="I630" s="2">
        <v>0</v>
      </c>
      <c r="J630" s="2">
        <v>20</v>
      </c>
      <c r="K630" s="2">
        <v>16</v>
      </c>
      <c r="L630" s="2">
        <v>249</v>
      </c>
      <c r="M630" s="2">
        <v>704</v>
      </c>
      <c r="N630" s="2">
        <v>10181</v>
      </c>
      <c r="O630" s="2">
        <v>3015</v>
      </c>
    </row>
    <row r="631" spans="1:15" x14ac:dyDescent="0.35">
      <c r="A631" s="2">
        <v>6962181067</v>
      </c>
      <c r="B631" s="3">
        <v>42495</v>
      </c>
      <c r="C631" s="2">
        <v>6.9600000380000004</v>
      </c>
      <c r="D631" s="2">
        <v>6.9600000380000004</v>
      </c>
      <c r="E631" s="2">
        <v>0</v>
      </c>
      <c r="F631" s="2">
        <v>0.99000001000000004</v>
      </c>
      <c r="G631" s="2">
        <v>1.1599999670000001</v>
      </c>
      <c r="H631" s="2">
        <v>4.8099999430000002</v>
      </c>
      <c r="I631" s="2">
        <v>0</v>
      </c>
      <c r="J631" s="2">
        <v>14</v>
      </c>
      <c r="K631" s="2">
        <v>22</v>
      </c>
      <c r="L631" s="2">
        <v>305</v>
      </c>
      <c r="M631" s="2">
        <v>591</v>
      </c>
      <c r="N631" s="2">
        <v>10524</v>
      </c>
      <c r="O631" s="2">
        <v>2066</v>
      </c>
    </row>
    <row r="632" spans="1:15" x14ac:dyDescent="0.35">
      <c r="A632" s="2">
        <v>5577150313</v>
      </c>
      <c r="B632" s="3">
        <v>42374</v>
      </c>
      <c r="C632" s="2">
        <v>9.9899997710000008</v>
      </c>
      <c r="D632" s="2">
        <v>9.9899997710000008</v>
      </c>
      <c r="E632" s="2">
        <v>0</v>
      </c>
      <c r="F632" s="2">
        <v>5.3099999430000002</v>
      </c>
      <c r="G632" s="2">
        <v>1.440000057</v>
      </c>
      <c r="H632" s="2">
        <v>3.2400000100000002</v>
      </c>
      <c r="I632" s="2">
        <v>0</v>
      </c>
      <c r="J632" s="2">
        <v>194</v>
      </c>
      <c r="K632" s="2">
        <v>72</v>
      </c>
      <c r="L632" s="2">
        <v>178</v>
      </c>
      <c r="M632" s="2">
        <v>499</v>
      </c>
      <c r="N632" s="2">
        <v>13368</v>
      </c>
      <c r="O632" s="2">
        <v>4546</v>
      </c>
    </row>
    <row r="633" spans="1:15" x14ac:dyDescent="0.35">
      <c r="A633" s="2">
        <v>7007744171</v>
      </c>
      <c r="B633" s="3">
        <v>42434</v>
      </c>
      <c r="C633" s="2">
        <v>10.869999890000001</v>
      </c>
      <c r="D633" s="2">
        <v>9.7100000380000004</v>
      </c>
      <c r="E633" s="2">
        <v>4.9123678210000001</v>
      </c>
      <c r="F633" s="2">
        <v>4.4800000190000002</v>
      </c>
      <c r="G633" s="2">
        <v>1.019999981</v>
      </c>
      <c r="H633" s="2">
        <v>5.3600001339999999</v>
      </c>
      <c r="I633" s="2">
        <v>0</v>
      </c>
      <c r="J633" s="2">
        <v>58</v>
      </c>
      <c r="K633" s="2">
        <v>31</v>
      </c>
      <c r="L633" s="2">
        <v>330</v>
      </c>
      <c r="M633" s="2">
        <v>1021</v>
      </c>
      <c r="N633" s="2">
        <v>14510</v>
      </c>
      <c r="O633" s="2">
        <v>2976</v>
      </c>
    </row>
    <row r="634" spans="1:15" x14ac:dyDescent="0.35">
      <c r="A634" s="2">
        <v>1844505072</v>
      </c>
      <c r="B634" s="3">
        <v>42618</v>
      </c>
      <c r="C634" s="2">
        <v>0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  <c r="M634" s="2">
        <v>1440</v>
      </c>
      <c r="N634" s="2">
        <v>0</v>
      </c>
      <c r="O634" s="2">
        <v>1347</v>
      </c>
    </row>
    <row r="635" spans="1:15" x14ac:dyDescent="0.35">
      <c r="A635" s="2">
        <v>1624580081</v>
      </c>
      <c r="B635" s="3">
        <v>42465</v>
      </c>
      <c r="C635" s="2">
        <v>1.4299999480000001</v>
      </c>
      <c r="D635" s="2">
        <v>1.4299999480000001</v>
      </c>
      <c r="E635" s="2">
        <v>0</v>
      </c>
      <c r="F635" s="2">
        <v>0</v>
      </c>
      <c r="G635" s="2">
        <v>0</v>
      </c>
      <c r="H635" s="2">
        <v>1.4199999569999999</v>
      </c>
      <c r="I635" s="2">
        <v>0</v>
      </c>
      <c r="J635" s="2">
        <v>0</v>
      </c>
      <c r="K635" s="2">
        <v>0</v>
      </c>
      <c r="L635" s="2">
        <v>118</v>
      </c>
      <c r="M635" s="2">
        <v>1322</v>
      </c>
      <c r="N635" s="2">
        <v>2193</v>
      </c>
      <c r="O635" s="2">
        <v>1368</v>
      </c>
    </row>
    <row r="636" spans="1:15" x14ac:dyDescent="0.35">
      <c r="A636" s="2">
        <v>1927972279</v>
      </c>
      <c r="B636" s="3">
        <v>42648</v>
      </c>
      <c r="C636" s="2">
        <v>0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s="2">
        <v>1440</v>
      </c>
      <c r="N636" s="2">
        <v>0</v>
      </c>
      <c r="O636" s="2">
        <v>2063</v>
      </c>
    </row>
    <row r="637" spans="1:15" x14ac:dyDescent="0.35">
      <c r="A637" s="2">
        <v>4319703577</v>
      </c>
      <c r="B637" s="3">
        <v>42465</v>
      </c>
      <c r="C637" s="2">
        <v>7.0199999809999998</v>
      </c>
      <c r="D637" s="2">
        <v>7.0199999809999998</v>
      </c>
      <c r="E637" s="2">
        <v>0</v>
      </c>
      <c r="F637" s="2">
        <v>0.58999997400000004</v>
      </c>
      <c r="G637" s="2">
        <v>0.579999983</v>
      </c>
      <c r="H637" s="2">
        <v>5.8499999049999998</v>
      </c>
      <c r="I637" s="2">
        <v>0</v>
      </c>
      <c r="J637" s="2">
        <v>8</v>
      </c>
      <c r="K637" s="2">
        <v>13</v>
      </c>
      <c r="L637" s="2">
        <v>313</v>
      </c>
      <c r="M637" s="2">
        <v>1106</v>
      </c>
      <c r="N637" s="2">
        <v>10429</v>
      </c>
      <c r="O637" s="2">
        <v>2282</v>
      </c>
    </row>
    <row r="638" spans="1:15" x14ac:dyDescent="0.35">
      <c r="A638" s="2">
        <v>8792009665</v>
      </c>
      <c r="B638" s="3">
        <v>42478</v>
      </c>
      <c r="C638" s="2">
        <v>0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2">
        <v>0</v>
      </c>
      <c r="J638" s="2">
        <v>0</v>
      </c>
      <c r="K638" s="2">
        <v>0</v>
      </c>
      <c r="L638" s="2">
        <v>0</v>
      </c>
      <c r="M638" s="2">
        <v>1440</v>
      </c>
      <c r="N638" s="2">
        <v>0</v>
      </c>
      <c r="O638" s="2">
        <v>1688</v>
      </c>
    </row>
    <row r="639" spans="1:15" x14ac:dyDescent="0.35">
      <c r="A639" s="2">
        <v>2026352035</v>
      </c>
      <c r="B639" s="3">
        <v>42465</v>
      </c>
      <c r="C639" s="2">
        <v>4.0700001720000003</v>
      </c>
      <c r="D639" s="2">
        <v>4.0700001720000003</v>
      </c>
      <c r="E639" s="2">
        <v>0</v>
      </c>
      <c r="F639" s="2">
        <v>0</v>
      </c>
      <c r="G639" s="2">
        <v>0</v>
      </c>
      <c r="H639" s="2">
        <v>4.0700001720000003</v>
      </c>
      <c r="I639" s="2">
        <v>0</v>
      </c>
      <c r="J639" s="2">
        <v>0</v>
      </c>
      <c r="K639" s="2">
        <v>0</v>
      </c>
      <c r="L639" s="2">
        <v>345</v>
      </c>
      <c r="M639" s="2">
        <v>530</v>
      </c>
      <c r="N639" s="2">
        <v>6564</v>
      </c>
      <c r="O639" s="2">
        <v>1658</v>
      </c>
    </row>
    <row r="640" spans="1:15" x14ac:dyDescent="0.35">
      <c r="A640" s="2">
        <v>8053475328</v>
      </c>
      <c r="B640" s="3">
        <v>42526</v>
      </c>
      <c r="C640" s="2">
        <v>11</v>
      </c>
      <c r="D640" s="2">
        <v>11</v>
      </c>
      <c r="E640" s="2">
        <v>0</v>
      </c>
      <c r="F640" s="2">
        <v>9.1000003809999992</v>
      </c>
      <c r="G640" s="2">
        <v>0.689999998</v>
      </c>
      <c r="H640" s="2">
        <v>1.210000038</v>
      </c>
      <c r="I640" s="2">
        <v>0</v>
      </c>
      <c r="J640" s="2">
        <v>90</v>
      </c>
      <c r="K640" s="2">
        <v>15</v>
      </c>
      <c r="L640" s="2">
        <v>90</v>
      </c>
      <c r="M640" s="2">
        <v>1245</v>
      </c>
      <c r="N640" s="2">
        <v>13953</v>
      </c>
      <c r="O640" s="2">
        <v>2859</v>
      </c>
    </row>
    <row r="641" spans="1:15" x14ac:dyDescent="0.35">
      <c r="A641" s="2">
        <v>7007744171</v>
      </c>
      <c r="B641" s="3">
        <v>42476</v>
      </c>
      <c r="C641" s="2">
        <v>3.0999999049999998</v>
      </c>
      <c r="D641" s="2">
        <v>3.0999999049999998</v>
      </c>
      <c r="E641" s="2">
        <v>0</v>
      </c>
      <c r="F641" s="2">
        <v>0</v>
      </c>
      <c r="G641" s="2">
        <v>0</v>
      </c>
      <c r="H641" s="2">
        <v>3.0999999049999998</v>
      </c>
      <c r="I641" s="2">
        <v>0</v>
      </c>
      <c r="J641" s="2">
        <v>0</v>
      </c>
      <c r="K641" s="2">
        <v>0</v>
      </c>
      <c r="L641" s="2">
        <v>203</v>
      </c>
      <c r="M641" s="2">
        <v>1155</v>
      </c>
      <c r="N641" s="2">
        <v>4631</v>
      </c>
      <c r="O641" s="2">
        <v>2076</v>
      </c>
    </row>
    <row r="642" spans="1:15" x14ac:dyDescent="0.35">
      <c r="A642" s="2">
        <v>1503960366</v>
      </c>
      <c r="B642" s="3">
        <v>42480</v>
      </c>
      <c r="C642" s="2">
        <v>6.6799998279999997</v>
      </c>
      <c r="D642" s="2">
        <v>6.6799998279999997</v>
      </c>
      <c r="E642" s="2">
        <v>0</v>
      </c>
      <c r="F642" s="2">
        <v>1.960000038</v>
      </c>
      <c r="G642" s="2">
        <v>0.47999998900000002</v>
      </c>
      <c r="H642" s="2">
        <v>4.2399997709999999</v>
      </c>
      <c r="I642" s="2">
        <v>0</v>
      </c>
      <c r="J642" s="2">
        <v>28</v>
      </c>
      <c r="K642" s="2">
        <v>12</v>
      </c>
      <c r="L642" s="2">
        <v>205</v>
      </c>
      <c r="M642" s="2">
        <v>818</v>
      </c>
      <c r="N642" s="2">
        <v>10544</v>
      </c>
      <c r="O642" s="2">
        <v>1786</v>
      </c>
    </row>
    <row r="643" spans="1:15" x14ac:dyDescent="0.35">
      <c r="A643" s="2">
        <v>7086361926</v>
      </c>
      <c r="B643" s="3">
        <v>42405</v>
      </c>
      <c r="C643" s="2">
        <v>6.8099999430000002</v>
      </c>
      <c r="D643" s="2">
        <v>6.8099999430000002</v>
      </c>
      <c r="E643" s="2">
        <v>0</v>
      </c>
      <c r="F643" s="2">
        <v>3.4800000190000002</v>
      </c>
      <c r="G643" s="2">
        <v>0.66000002599999996</v>
      </c>
      <c r="H643" s="2">
        <v>2.6600000860000002</v>
      </c>
      <c r="I643" s="2">
        <v>0</v>
      </c>
      <c r="J643" s="2">
        <v>66</v>
      </c>
      <c r="K643" s="2">
        <v>26</v>
      </c>
      <c r="L643" s="2">
        <v>139</v>
      </c>
      <c r="M643" s="2">
        <v>737</v>
      </c>
      <c r="N643" s="2">
        <v>10052</v>
      </c>
      <c r="O643" s="2">
        <v>2754</v>
      </c>
    </row>
    <row r="644" spans="1:15" x14ac:dyDescent="0.35">
      <c r="A644" s="2">
        <v>1624580081</v>
      </c>
      <c r="B644" s="3">
        <v>42477</v>
      </c>
      <c r="C644" s="2">
        <v>4.0599999430000002</v>
      </c>
      <c r="D644" s="2">
        <v>4.0599999430000002</v>
      </c>
      <c r="E644" s="2">
        <v>0</v>
      </c>
      <c r="F644" s="2">
        <v>1.0299999710000001</v>
      </c>
      <c r="G644" s="2">
        <v>1.519999981</v>
      </c>
      <c r="H644" s="2">
        <v>1.4900000099999999</v>
      </c>
      <c r="I644" s="2">
        <v>0.01</v>
      </c>
      <c r="J644" s="2">
        <v>15</v>
      </c>
      <c r="K644" s="2">
        <v>22</v>
      </c>
      <c r="L644" s="2">
        <v>127</v>
      </c>
      <c r="M644" s="2">
        <v>1276</v>
      </c>
      <c r="N644" s="2">
        <v>6175</v>
      </c>
      <c r="O644" s="2">
        <v>1554</v>
      </c>
    </row>
    <row r="645" spans="1:15" x14ac:dyDescent="0.35">
      <c r="A645" s="2">
        <v>4445114986</v>
      </c>
      <c r="B645" s="3">
        <v>42481</v>
      </c>
      <c r="C645" s="2">
        <v>2.5599999430000002</v>
      </c>
      <c r="D645" s="2">
        <v>2.5599999430000002</v>
      </c>
      <c r="E645" s="2">
        <v>0</v>
      </c>
      <c r="F645" s="2">
        <v>0</v>
      </c>
      <c r="G645" s="2">
        <v>0</v>
      </c>
      <c r="H645" s="2">
        <v>2.539999962</v>
      </c>
      <c r="I645" s="2">
        <v>0</v>
      </c>
      <c r="J645" s="2">
        <v>0</v>
      </c>
      <c r="K645" s="2">
        <v>0</v>
      </c>
      <c r="L645" s="2">
        <v>215</v>
      </c>
      <c r="M645" s="2">
        <v>756</v>
      </c>
      <c r="N645" s="2">
        <v>3809</v>
      </c>
      <c r="O645" s="2">
        <v>2150</v>
      </c>
    </row>
    <row r="646" spans="1:15" x14ac:dyDescent="0.35">
      <c r="A646" s="2">
        <v>2347167796</v>
      </c>
      <c r="B646" s="3">
        <v>42478</v>
      </c>
      <c r="C646" s="2">
        <v>5.4499998090000004</v>
      </c>
      <c r="D646" s="2">
        <v>5.4499998090000004</v>
      </c>
      <c r="E646" s="2">
        <v>0</v>
      </c>
      <c r="F646" s="2">
        <v>0.790000021</v>
      </c>
      <c r="G646" s="2">
        <v>0.86000001400000003</v>
      </c>
      <c r="H646" s="2">
        <v>3.789999962</v>
      </c>
      <c r="I646" s="2">
        <v>0</v>
      </c>
      <c r="J646" s="2">
        <v>11</v>
      </c>
      <c r="K646" s="2">
        <v>16</v>
      </c>
      <c r="L646" s="2">
        <v>206</v>
      </c>
      <c r="M646" s="2">
        <v>678</v>
      </c>
      <c r="N646" s="2">
        <v>8247</v>
      </c>
      <c r="O646" s="2">
        <v>1944</v>
      </c>
    </row>
    <row r="647" spans="1:15" x14ac:dyDescent="0.35">
      <c r="A647" s="2">
        <v>3372868164</v>
      </c>
      <c r="B647" s="3">
        <v>42479</v>
      </c>
      <c r="C647" s="2">
        <v>5.2600002290000001</v>
      </c>
      <c r="D647" s="2">
        <v>5.2600002290000001</v>
      </c>
      <c r="E647" s="2">
        <v>0</v>
      </c>
      <c r="F647" s="2">
        <v>0</v>
      </c>
      <c r="G647" s="2">
        <v>0</v>
      </c>
      <c r="H647" s="2">
        <v>5.2399997709999999</v>
      </c>
      <c r="I647" s="2">
        <v>0.02</v>
      </c>
      <c r="J647" s="2">
        <v>0</v>
      </c>
      <c r="K647" s="2">
        <v>0</v>
      </c>
      <c r="L647" s="2">
        <v>376</v>
      </c>
      <c r="M647" s="2">
        <v>1064</v>
      </c>
      <c r="N647" s="2">
        <v>7711</v>
      </c>
      <c r="O647" s="2">
        <v>1985</v>
      </c>
    </row>
    <row r="648" spans="1:15" x14ac:dyDescent="0.35">
      <c r="A648" s="2">
        <v>8792009665</v>
      </c>
      <c r="B648" s="3">
        <v>42488</v>
      </c>
      <c r="C648" s="2">
        <v>3.9400000569999998</v>
      </c>
      <c r="D648" s="2">
        <v>3.9400000569999998</v>
      </c>
      <c r="E648" s="2">
        <v>0</v>
      </c>
      <c r="F648" s="2">
        <v>0</v>
      </c>
      <c r="G648" s="2">
        <v>0</v>
      </c>
      <c r="H648" s="2">
        <v>3.9400000569999998</v>
      </c>
      <c r="I648" s="2">
        <v>0</v>
      </c>
      <c r="J648" s="2">
        <v>0</v>
      </c>
      <c r="K648" s="2">
        <v>0</v>
      </c>
      <c r="L648" s="2">
        <v>310</v>
      </c>
      <c r="M648" s="2">
        <v>714</v>
      </c>
      <c r="N648" s="2">
        <v>6157</v>
      </c>
      <c r="O648" s="2">
        <v>2780</v>
      </c>
    </row>
    <row r="649" spans="1:15" x14ac:dyDescent="0.35">
      <c r="A649" s="2">
        <v>5577150313</v>
      </c>
      <c r="B649" s="3">
        <v>42476</v>
      </c>
      <c r="C649" s="2">
        <v>10.65999985</v>
      </c>
      <c r="D649" s="2">
        <v>10.65999985</v>
      </c>
      <c r="E649" s="2">
        <v>0</v>
      </c>
      <c r="F649" s="2">
        <v>6.6399998660000001</v>
      </c>
      <c r="G649" s="2">
        <v>1.2799999710000001</v>
      </c>
      <c r="H649" s="2">
        <v>2.7300000190000002</v>
      </c>
      <c r="I649" s="2">
        <v>0</v>
      </c>
      <c r="J649" s="2">
        <v>184</v>
      </c>
      <c r="K649" s="2">
        <v>56</v>
      </c>
      <c r="L649" s="2">
        <v>158</v>
      </c>
      <c r="M649" s="2">
        <v>472</v>
      </c>
      <c r="N649" s="2">
        <v>14269</v>
      </c>
      <c r="O649" s="2">
        <v>4274</v>
      </c>
    </row>
    <row r="650" spans="1:15" x14ac:dyDescent="0.35">
      <c r="A650" s="2">
        <v>6117666160</v>
      </c>
      <c r="B650" s="3">
        <v>42587</v>
      </c>
      <c r="C650" s="2">
        <v>5.5300002099999999</v>
      </c>
      <c r="D650" s="2">
        <v>5.5300002099999999</v>
      </c>
      <c r="E650" s="2">
        <v>0</v>
      </c>
      <c r="F650" s="2">
        <v>0</v>
      </c>
      <c r="G650" s="2">
        <v>0</v>
      </c>
      <c r="H650" s="2">
        <v>5.5300002099999999</v>
      </c>
      <c r="I650" s="2">
        <v>0</v>
      </c>
      <c r="J650" s="2">
        <v>0</v>
      </c>
      <c r="K650" s="2">
        <v>0</v>
      </c>
      <c r="L650" s="2">
        <v>318</v>
      </c>
      <c r="M650" s="2">
        <v>517</v>
      </c>
      <c r="N650" s="2">
        <v>7328</v>
      </c>
      <c r="O650" s="2">
        <v>2250</v>
      </c>
    </row>
    <row r="651" spans="1:15" x14ac:dyDescent="0.35">
      <c r="A651" s="2">
        <v>6775888955</v>
      </c>
      <c r="B651" s="3">
        <v>42483</v>
      </c>
      <c r="C651" s="2">
        <v>0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  <c r="J651" s="2">
        <v>0</v>
      </c>
      <c r="K651" s="2">
        <v>0</v>
      </c>
      <c r="L651" s="2">
        <v>0</v>
      </c>
      <c r="M651" s="2">
        <v>1440</v>
      </c>
      <c r="N651" s="2">
        <v>0</v>
      </c>
      <c r="O651" s="2">
        <v>1841</v>
      </c>
    </row>
    <row r="652" spans="1:15" x14ac:dyDescent="0.35">
      <c r="A652" s="2">
        <v>6775888955</v>
      </c>
      <c r="B652" s="3">
        <v>42434</v>
      </c>
      <c r="C652" s="2">
        <v>0.01</v>
      </c>
      <c r="D652" s="2">
        <v>0.01</v>
      </c>
      <c r="E652" s="2">
        <v>0</v>
      </c>
      <c r="F652" s="2">
        <v>0</v>
      </c>
      <c r="G652" s="2">
        <v>0</v>
      </c>
      <c r="H652" s="2">
        <v>0.01</v>
      </c>
      <c r="I652" s="2">
        <v>0</v>
      </c>
      <c r="J652" s="2">
        <v>0</v>
      </c>
      <c r="K652" s="2">
        <v>0</v>
      </c>
      <c r="L652" s="2">
        <v>1</v>
      </c>
      <c r="M652" s="2">
        <v>1439</v>
      </c>
      <c r="N652" s="2">
        <v>9</v>
      </c>
      <c r="O652" s="2">
        <v>1843</v>
      </c>
    </row>
    <row r="653" spans="1:15" x14ac:dyDescent="0.35">
      <c r="A653" s="2">
        <v>2347167796</v>
      </c>
      <c r="B653" s="3">
        <v>42487</v>
      </c>
      <c r="C653" s="2">
        <v>7.579999924</v>
      </c>
      <c r="D653" s="2">
        <v>7.579999924</v>
      </c>
      <c r="E653" s="2">
        <v>0</v>
      </c>
      <c r="F653" s="2">
        <v>1.8600000139999999</v>
      </c>
      <c r="G653" s="2">
        <v>0.40000000600000002</v>
      </c>
      <c r="H653" s="2">
        <v>5.3200001720000003</v>
      </c>
      <c r="I653" s="2">
        <v>0</v>
      </c>
      <c r="J653" s="2">
        <v>26</v>
      </c>
      <c r="K653" s="2">
        <v>9</v>
      </c>
      <c r="L653" s="2">
        <v>295</v>
      </c>
      <c r="M653" s="2">
        <v>623</v>
      </c>
      <c r="N653" s="2">
        <v>11423</v>
      </c>
      <c r="O653" s="2">
        <v>2194</v>
      </c>
    </row>
    <row r="654" spans="1:15" x14ac:dyDescent="0.35">
      <c r="A654" s="2">
        <v>6117666160</v>
      </c>
      <c r="B654" s="3">
        <v>42485</v>
      </c>
      <c r="C654" s="2">
        <v>0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s="2">
        <v>1440</v>
      </c>
      <c r="N654" s="2">
        <v>0</v>
      </c>
      <c r="O654" s="2">
        <v>1497</v>
      </c>
    </row>
    <row r="655" spans="1:15" x14ac:dyDescent="0.35">
      <c r="A655" s="2">
        <v>3372868164</v>
      </c>
      <c r="B655" s="3">
        <v>42473</v>
      </c>
      <c r="C655" s="2">
        <v>6.6300001139999996</v>
      </c>
      <c r="D655" s="2">
        <v>6.6300001139999996</v>
      </c>
      <c r="E655" s="2">
        <v>0</v>
      </c>
      <c r="F655" s="2">
        <v>0.99000001000000004</v>
      </c>
      <c r="G655" s="2">
        <v>0.34000000400000002</v>
      </c>
      <c r="H655" s="2">
        <v>5.2699999809999998</v>
      </c>
      <c r="I655" s="2">
        <v>0.02</v>
      </c>
      <c r="J655" s="2">
        <v>16</v>
      </c>
      <c r="K655" s="2">
        <v>8</v>
      </c>
      <c r="L655" s="2">
        <v>371</v>
      </c>
      <c r="M655" s="2">
        <v>1045</v>
      </c>
      <c r="N655" s="2">
        <v>9715</v>
      </c>
      <c r="O655" s="2">
        <v>2093</v>
      </c>
    </row>
    <row r="656" spans="1:15" x14ac:dyDescent="0.35">
      <c r="A656" s="2">
        <v>4388161847</v>
      </c>
      <c r="B656" s="3">
        <v>42474</v>
      </c>
      <c r="C656" s="2">
        <v>6.8200001720000003</v>
      </c>
      <c r="D656" s="2">
        <v>6.8200001720000003</v>
      </c>
      <c r="E656" s="2">
        <v>0</v>
      </c>
      <c r="F656" s="2">
        <v>0.12999999500000001</v>
      </c>
      <c r="G656" s="2">
        <v>1.0700000519999999</v>
      </c>
      <c r="H656" s="2">
        <v>5.6199998860000004</v>
      </c>
      <c r="I656" s="2">
        <v>0</v>
      </c>
      <c r="J656" s="2">
        <v>10</v>
      </c>
      <c r="K656" s="2">
        <v>35</v>
      </c>
      <c r="L656" s="2">
        <v>219</v>
      </c>
      <c r="M656" s="2">
        <v>945</v>
      </c>
      <c r="N656" s="2">
        <v>8863</v>
      </c>
      <c r="O656" s="2">
        <v>2998</v>
      </c>
    </row>
    <row r="657" spans="1:15" x14ac:dyDescent="0.35">
      <c r="A657" s="2">
        <v>1927972279</v>
      </c>
      <c r="B657" s="3">
        <v>42618</v>
      </c>
      <c r="C657" s="2">
        <v>0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2">
        <v>0</v>
      </c>
      <c r="J657" s="2">
        <v>0</v>
      </c>
      <c r="K657" s="2">
        <v>0</v>
      </c>
      <c r="L657" s="2">
        <v>0</v>
      </c>
      <c r="M657" s="2">
        <v>1440</v>
      </c>
      <c r="N657" s="2">
        <v>0</v>
      </c>
      <c r="O657" s="2">
        <v>2063</v>
      </c>
    </row>
    <row r="658" spans="1:15" x14ac:dyDescent="0.35">
      <c r="A658" s="2">
        <v>7086361926</v>
      </c>
      <c r="B658" s="3">
        <v>42475</v>
      </c>
      <c r="C658" s="2">
        <v>5.670000076</v>
      </c>
      <c r="D658" s="2">
        <v>5.670000076</v>
      </c>
      <c r="E658" s="2">
        <v>0</v>
      </c>
      <c r="F658" s="2">
        <v>2.039999962</v>
      </c>
      <c r="G658" s="2">
        <v>1.1100000139999999</v>
      </c>
      <c r="H658" s="2">
        <v>2.5299999710000001</v>
      </c>
      <c r="I658" s="2">
        <v>0</v>
      </c>
      <c r="J658" s="2">
        <v>30</v>
      </c>
      <c r="K658" s="2">
        <v>21</v>
      </c>
      <c r="L658" s="2">
        <v>139</v>
      </c>
      <c r="M658" s="2">
        <v>864</v>
      </c>
      <c r="N658" s="2">
        <v>8585</v>
      </c>
      <c r="O658" s="2">
        <v>2395</v>
      </c>
    </row>
    <row r="659" spans="1:15" x14ac:dyDescent="0.35">
      <c r="A659" s="2">
        <v>6290855005</v>
      </c>
      <c r="B659" s="3">
        <v>42487</v>
      </c>
      <c r="C659" s="2">
        <v>4.2100000380000004</v>
      </c>
      <c r="D659" s="2">
        <v>4.2100000380000004</v>
      </c>
      <c r="E659" s="2">
        <v>0</v>
      </c>
      <c r="F659" s="2">
        <v>0</v>
      </c>
      <c r="G659" s="2">
        <v>0</v>
      </c>
      <c r="H659" s="2">
        <v>4.1799998279999997</v>
      </c>
      <c r="I659" s="2">
        <v>2.9999998999999999E-2</v>
      </c>
      <c r="J659" s="2">
        <v>0</v>
      </c>
      <c r="K659" s="2">
        <v>0</v>
      </c>
      <c r="L659" s="2">
        <v>287</v>
      </c>
      <c r="M659" s="2">
        <v>1153</v>
      </c>
      <c r="N659" s="2">
        <v>5565</v>
      </c>
      <c r="O659" s="2">
        <v>2743</v>
      </c>
    </row>
    <row r="660" spans="1:15" x14ac:dyDescent="0.35">
      <c r="A660" s="2">
        <v>8378563200</v>
      </c>
      <c r="B660" s="3">
        <v>42487</v>
      </c>
      <c r="C660" s="2">
        <v>5.8400001530000001</v>
      </c>
      <c r="D660" s="2">
        <v>5.8400001530000001</v>
      </c>
      <c r="E660" s="2">
        <v>0</v>
      </c>
      <c r="F660" s="2">
        <v>0.33000001299999998</v>
      </c>
      <c r="G660" s="2">
        <v>0.18000000699999999</v>
      </c>
      <c r="H660" s="2">
        <v>5.329999924</v>
      </c>
      <c r="I660" s="2">
        <v>0</v>
      </c>
      <c r="J660" s="2">
        <v>4</v>
      </c>
      <c r="K660" s="2">
        <v>4</v>
      </c>
      <c r="L660" s="2">
        <v>192</v>
      </c>
      <c r="M660" s="2">
        <v>676</v>
      </c>
      <c r="N660" s="2">
        <v>7359</v>
      </c>
      <c r="O660" s="2">
        <v>3061</v>
      </c>
    </row>
    <row r="661" spans="1:15" x14ac:dyDescent="0.35">
      <c r="A661" s="2">
        <v>5553957443</v>
      </c>
      <c r="B661" s="3">
        <v>42486</v>
      </c>
      <c r="C661" s="2">
        <v>7.7600002290000001</v>
      </c>
      <c r="D661" s="2">
        <v>7.7600002290000001</v>
      </c>
      <c r="E661" s="2">
        <v>0</v>
      </c>
      <c r="F661" s="2">
        <v>2.369999886</v>
      </c>
      <c r="G661" s="2">
        <v>0.93000000699999996</v>
      </c>
      <c r="H661" s="2">
        <v>4.4600000380000004</v>
      </c>
      <c r="I661" s="2">
        <v>0</v>
      </c>
      <c r="J661" s="2">
        <v>40</v>
      </c>
      <c r="K661" s="2">
        <v>18</v>
      </c>
      <c r="L661" s="2">
        <v>238</v>
      </c>
      <c r="M661" s="2">
        <v>750</v>
      </c>
      <c r="N661" s="2">
        <v>11886</v>
      </c>
      <c r="O661" s="2">
        <v>2093</v>
      </c>
    </row>
    <row r="662" spans="1:15" x14ac:dyDescent="0.35">
      <c r="A662" s="2">
        <v>7086361926</v>
      </c>
      <c r="B662" s="3">
        <v>42478</v>
      </c>
      <c r="C662" s="2">
        <v>6.7100000380000004</v>
      </c>
      <c r="D662" s="2">
        <v>6.7100000380000004</v>
      </c>
      <c r="E662" s="2">
        <v>0</v>
      </c>
      <c r="F662" s="2">
        <v>3.170000076</v>
      </c>
      <c r="G662" s="2">
        <v>1.2200000289999999</v>
      </c>
      <c r="H662" s="2">
        <v>2.3099999430000002</v>
      </c>
      <c r="I662" s="2">
        <v>0</v>
      </c>
      <c r="J662" s="2">
        <v>61</v>
      </c>
      <c r="K662" s="2">
        <v>51</v>
      </c>
      <c r="L662" s="2">
        <v>114</v>
      </c>
      <c r="M662" s="2">
        <v>1136</v>
      </c>
      <c r="N662" s="2">
        <v>9827</v>
      </c>
      <c r="O662" s="2">
        <v>2743</v>
      </c>
    </row>
    <row r="663" spans="1:15" x14ac:dyDescent="0.35">
      <c r="A663" s="2">
        <v>4558609924</v>
      </c>
      <c r="B663" s="3">
        <v>42486</v>
      </c>
      <c r="C663" s="2">
        <v>6.0500001909999996</v>
      </c>
      <c r="D663" s="2">
        <v>6.0500001909999996</v>
      </c>
      <c r="E663" s="2">
        <v>0</v>
      </c>
      <c r="F663" s="2">
        <v>0.43000000700000002</v>
      </c>
      <c r="G663" s="2">
        <v>2.0299999710000001</v>
      </c>
      <c r="H663" s="2">
        <v>3.5899999139999998</v>
      </c>
      <c r="I663" s="2">
        <v>0</v>
      </c>
      <c r="J663" s="2">
        <v>12</v>
      </c>
      <c r="K663" s="2">
        <v>41</v>
      </c>
      <c r="L663" s="2">
        <v>283</v>
      </c>
      <c r="M663" s="2">
        <v>1062</v>
      </c>
      <c r="N663" s="2">
        <v>9148</v>
      </c>
      <c r="O663" s="2">
        <v>2223</v>
      </c>
    </row>
    <row r="664" spans="1:15" x14ac:dyDescent="0.35">
      <c r="A664" s="2">
        <v>1927972279</v>
      </c>
      <c r="B664" s="3">
        <v>42526</v>
      </c>
      <c r="C664" s="2">
        <v>1.4500000479999999</v>
      </c>
      <c r="D664" s="2">
        <v>1.4500000479999999</v>
      </c>
      <c r="E664" s="2">
        <v>0</v>
      </c>
      <c r="F664" s="2">
        <v>0</v>
      </c>
      <c r="G664" s="2">
        <v>0</v>
      </c>
      <c r="H664" s="2">
        <v>1.4500000479999999</v>
      </c>
      <c r="I664" s="2">
        <v>0</v>
      </c>
      <c r="J664" s="2">
        <v>0</v>
      </c>
      <c r="K664" s="2">
        <v>0</v>
      </c>
      <c r="L664" s="2">
        <v>108</v>
      </c>
      <c r="M664" s="2">
        <v>1332</v>
      </c>
      <c r="N664" s="2">
        <v>2091</v>
      </c>
      <c r="O664" s="2">
        <v>2383</v>
      </c>
    </row>
    <row r="665" spans="1:15" x14ac:dyDescent="0.35">
      <c r="A665" s="2">
        <v>1927972279</v>
      </c>
      <c r="B665" s="3">
        <v>42495</v>
      </c>
      <c r="C665" s="2">
        <v>0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2">
        <v>0</v>
      </c>
      <c r="J665" s="2">
        <v>0</v>
      </c>
      <c r="K665" s="2">
        <v>0</v>
      </c>
      <c r="L665" s="2">
        <v>0</v>
      </c>
      <c r="M665" s="2">
        <v>1440</v>
      </c>
      <c r="N665" s="2">
        <v>0</v>
      </c>
      <c r="O665" s="2">
        <v>2063</v>
      </c>
    </row>
    <row r="666" spans="1:15" x14ac:dyDescent="0.35">
      <c r="A666" s="2">
        <v>8378563200</v>
      </c>
      <c r="B666" s="3">
        <v>42490</v>
      </c>
      <c r="C666" s="2">
        <v>2.3399999139999998</v>
      </c>
      <c r="D666" s="2">
        <v>2.3399999139999998</v>
      </c>
      <c r="E666" s="2">
        <v>0</v>
      </c>
      <c r="F666" s="2">
        <v>0</v>
      </c>
      <c r="G666" s="2">
        <v>0</v>
      </c>
      <c r="H666" s="2">
        <v>2.3399999139999998</v>
      </c>
      <c r="I666" s="2">
        <v>0</v>
      </c>
      <c r="J666" s="2">
        <v>0</v>
      </c>
      <c r="K666" s="2">
        <v>0</v>
      </c>
      <c r="L666" s="2">
        <v>121</v>
      </c>
      <c r="M666" s="2">
        <v>780</v>
      </c>
      <c r="N666" s="2">
        <v>2946</v>
      </c>
      <c r="O666" s="2">
        <v>2660</v>
      </c>
    </row>
    <row r="667" spans="1:15" x14ac:dyDescent="0.35">
      <c r="A667" s="2">
        <v>8583815059</v>
      </c>
      <c r="B667" s="3">
        <v>42495</v>
      </c>
      <c r="C667" s="2">
        <v>9.6899995800000003</v>
      </c>
      <c r="D667" s="2">
        <v>9.6899995800000003</v>
      </c>
      <c r="E667" s="2">
        <v>0</v>
      </c>
      <c r="F667" s="2">
        <v>0</v>
      </c>
      <c r="G667" s="2">
        <v>0</v>
      </c>
      <c r="H667" s="2">
        <v>1.1799999480000001</v>
      </c>
      <c r="I667" s="2">
        <v>0</v>
      </c>
      <c r="J667" s="2">
        <v>0</v>
      </c>
      <c r="K667" s="2">
        <v>0</v>
      </c>
      <c r="L667" s="2">
        <v>70</v>
      </c>
      <c r="M667" s="2">
        <v>1370</v>
      </c>
      <c r="N667" s="2">
        <v>12427</v>
      </c>
      <c r="O667" s="2">
        <v>3266</v>
      </c>
    </row>
    <row r="668" spans="1:15" x14ac:dyDescent="0.35">
      <c r="A668" s="2">
        <v>6962181067</v>
      </c>
      <c r="B668" s="3">
        <v>42485</v>
      </c>
      <c r="C668" s="2">
        <v>9.2700004580000002</v>
      </c>
      <c r="D668" s="2">
        <v>9.0799999239999991</v>
      </c>
      <c r="E668" s="2">
        <v>2.7851750850000001</v>
      </c>
      <c r="F668" s="2">
        <v>3.0199999809999998</v>
      </c>
      <c r="G668" s="2">
        <v>1.6799999480000001</v>
      </c>
      <c r="H668" s="2">
        <v>4.4600000380000004</v>
      </c>
      <c r="I668" s="2">
        <v>0.10000000100000001</v>
      </c>
      <c r="J668" s="2">
        <v>35</v>
      </c>
      <c r="K668" s="2">
        <v>31</v>
      </c>
      <c r="L668" s="2">
        <v>282</v>
      </c>
      <c r="M668" s="2">
        <v>637</v>
      </c>
      <c r="N668" s="2">
        <v>13239</v>
      </c>
      <c r="O668" s="2">
        <v>2194</v>
      </c>
    </row>
    <row r="669" spans="1:15" x14ac:dyDescent="0.35">
      <c r="A669" s="2">
        <v>6775888955</v>
      </c>
      <c r="B669" s="3">
        <v>42477</v>
      </c>
      <c r="C669" s="2">
        <v>1.789999962</v>
      </c>
      <c r="D669" s="2">
        <v>1.789999962</v>
      </c>
      <c r="E669" s="2">
        <v>0</v>
      </c>
      <c r="F669" s="2">
        <v>0.34999999399999998</v>
      </c>
      <c r="G669" s="2">
        <v>1.1299999949999999</v>
      </c>
      <c r="H669" s="2">
        <v>0.310000002</v>
      </c>
      <c r="I669" s="2">
        <v>0</v>
      </c>
      <c r="J669" s="2">
        <v>5</v>
      </c>
      <c r="K669" s="2">
        <v>24</v>
      </c>
      <c r="L669" s="2">
        <v>19</v>
      </c>
      <c r="M669" s="2">
        <v>1392</v>
      </c>
      <c r="N669" s="2">
        <v>2497</v>
      </c>
      <c r="O669" s="2">
        <v>2067</v>
      </c>
    </row>
    <row r="670" spans="1:15" x14ac:dyDescent="0.35">
      <c r="A670" s="2">
        <v>4020332650</v>
      </c>
      <c r="B670" s="3">
        <v>42474</v>
      </c>
      <c r="C670" s="2">
        <v>7.9999998000000003E-2</v>
      </c>
      <c r="D670" s="2">
        <v>7.9999998000000003E-2</v>
      </c>
      <c r="E670" s="2">
        <v>0</v>
      </c>
      <c r="F670" s="2">
        <v>0</v>
      </c>
      <c r="G670" s="2">
        <v>0</v>
      </c>
      <c r="H670" s="2">
        <v>2.9999998999999999E-2</v>
      </c>
      <c r="I670" s="2">
        <v>0</v>
      </c>
      <c r="J670" s="2">
        <v>0</v>
      </c>
      <c r="K670" s="2">
        <v>0</v>
      </c>
      <c r="L670" s="2">
        <v>3</v>
      </c>
      <c r="M670" s="2">
        <v>1437</v>
      </c>
      <c r="N670" s="2">
        <v>108</v>
      </c>
      <c r="O670" s="2">
        <v>2011</v>
      </c>
    </row>
    <row r="671" spans="1:15" x14ac:dyDescent="0.35">
      <c r="A671" s="2">
        <v>4445114986</v>
      </c>
      <c r="B671" s="3">
        <v>42405</v>
      </c>
      <c r="C671" s="2">
        <v>4.75</v>
      </c>
      <c r="D671" s="2">
        <v>4.75</v>
      </c>
      <c r="E671" s="2">
        <v>0</v>
      </c>
      <c r="F671" s="2">
        <v>2.210000038</v>
      </c>
      <c r="G671" s="2">
        <v>0.189999998</v>
      </c>
      <c r="H671" s="2">
        <v>2.3499999049999998</v>
      </c>
      <c r="I671" s="2">
        <v>0</v>
      </c>
      <c r="J671" s="2">
        <v>27</v>
      </c>
      <c r="K671" s="2">
        <v>4</v>
      </c>
      <c r="L671" s="2">
        <v>200</v>
      </c>
      <c r="M671" s="2">
        <v>667</v>
      </c>
      <c r="N671" s="2">
        <v>6910</v>
      </c>
      <c r="O671" s="2">
        <v>2336</v>
      </c>
    </row>
    <row r="672" spans="1:15" x14ac:dyDescent="0.35">
      <c r="A672" s="2">
        <v>3977333714</v>
      </c>
      <c r="B672" s="3">
        <v>42481</v>
      </c>
      <c r="C672" s="2">
        <v>4.079999924</v>
      </c>
      <c r="D672" s="2">
        <v>4.079999924</v>
      </c>
      <c r="E672" s="2">
        <v>0</v>
      </c>
      <c r="F672" s="2">
        <v>0</v>
      </c>
      <c r="G672" s="2">
        <v>0</v>
      </c>
      <c r="H672" s="2">
        <v>4.0599999430000002</v>
      </c>
      <c r="I672" s="2">
        <v>0</v>
      </c>
      <c r="J672" s="2">
        <v>0</v>
      </c>
      <c r="K672" s="2">
        <v>0</v>
      </c>
      <c r="L672" s="2">
        <v>242</v>
      </c>
      <c r="M672" s="2">
        <v>712</v>
      </c>
      <c r="N672" s="2">
        <v>6093</v>
      </c>
      <c r="O672" s="2">
        <v>1397</v>
      </c>
    </row>
    <row r="673" spans="1:15" x14ac:dyDescent="0.35">
      <c r="A673" s="2">
        <v>2026352035</v>
      </c>
      <c r="B673" s="3">
        <v>42473</v>
      </c>
      <c r="C673" s="2">
        <v>3.0999999049999998</v>
      </c>
      <c r="D673" s="2">
        <v>3.0999999049999998</v>
      </c>
      <c r="E673" s="2">
        <v>0</v>
      </c>
      <c r="F673" s="2">
        <v>0</v>
      </c>
      <c r="G673" s="2">
        <v>0</v>
      </c>
      <c r="H673" s="2">
        <v>3.0999999049999998</v>
      </c>
      <c r="I673" s="2">
        <v>0</v>
      </c>
      <c r="J673" s="2">
        <v>0</v>
      </c>
      <c r="K673" s="2">
        <v>0</v>
      </c>
      <c r="L673" s="2">
        <v>238</v>
      </c>
      <c r="M673" s="2">
        <v>663</v>
      </c>
      <c r="N673" s="2">
        <v>4993</v>
      </c>
      <c r="O673" s="2">
        <v>1521</v>
      </c>
    </row>
    <row r="674" spans="1:15" x14ac:dyDescent="0.35">
      <c r="A674" s="2">
        <v>1927972279</v>
      </c>
      <c r="B674" s="3">
        <v>42708</v>
      </c>
      <c r="C674" s="2">
        <v>0.469999999</v>
      </c>
      <c r="D674" s="2">
        <v>0.469999999</v>
      </c>
      <c r="E674" s="2">
        <v>0</v>
      </c>
      <c r="F674" s="2">
        <v>0</v>
      </c>
      <c r="G674" s="2">
        <v>0</v>
      </c>
      <c r="H674" s="2">
        <v>0.469999999</v>
      </c>
      <c r="I674" s="2">
        <v>0</v>
      </c>
      <c r="J674" s="2">
        <v>0</v>
      </c>
      <c r="K674" s="2">
        <v>0</v>
      </c>
      <c r="L674" s="2">
        <v>55</v>
      </c>
      <c r="M674" s="2">
        <v>734</v>
      </c>
      <c r="N674" s="2">
        <v>678</v>
      </c>
      <c r="O674" s="2">
        <v>2220</v>
      </c>
    </row>
    <row r="675" spans="1:15" x14ac:dyDescent="0.35">
      <c r="A675" s="2">
        <v>8253242879</v>
      </c>
      <c r="B675" s="3">
        <v>42473</v>
      </c>
      <c r="C675" s="2">
        <v>6.0999999049999998</v>
      </c>
      <c r="D675" s="2">
        <v>6.0999999049999998</v>
      </c>
      <c r="E675" s="2">
        <v>0</v>
      </c>
      <c r="F675" s="2">
        <v>4.170000076</v>
      </c>
      <c r="G675" s="2">
        <v>0.62999999500000003</v>
      </c>
      <c r="H675" s="2">
        <v>1.309999943</v>
      </c>
      <c r="I675" s="2">
        <v>0</v>
      </c>
      <c r="J675" s="2">
        <v>35</v>
      </c>
      <c r="K675" s="2">
        <v>11</v>
      </c>
      <c r="L675" s="2">
        <v>96</v>
      </c>
      <c r="M675" s="2">
        <v>1298</v>
      </c>
      <c r="N675" s="2">
        <v>8053</v>
      </c>
      <c r="O675" s="2">
        <v>1935</v>
      </c>
    </row>
    <row r="676" spans="1:15" x14ac:dyDescent="0.35">
      <c r="A676" s="2">
        <v>6117666160</v>
      </c>
      <c r="B676" s="3">
        <v>42483</v>
      </c>
      <c r="C676" s="2">
        <v>8.6800003050000001</v>
      </c>
      <c r="D676" s="2">
        <v>8.6800003050000001</v>
      </c>
      <c r="E676" s="2">
        <v>0</v>
      </c>
      <c r="F676" s="2">
        <v>0</v>
      </c>
      <c r="G676" s="2">
        <v>0</v>
      </c>
      <c r="H676" s="2">
        <v>8.6800003050000001</v>
      </c>
      <c r="I676" s="2">
        <v>0</v>
      </c>
      <c r="J676" s="2">
        <v>0</v>
      </c>
      <c r="K676" s="2">
        <v>0</v>
      </c>
      <c r="L676" s="2">
        <v>512</v>
      </c>
      <c r="M676" s="2">
        <v>468</v>
      </c>
      <c r="N676" s="2">
        <v>11495</v>
      </c>
      <c r="O676" s="2">
        <v>2651</v>
      </c>
    </row>
    <row r="677" spans="1:15" x14ac:dyDescent="0.35">
      <c r="A677" s="2">
        <v>1927972279</v>
      </c>
      <c r="B677" s="3">
        <v>42405</v>
      </c>
      <c r="C677" s="2">
        <v>2.619999886</v>
      </c>
      <c r="D677" s="2">
        <v>2.619999886</v>
      </c>
      <c r="E677" s="2">
        <v>0</v>
      </c>
      <c r="F677" s="2">
        <v>1.1599999670000001</v>
      </c>
      <c r="G677" s="2">
        <v>0.30000001199999998</v>
      </c>
      <c r="H677" s="2">
        <v>1.1599999670000001</v>
      </c>
      <c r="I677" s="2">
        <v>0</v>
      </c>
      <c r="J677" s="2">
        <v>16</v>
      </c>
      <c r="K677" s="2">
        <v>8</v>
      </c>
      <c r="L677" s="2">
        <v>94</v>
      </c>
      <c r="M677" s="2">
        <v>1322</v>
      </c>
      <c r="N677" s="2">
        <v>3790</v>
      </c>
      <c r="O677" s="2">
        <v>2505</v>
      </c>
    </row>
    <row r="678" spans="1:15" x14ac:dyDescent="0.35">
      <c r="A678" s="2">
        <v>8792009665</v>
      </c>
      <c r="B678" s="3">
        <v>42374</v>
      </c>
      <c r="C678" s="2">
        <v>1.039999962</v>
      </c>
      <c r="D678" s="2">
        <v>1.039999962</v>
      </c>
      <c r="E678" s="2">
        <v>0</v>
      </c>
      <c r="F678" s="2">
        <v>0</v>
      </c>
      <c r="G678" s="2">
        <v>0</v>
      </c>
      <c r="H678" s="2">
        <v>1.039999962</v>
      </c>
      <c r="I678" s="2">
        <v>0</v>
      </c>
      <c r="J678" s="2">
        <v>0</v>
      </c>
      <c r="K678" s="2">
        <v>0</v>
      </c>
      <c r="L678" s="2">
        <v>79</v>
      </c>
      <c r="M678" s="2">
        <v>834</v>
      </c>
      <c r="N678" s="2">
        <v>1619</v>
      </c>
      <c r="O678" s="2">
        <v>1962</v>
      </c>
    </row>
    <row r="679" spans="1:15" x14ac:dyDescent="0.35">
      <c r="A679" s="2">
        <v>2026352035</v>
      </c>
      <c r="B679" s="3">
        <v>42484</v>
      </c>
      <c r="C679" s="2">
        <v>2.1600000860000002</v>
      </c>
      <c r="D679" s="2">
        <v>2.1600000860000002</v>
      </c>
      <c r="E679" s="2">
        <v>0</v>
      </c>
      <c r="F679" s="2">
        <v>0</v>
      </c>
      <c r="G679" s="2">
        <v>0</v>
      </c>
      <c r="H679" s="2">
        <v>2.1600000860000002</v>
      </c>
      <c r="I679" s="2">
        <v>0</v>
      </c>
      <c r="J679" s="2">
        <v>0</v>
      </c>
      <c r="K679" s="2">
        <v>0</v>
      </c>
      <c r="L679" s="2">
        <v>164</v>
      </c>
      <c r="M679" s="2">
        <v>704</v>
      </c>
      <c r="N679" s="2">
        <v>3490</v>
      </c>
      <c r="O679" s="2">
        <v>1401</v>
      </c>
    </row>
    <row r="680" spans="1:15" x14ac:dyDescent="0.35">
      <c r="A680" s="2">
        <v>6117666160</v>
      </c>
      <c r="B680" s="3">
        <v>42484</v>
      </c>
      <c r="C680" s="2">
        <v>5.7600002290000001</v>
      </c>
      <c r="D680" s="2">
        <v>5.7600002290000001</v>
      </c>
      <c r="E680" s="2">
        <v>0</v>
      </c>
      <c r="F680" s="2">
        <v>0</v>
      </c>
      <c r="G680" s="2">
        <v>0</v>
      </c>
      <c r="H680" s="2">
        <v>5.7600002290000001</v>
      </c>
      <c r="I680" s="2">
        <v>0</v>
      </c>
      <c r="J680" s="2">
        <v>0</v>
      </c>
      <c r="K680" s="2">
        <v>0</v>
      </c>
      <c r="L680" s="2">
        <v>362</v>
      </c>
      <c r="M680" s="2">
        <v>711</v>
      </c>
      <c r="N680" s="2">
        <v>7623</v>
      </c>
      <c r="O680" s="2">
        <v>2305</v>
      </c>
    </row>
    <row r="681" spans="1:15" x14ac:dyDescent="0.35">
      <c r="A681" s="2">
        <v>2873212765</v>
      </c>
      <c r="B681" s="3">
        <v>42486</v>
      </c>
      <c r="C681" s="2">
        <v>5.5399999619999996</v>
      </c>
      <c r="D681" s="2">
        <v>5.5399999619999996</v>
      </c>
      <c r="E681" s="2">
        <v>0</v>
      </c>
      <c r="F681" s="2">
        <v>0.119999997</v>
      </c>
      <c r="G681" s="2">
        <v>0.18000000699999999</v>
      </c>
      <c r="H681" s="2">
        <v>5.2399997709999999</v>
      </c>
      <c r="I681" s="2">
        <v>0</v>
      </c>
      <c r="J681" s="2">
        <v>2</v>
      </c>
      <c r="K681" s="2">
        <v>5</v>
      </c>
      <c r="L681" s="2">
        <v>309</v>
      </c>
      <c r="M681" s="2">
        <v>1124</v>
      </c>
      <c r="N681" s="2">
        <v>8242</v>
      </c>
      <c r="O681" s="2">
        <v>1882</v>
      </c>
    </row>
    <row r="682" spans="1:15" x14ac:dyDescent="0.35">
      <c r="A682" s="2">
        <v>2873212765</v>
      </c>
      <c r="B682" s="3">
        <v>42648</v>
      </c>
      <c r="C682" s="2">
        <v>5.5599999430000002</v>
      </c>
      <c r="D682" s="2">
        <v>5.5599999430000002</v>
      </c>
      <c r="E682" s="2">
        <v>0</v>
      </c>
      <c r="F682" s="2">
        <v>0</v>
      </c>
      <c r="G682" s="2">
        <v>0</v>
      </c>
      <c r="H682" s="2">
        <v>5.5500001909999996</v>
      </c>
      <c r="I682" s="2">
        <v>0.01</v>
      </c>
      <c r="J682" s="2">
        <v>0</v>
      </c>
      <c r="K682" s="2">
        <v>0</v>
      </c>
      <c r="L682" s="2">
        <v>373</v>
      </c>
      <c r="M682" s="2">
        <v>1067</v>
      </c>
      <c r="N682" s="2">
        <v>8275</v>
      </c>
      <c r="O682" s="2">
        <v>1962</v>
      </c>
    </row>
    <row r="683" spans="1:15" x14ac:dyDescent="0.35">
      <c r="A683" s="2">
        <v>4319703577</v>
      </c>
      <c r="B683" s="3">
        <v>42374</v>
      </c>
      <c r="C683" s="2">
        <v>0.83999997400000004</v>
      </c>
      <c r="D683" s="2">
        <v>0.83999997400000004</v>
      </c>
      <c r="E683" s="2">
        <v>0</v>
      </c>
      <c r="F683" s="2">
        <v>0</v>
      </c>
      <c r="G683" s="2">
        <v>0</v>
      </c>
      <c r="H683" s="2">
        <v>0.83999997400000004</v>
      </c>
      <c r="I683" s="2">
        <v>0</v>
      </c>
      <c r="J683" s="2">
        <v>0</v>
      </c>
      <c r="K683" s="2">
        <v>0</v>
      </c>
      <c r="L683" s="2">
        <v>67</v>
      </c>
      <c r="M683" s="2">
        <v>836</v>
      </c>
      <c r="N683" s="2">
        <v>1251</v>
      </c>
      <c r="O683" s="2">
        <v>1593</v>
      </c>
    </row>
    <row r="684" spans="1:15" x14ac:dyDescent="0.35">
      <c r="A684" s="2">
        <v>1844505072</v>
      </c>
      <c r="B684" s="3">
        <v>42709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711</v>
      </c>
      <c r="N684" s="2">
        <v>0</v>
      </c>
      <c r="O684" s="2">
        <v>665</v>
      </c>
    </row>
    <row r="685" spans="1:15" x14ac:dyDescent="0.35">
      <c r="A685" s="2">
        <v>2022484408</v>
      </c>
      <c r="B685" s="3">
        <v>42679</v>
      </c>
      <c r="C685" s="2">
        <v>9.3199996949999999</v>
      </c>
      <c r="D685" s="2">
        <v>9.3199996949999999</v>
      </c>
      <c r="E685" s="2">
        <v>0</v>
      </c>
      <c r="F685" s="2">
        <v>4.1799998279999997</v>
      </c>
      <c r="G685" s="2">
        <v>1.1499999759999999</v>
      </c>
      <c r="H685" s="2">
        <v>3.9900000100000002</v>
      </c>
      <c r="I685" s="2">
        <v>0</v>
      </c>
      <c r="J685" s="2">
        <v>58</v>
      </c>
      <c r="K685" s="2">
        <v>25</v>
      </c>
      <c r="L685" s="2">
        <v>224</v>
      </c>
      <c r="M685" s="2">
        <v>1133</v>
      </c>
      <c r="N685" s="2">
        <v>13272</v>
      </c>
      <c r="O685" s="2">
        <v>2544</v>
      </c>
    </row>
    <row r="686" spans="1:15" x14ac:dyDescent="0.35">
      <c r="A686" s="2">
        <v>2026352035</v>
      </c>
      <c r="B686" s="3">
        <v>42489</v>
      </c>
      <c r="C686" s="2">
        <v>4.7100000380000004</v>
      </c>
      <c r="D686" s="2">
        <v>4.7100000380000004</v>
      </c>
      <c r="E686" s="2">
        <v>0</v>
      </c>
      <c r="F686" s="2">
        <v>0</v>
      </c>
      <c r="G686" s="2">
        <v>0</v>
      </c>
      <c r="H686" s="2">
        <v>4.7100000380000004</v>
      </c>
      <c r="I686" s="2">
        <v>0</v>
      </c>
      <c r="J686" s="2">
        <v>0</v>
      </c>
      <c r="K686" s="2">
        <v>0</v>
      </c>
      <c r="L686" s="2">
        <v>352</v>
      </c>
      <c r="M686" s="2">
        <v>492</v>
      </c>
      <c r="N686" s="2">
        <v>7604</v>
      </c>
      <c r="O686" s="2">
        <v>1692</v>
      </c>
    </row>
    <row r="687" spans="1:15" x14ac:dyDescent="0.35">
      <c r="A687" s="2">
        <v>4388161847</v>
      </c>
      <c r="B687" s="3">
        <v>42587</v>
      </c>
      <c r="C687" s="2">
        <v>14.380000109999999</v>
      </c>
      <c r="D687" s="2">
        <v>14.380000109999999</v>
      </c>
      <c r="E687" s="2">
        <v>0</v>
      </c>
      <c r="F687" s="2">
        <v>9.8900003430000005</v>
      </c>
      <c r="G687" s="2">
        <v>1.2599999900000001</v>
      </c>
      <c r="H687" s="2">
        <v>3.2300000190000002</v>
      </c>
      <c r="I687" s="2">
        <v>0</v>
      </c>
      <c r="J687" s="2">
        <v>107</v>
      </c>
      <c r="K687" s="2">
        <v>38</v>
      </c>
      <c r="L687" s="2">
        <v>178</v>
      </c>
      <c r="M687" s="2">
        <v>576</v>
      </c>
      <c r="N687" s="2">
        <v>17298</v>
      </c>
      <c r="O687" s="2">
        <v>3934</v>
      </c>
    </row>
    <row r="688" spans="1:15" x14ac:dyDescent="0.35">
      <c r="A688" s="2">
        <v>2320127002</v>
      </c>
      <c r="B688" s="3">
        <v>42709</v>
      </c>
      <c r="C688" s="2">
        <v>1.789999962</v>
      </c>
      <c r="D688" s="2">
        <v>1.789999962</v>
      </c>
      <c r="E688" s="2">
        <v>0</v>
      </c>
      <c r="F688" s="2">
        <v>0</v>
      </c>
      <c r="G688" s="2">
        <v>0</v>
      </c>
      <c r="H688" s="2">
        <v>1.789999962</v>
      </c>
      <c r="I688" s="2">
        <v>0</v>
      </c>
      <c r="J688" s="2">
        <v>0</v>
      </c>
      <c r="K688" s="2">
        <v>0</v>
      </c>
      <c r="L688" s="2">
        <v>128</v>
      </c>
      <c r="M688" s="2">
        <v>830</v>
      </c>
      <c r="N688" s="2">
        <v>2661</v>
      </c>
      <c r="O688" s="2">
        <v>1125</v>
      </c>
    </row>
    <row r="689" spans="1:15" x14ac:dyDescent="0.35">
      <c r="A689" s="2">
        <v>4388161847</v>
      </c>
      <c r="B689" s="3">
        <v>42475</v>
      </c>
      <c r="C689" s="2">
        <v>6.7300000190000002</v>
      </c>
      <c r="D689" s="2">
        <v>6.7300000190000002</v>
      </c>
      <c r="E689" s="2">
        <v>0</v>
      </c>
      <c r="F689" s="2">
        <v>0</v>
      </c>
      <c r="G689" s="2">
        <v>0</v>
      </c>
      <c r="H689" s="2">
        <v>6.7300000190000002</v>
      </c>
      <c r="I689" s="2">
        <v>0</v>
      </c>
      <c r="J689" s="2">
        <v>0</v>
      </c>
      <c r="K689" s="2">
        <v>0</v>
      </c>
      <c r="L689" s="2">
        <v>299</v>
      </c>
      <c r="M689" s="2">
        <v>837</v>
      </c>
      <c r="N689" s="2">
        <v>8758</v>
      </c>
      <c r="O689" s="2">
        <v>3066</v>
      </c>
    </row>
    <row r="690" spans="1:15" x14ac:dyDescent="0.35">
      <c r="A690" s="2">
        <v>7007744171</v>
      </c>
      <c r="B690" s="3">
        <v>42479</v>
      </c>
      <c r="C690" s="2">
        <v>10.47999954</v>
      </c>
      <c r="D690" s="2">
        <v>9.5</v>
      </c>
      <c r="E690" s="2">
        <v>4.9421420100000004</v>
      </c>
      <c r="F690" s="2">
        <v>4.4099998469999999</v>
      </c>
      <c r="G690" s="2">
        <v>0.75999998999999996</v>
      </c>
      <c r="H690" s="2">
        <v>5.3099999430000002</v>
      </c>
      <c r="I690" s="2">
        <v>0</v>
      </c>
      <c r="J690" s="2">
        <v>53</v>
      </c>
      <c r="K690" s="2">
        <v>17</v>
      </c>
      <c r="L690" s="2">
        <v>304</v>
      </c>
      <c r="M690" s="2">
        <v>1066</v>
      </c>
      <c r="N690" s="2">
        <v>14194</v>
      </c>
      <c r="O690" s="2">
        <v>2812</v>
      </c>
    </row>
    <row r="691" spans="1:15" x14ac:dyDescent="0.35">
      <c r="A691" s="2">
        <v>7007744171</v>
      </c>
      <c r="B691" s="3">
        <v>42482</v>
      </c>
      <c r="C691" s="2">
        <v>10.239999770000001</v>
      </c>
      <c r="D691" s="2">
        <v>10.239999770000001</v>
      </c>
      <c r="E691" s="2">
        <v>0</v>
      </c>
      <c r="F691" s="2">
        <v>4.0999999049999998</v>
      </c>
      <c r="G691" s="2">
        <v>1.7599999900000001</v>
      </c>
      <c r="H691" s="2">
        <v>4.3699998860000004</v>
      </c>
      <c r="I691" s="2">
        <v>0</v>
      </c>
      <c r="J691" s="2">
        <v>64</v>
      </c>
      <c r="K691" s="2">
        <v>50</v>
      </c>
      <c r="L691" s="2">
        <v>261</v>
      </c>
      <c r="M691" s="2">
        <v>1065</v>
      </c>
      <c r="N691" s="2">
        <v>15299</v>
      </c>
      <c r="O691" s="2">
        <v>2889</v>
      </c>
    </row>
    <row r="692" spans="1:15" x14ac:dyDescent="0.35">
      <c r="A692" s="2">
        <v>8378563200</v>
      </c>
      <c r="B692" s="3">
        <v>42486</v>
      </c>
      <c r="C692" s="2">
        <v>12.850000380000001</v>
      </c>
      <c r="D692" s="2">
        <v>12.850000380000001</v>
      </c>
      <c r="E692" s="2">
        <v>0</v>
      </c>
      <c r="F692" s="2">
        <v>7.5100002290000001</v>
      </c>
      <c r="G692" s="2">
        <v>0.920000017</v>
      </c>
      <c r="H692" s="2">
        <v>4.420000076</v>
      </c>
      <c r="I692" s="2">
        <v>0</v>
      </c>
      <c r="J692" s="2">
        <v>90</v>
      </c>
      <c r="K692" s="2">
        <v>18</v>
      </c>
      <c r="L692" s="2">
        <v>161</v>
      </c>
      <c r="M692" s="2">
        <v>593</v>
      </c>
      <c r="N692" s="2">
        <v>16208</v>
      </c>
      <c r="O692" s="2">
        <v>3763</v>
      </c>
    </row>
    <row r="693" spans="1:15" x14ac:dyDescent="0.35">
      <c r="A693" s="2">
        <v>1927972279</v>
      </c>
      <c r="B693" s="3">
        <v>42478</v>
      </c>
      <c r="C693" s="2">
        <v>0.17000000200000001</v>
      </c>
      <c r="D693" s="2">
        <v>0.17000000200000001</v>
      </c>
      <c r="E693" s="2">
        <v>0</v>
      </c>
      <c r="F693" s="2">
        <v>0</v>
      </c>
      <c r="G693" s="2">
        <v>0</v>
      </c>
      <c r="H693" s="2">
        <v>0.17000000200000001</v>
      </c>
      <c r="I693" s="2">
        <v>0</v>
      </c>
      <c r="J693" s="2">
        <v>0</v>
      </c>
      <c r="K693" s="2">
        <v>0</v>
      </c>
      <c r="L693" s="2">
        <v>17</v>
      </c>
      <c r="M693" s="2">
        <v>1423</v>
      </c>
      <c r="N693" s="2">
        <v>244</v>
      </c>
      <c r="O693" s="2">
        <v>2111</v>
      </c>
    </row>
    <row r="694" spans="1:15" x14ac:dyDescent="0.35">
      <c r="A694" s="2">
        <v>6290855005</v>
      </c>
      <c r="B694" s="3">
        <v>42484</v>
      </c>
      <c r="C694" s="2">
        <v>4.4600000380000004</v>
      </c>
      <c r="D694" s="2">
        <v>4.4600000380000004</v>
      </c>
      <c r="E694" s="2">
        <v>0</v>
      </c>
      <c r="F694" s="2">
        <v>0</v>
      </c>
      <c r="G694" s="2">
        <v>0</v>
      </c>
      <c r="H694" s="2">
        <v>4.4600000380000004</v>
      </c>
      <c r="I694" s="2">
        <v>0</v>
      </c>
      <c r="J694" s="2">
        <v>0</v>
      </c>
      <c r="K694" s="2">
        <v>0</v>
      </c>
      <c r="L694" s="2">
        <v>258</v>
      </c>
      <c r="M694" s="2">
        <v>1182</v>
      </c>
      <c r="N694" s="2">
        <v>5896</v>
      </c>
      <c r="O694" s="2">
        <v>2703</v>
      </c>
    </row>
    <row r="695" spans="1:15" x14ac:dyDescent="0.35">
      <c r="A695" s="2">
        <v>4319703577</v>
      </c>
      <c r="B695" s="3">
        <v>42434</v>
      </c>
      <c r="C695" s="2">
        <v>6.4699997900000001</v>
      </c>
      <c r="D695" s="2">
        <v>6.4699997900000001</v>
      </c>
      <c r="E695" s="2">
        <v>0</v>
      </c>
      <c r="F695" s="2">
        <v>0.579999983</v>
      </c>
      <c r="G695" s="2">
        <v>1.0700000519999999</v>
      </c>
      <c r="H695" s="2">
        <v>4.829999924</v>
      </c>
      <c r="I695" s="2">
        <v>0</v>
      </c>
      <c r="J695" s="2">
        <v>8</v>
      </c>
      <c r="K695" s="2">
        <v>26</v>
      </c>
      <c r="L695" s="2">
        <v>287</v>
      </c>
      <c r="M695" s="2">
        <v>669</v>
      </c>
      <c r="N695" s="2">
        <v>9648</v>
      </c>
      <c r="O695" s="2">
        <v>2235</v>
      </c>
    </row>
    <row r="696" spans="1:15" x14ac:dyDescent="0.35">
      <c r="A696" s="2">
        <v>7007744171</v>
      </c>
      <c r="B696" s="3">
        <v>42556</v>
      </c>
      <c r="C696" s="2">
        <v>0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111</v>
      </c>
      <c r="N696" s="2">
        <v>0</v>
      </c>
      <c r="O696" s="2">
        <v>120</v>
      </c>
    </row>
    <row r="697" spans="1:15" x14ac:dyDescent="0.35">
      <c r="A697" s="2">
        <v>7007744171</v>
      </c>
      <c r="B697" s="3">
        <v>42484</v>
      </c>
      <c r="C697" s="2">
        <v>7.420000076</v>
      </c>
      <c r="D697" s="2">
        <v>7.420000076</v>
      </c>
      <c r="E697" s="2">
        <v>0</v>
      </c>
      <c r="F697" s="2">
        <v>0</v>
      </c>
      <c r="G697" s="2">
        <v>0</v>
      </c>
      <c r="H697" s="2">
        <v>7.420000076</v>
      </c>
      <c r="I697" s="2">
        <v>0</v>
      </c>
      <c r="J697" s="2">
        <v>0</v>
      </c>
      <c r="K697" s="2">
        <v>0</v>
      </c>
      <c r="L697" s="2">
        <v>419</v>
      </c>
      <c r="M697" s="2">
        <v>1021</v>
      </c>
      <c r="N697" s="2">
        <v>11085</v>
      </c>
      <c r="O697" s="2">
        <v>2667</v>
      </c>
    </row>
    <row r="698" spans="1:15" x14ac:dyDescent="0.35">
      <c r="A698" s="2">
        <v>8792009665</v>
      </c>
      <c r="B698" s="3">
        <v>42495</v>
      </c>
      <c r="C698" s="2">
        <v>0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  <c r="J698" s="2">
        <v>0</v>
      </c>
      <c r="K698" s="2">
        <v>0</v>
      </c>
      <c r="L698" s="2">
        <v>0</v>
      </c>
      <c r="M698" s="2">
        <v>1440</v>
      </c>
      <c r="N698" s="2">
        <v>0</v>
      </c>
      <c r="O698" s="2">
        <v>1688</v>
      </c>
    </row>
    <row r="699" spans="1:15" x14ac:dyDescent="0.35">
      <c r="A699" s="2">
        <v>2320127002</v>
      </c>
      <c r="B699" s="3">
        <v>42475</v>
      </c>
      <c r="C699" s="2">
        <v>3.5099999899999998</v>
      </c>
      <c r="D699" s="2">
        <v>3.5099999899999998</v>
      </c>
      <c r="E699" s="2">
        <v>0</v>
      </c>
      <c r="F699" s="2">
        <v>0</v>
      </c>
      <c r="G699" s="2">
        <v>0</v>
      </c>
      <c r="H699" s="2">
        <v>3.5099999899999998</v>
      </c>
      <c r="I699" s="2">
        <v>0</v>
      </c>
      <c r="J699" s="2">
        <v>0</v>
      </c>
      <c r="K699" s="2">
        <v>0</v>
      </c>
      <c r="L699" s="2">
        <v>245</v>
      </c>
      <c r="M699" s="2">
        <v>1195</v>
      </c>
      <c r="N699" s="2">
        <v>5205</v>
      </c>
      <c r="O699" s="2">
        <v>1801</v>
      </c>
    </row>
    <row r="700" spans="1:15" x14ac:dyDescent="0.35">
      <c r="A700" s="2">
        <v>6290855005</v>
      </c>
      <c r="B700" s="3">
        <v>42488</v>
      </c>
      <c r="C700" s="2">
        <v>4.329999924</v>
      </c>
      <c r="D700" s="2">
        <v>4.329999924</v>
      </c>
      <c r="E700" s="2">
        <v>0</v>
      </c>
      <c r="F700" s="2">
        <v>0</v>
      </c>
      <c r="G700" s="2">
        <v>0</v>
      </c>
      <c r="H700" s="2">
        <v>4.329999924</v>
      </c>
      <c r="I700" s="2">
        <v>0</v>
      </c>
      <c r="J700" s="2">
        <v>0</v>
      </c>
      <c r="K700" s="2">
        <v>0</v>
      </c>
      <c r="L700" s="2">
        <v>255</v>
      </c>
      <c r="M700" s="2">
        <v>1185</v>
      </c>
      <c r="N700" s="2">
        <v>5731</v>
      </c>
      <c r="O700" s="2">
        <v>2687</v>
      </c>
    </row>
    <row r="701" spans="1:15" x14ac:dyDescent="0.35">
      <c r="A701" s="2">
        <v>8583815059</v>
      </c>
      <c r="B701" s="3">
        <v>42481</v>
      </c>
      <c r="C701" s="2">
        <v>6.6599998469999999</v>
      </c>
      <c r="D701" s="2">
        <v>6.6599998469999999</v>
      </c>
      <c r="E701" s="2">
        <v>0</v>
      </c>
      <c r="F701" s="2">
        <v>2.630000114</v>
      </c>
      <c r="G701" s="2">
        <v>1.019999981</v>
      </c>
      <c r="H701" s="2">
        <v>3.0099999899999998</v>
      </c>
      <c r="I701" s="2">
        <v>0</v>
      </c>
      <c r="J701" s="2">
        <v>35</v>
      </c>
      <c r="K701" s="2">
        <v>18</v>
      </c>
      <c r="L701" s="2">
        <v>158</v>
      </c>
      <c r="M701" s="2">
        <v>1229</v>
      </c>
      <c r="N701" s="2">
        <v>8538</v>
      </c>
      <c r="O701" s="2">
        <v>2883</v>
      </c>
    </row>
    <row r="702" spans="1:15" x14ac:dyDescent="0.35">
      <c r="A702" s="2">
        <v>6962181067</v>
      </c>
      <c r="B702" s="3">
        <v>42556</v>
      </c>
      <c r="C702" s="2">
        <v>4.5</v>
      </c>
      <c r="D702" s="2">
        <v>4.5</v>
      </c>
      <c r="E702" s="2">
        <v>0</v>
      </c>
      <c r="F702" s="2">
        <v>0</v>
      </c>
      <c r="G702" s="2">
        <v>0</v>
      </c>
      <c r="H702" s="2">
        <v>4.5</v>
      </c>
      <c r="I702" s="2">
        <v>0</v>
      </c>
      <c r="J702" s="2">
        <v>0</v>
      </c>
      <c r="K702" s="2">
        <v>0</v>
      </c>
      <c r="L702" s="2">
        <v>328</v>
      </c>
      <c r="M702" s="2">
        <v>745</v>
      </c>
      <c r="N702" s="2">
        <v>6815</v>
      </c>
      <c r="O702" s="2">
        <v>1947</v>
      </c>
    </row>
    <row r="703" spans="1:15" x14ac:dyDescent="0.35">
      <c r="A703" s="2">
        <v>7086361926</v>
      </c>
      <c r="B703" s="3">
        <v>42374</v>
      </c>
      <c r="C703" s="2">
        <v>8.0699996949999999</v>
      </c>
      <c r="D703" s="2">
        <v>8.0699996949999999</v>
      </c>
      <c r="E703" s="2">
        <v>0</v>
      </c>
      <c r="F703" s="2">
        <v>2.2999999519999998</v>
      </c>
      <c r="G703" s="2">
        <v>0.89999997600000003</v>
      </c>
      <c r="H703" s="2">
        <v>4.8499999049999998</v>
      </c>
      <c r="I703" s="2">
        <v>0</v>
      </c>
      <c r="J703" s="2">
        <v>30</v>
      </c>
      <c r="K703" s="2">
        <v>15</v>
      </c>
      <c r="L703" s="2">
        <v>258</v>
      </c>
      <c r="M703" s="2">
        <v>685</v>
      </c>
      <c r="N703" s="2">
        <v>12390</v>
      </c>
      <c r="O703" s="2">
        <v>2730</v>
      </c>
    </row>
    <row r="704" spans="1:15" x14ac:dyDescent="0.35">
      <c r="A704" s="2">
        <v>8583815059</v>
      </c>
      <c r="B704" s="3">
        <v>42484</v>
      </c>
      <c r="C704" s="2">
        <v>6.4600000380000004</v>
      </c>
      <c r="D704" s="2">
        <v>6.4600000380000004</v>
      </c>
      <c r="E704" s="2">
        <v>0</v>
      </c>
      <c r="F704" s="2">
        <v>0.15000000599999999</v>
      </c>
      <c r="G704" s="2">
        <v>2.0499999519999998</v>
      </c>
      <c r="H704" s="2">
        <v>4.2699999809999998</v>
      </c>
      <c r="I704" s="2">
        <v>0</v>
      </c>
      <c r="J704" s="2">
        <v>2</v>
      </c>
      <c r="K704" s="2">
        <v>44</v>
      </c>
      <c r="L704" s="2">
        <v>206</v>
      </c>
      <c r="M704" s="2">
        <v>1188</v>
      </c>
      <c r="N704" s="2">
        <v>8286</v>
      </c>
      <c r="O704" s="2">
        <v>2889</v>
      </c>
    </row>
    <row r="705" spans="1:15" x14ac:dyDescent="0.35">
      <c r="A705" s="2">
        <v>6117666160</v>
      </c>
      <c r="B705" s="3">
        <v>42618</v>
      </c>
      <c r="C705" s="2">
        <v>3.380000114</v>
      </c>
      <c r="D705" s="2">
        <v>3.380000114</v>
      </c>
      <c r="E705" s="2">
        <v>0</v>
      </c>
      <c r="F705" s="2">
        <v>0</v>
      </c>
      <c r="G705" s="2">
        <v>0</v>
      </c>
      <c r="H705" s="2">
        <v>3.380000114</v>
      </c>
      <c r="I705" s="2">
        <v>0</v>
      </c>
      <c r="J705" s="2">
        <v>0</v>
      </c>
      <c r="K705" s="2">
        <v>0</v>
      </c>
      <c r="L705" s="2">
        <v>197</v>
      </c>
      <c r="M705" s="2">
        <v>125</v>
      </c>
      <c r="N705" s="2">
        <v>4477</v>
      </c>
      <c r="O705" s="2">
        <v>1248</v>
      </c>
    </row>
    <row r="706" spans="1:15" x14ac:dyDescent="0.35">
      <c r="A706" s="2">
        <v>8053475328</v>
      </c>
      <c r="B706" s="3">
        <v>42374</v>
      </c>
      <c r="C706" s="2">
        <v>0.85000002399999997</v>
      </c>
      <c r="D706" s="2">
        <v>0.85000002399999997</v>
      </c>
      <c r="E706" s="2">
        <v>0</v>
      </c>
      <c r="F706" s="2">
        <v>0</v>
      </c>
      <c r="G706" s="2">
        <v>0</v>
      </c>
      <c r="H706" s="2">
        <v>0.85000002399999997</v>
      </c>
      <c r="I706" s="2">
        <v>0</v>
      </c>
      <c r="J706" s="2">
        <v>0</v>
      </c>
      <c r="K706" s="2">
        <v>0</v>
      </c>
      <c r="L706" s="2">
        <v>51</v>
      </c>
      <c r="M706" s="2">
        <v>1389</v>
      </c>
      <c r="N706" s="2">
        <v>1170</v>
      </c>
      <c r="O706" s="2">
        <v>1886</v>
      </c>
    </row>
    <row r="707" spans="1:15" x14ac:dyDescent="0.35">
      <c r="A707" s="2">
        <v>7007744171</v>
      </c>
      <c r="B707" s="3">
        <v>42474</v>
      </c>
      <c r="C707" s="2">
        <v>8.2399997710000008</v>
      </c>
      <c r="D707" s="2">
        <v>7.4800000190000002</v>
      </c>
      <c r="E707" s="2">
        <v>3.2854149339999998</v>
      </c>
      <c r="F707" s="2">
        <v>2.9500000480000002</v>
      </c>
      <c r="G707" s="2">
        <v>0.34000000400000002</v>
      </c>
      <c r="H707" s="2">
        <v>4.9600000380000004</v>
      </c>
      <c r="I707" s="2">
        <v>0</v>
      </c>
      <c r="J707" s="2">
        <v>34</v>
      </c>
      <c r="K707" s="2">
        <v>6</v>
      </c>
      <c r="L707" s="2">
        <v>304</v>
      </c>
      <c r="M707" s="2">
        <v>1096</v>
      </c>
      <c r="N707" s="2">
        <v>11179</v>
      </c>
      <c r="O707" s="2">
        <v>2668</v>
      </c>
    </row>
    <row r="708" spans="1:15" x14ac:dyDescent="0.35">
      <c r="A708" s="2">
        <v>4319703577</v>
      </c>
      <c r="B708" s="3">
        <v>42477</v>
      </c>
      <c r="C708" s="2">
        <v>0.02</v>
      </c>
      <c r="D708" s="2">
        <v>0.02</v>
      </c>
      <c r="E708" s="2">
        <v>0</v>
      </c>
      <c r="F708" s="2">
        <v>0</v>
      </c>
      <c r="G708" s="2">
        <v>0</v>
      </c>
      <c r="H708" s="2">
        <v>0.02</v>
      </c>
      <c r="I708" s="2">
        <v>0</v>
      </c>
      <c r="J708" s="2">
        <v>0</v>
      </c>
      <c r="K708" s="2">
        <v>0</v>
      </c>
      <c r="L708" s="2">
        <v>3</v>
      </c>
      <c r="M708" s="2">
        <v>1363</v>
      </c>
      <c r="N708" s="2">
        <v>29</v>
      </c>
      <c r="O708" s="2">
        <v>1464</v>
      </c>
    </row>
    <row r="709" spans="1:15" x14ac:dyDescent="0.35">
      <c r="A709" s="2">
        <v>8877689391</v>
      </c>
      <c r="B709" s="3">
        <v>42475</v>
      </c>
      <c r="C709" s="2">
        <v>7.170000076</v>
      </c>
      <c r="D709" s="2">
        <v>7.170000076</v>
      </c>
      <c r="E709" s="2">
        <v>0</v>
      </c>
      <c r="F709" s="2">
        <v>5.0000001000000002E-2</v>
      </c>
      <c r="G709" s="2">
        <v>5.0000001000000002E-2</v>
      </c>
      <c r="H709" s="2">
        <v>7.0100002290000001</v>
      </c>
      <c r="I709" s="2">
        <v>0.01</v>
      </c>
      <c r="J709" s="2">
        <v>106</v>
      </c>
      <c r="K709" s="2">
        <v>1</v>
      </c>
      <c r="L709" s="2">
        <v>281</v>
      </c>
      <c r="M709" s="2">
        <v>1052</v>
      </c>
      <c r="N709" s="2">
        <v>13422</v>
      </c>
      <c r="O709" s="2">
        <v>3934</v>
      </c>
    </row>
    <row r="710" spans="1:15" x14ac:dyDescent="0.35">
      <c r="A710" s="2">
        <v>4702921684</v>
      </c>
      <c r="B710" s="3">
        <v>42476</v>
      </c>
      <c r="C710" s="2">
        <v>9.0299997330000004</v>
      </c>
      <c r="D710" s="2">
        <v>9.0299997330000004</v>
      </c>
      <c r="E710" s="2">
        <v>0</v>
      </c>
      <c r="F710" s="2">
        <v>0.23999999499999999</v>
      </c>
      <c r="G710" s="2">
        <v>1.25</v>
      </c>
      <c r="H710" s="2">
        <v>7.5399999619999996</v>
      </c>
      <c r="I710" s="2">
        <v>0</v>
      </c>
      <c r="J710" s="2">
        <v>3</v>
      </c>
      <c r="K710" s="2">
        <v>24</v>
      </c>
      <c r="L710" s="2">
        <v>335</v>
      </c>
      <c r="M710" s="2">
        <v>556</v>
      </c>
      <c r="N710" s="2">
        <v>11140</v>
      </c>
      <c r="O710" s="2">
        <v>3328</v>
      </c>
    </row>
    <row r="711" spans="1:15" x14ac:dyDescent="0.35">
      <c r="A711" s="2">
        <v>2873212765</v>
      </c>
      <c r="B711" s="3">
        <v>42474</v>
      </c>
      <c r="C711" s="2">
        <v>5.3200001720000003</v>
      </c>
      <c r="D711" s="2">
        <v>5.3200001720000003</v>
      </c>
      <c r="E711" s="2">
        <v>0</v>
      </c>
      <c r="F711" s="2">
        <v>0</v>
      </c>
      <c r="G711" s="2">
        <v>0</v>
      </c>
      <c r="H711" s="2">
        <v>5.3200001720000003</v>
      </c>
      <c r="I711" s="2">
        <v>0</v>
      </c>
      <c r="J711" s="2">
        <v>0</v>
      </c>
      <c r="K711" s="2">
        <v>0</v>
      </c>
      <c r="L711" s="2">
        <v>331</v>
      </c>
      <c r="M711" s="2">
        <v>1109</v>
      </c>
      <c r="N711" s="2">
        <v>7910</v>
      </c>
      <c r="O711" s="2">
        <v>1893</v>
      </c>
    </row>
    <row r="712" spans="1:15" x14ac:dyDescent="0.35">
      <c r="A712" s="2">
        <v>8877689391</v>
      </c>
      <c r="B712" s="3">
        <v>42480</v>
      </c>
      <c r="C712" s="2">
        <v>18.11000061</v>
      </c>
      <c r="D712" s="2">
        <v>18.11000061</v>
      </c>
      <c r="E712" s="2">
        <v>0</v>
      </c>
      <c r="F712" s="2">
        <v>11.02000046</v>
      </c>
      <c r="G712" s="2">
        <v>0.689999998</v>
      </c>
      <c r="H712" s="2">
        <v>6.3400001530000001</v>
      </c>
      <c r="I712" s="2">
        <v>0</v>
      </c>
      <c r="J712" s="2">
        <v>73</v>
      </c>
      <c r="K712" s="2">
        <v>19</v>
      </c>
      <c r="L712" s="2">
        <v>225</v>
      </c>
      <c r="M712" s="2">
        <v>1123</v>
      </c>
      <c r="N712" s="2">
        <v>19948</v>
      </c>
      <c r="O712" s="2">
        <v>3679</v>
      </c>
    </row>
    <row r="713" spans="1:15" x14ac:dyDescent="0.35">
      <c r="A713" s="2">
        <v>4388161847</v>
      </c>
      <c r="B713" s="3">
        <v>42679</v>
      </c>
      <c r="C713" s="2">
        <v>7.8400001530000001</v>
      </c>
      <c r="D713" s="2">
        <v>7.8400001530000001</v>
      </c>
      <c r="E713" s="2">
        <v>0</v>
      </c>
      <c r="F713" s="2">
        <v>0.52999997099999996</v>
      </c>
      <c r="G713" s="2">
        <v>0.790000021</v>
      </c>
      <c r="H713" s="2">
        <v>6.5300002099999999</v>
      </c>
      <c r="I713" s="2">
        <v>0</v>
      </c>
      <c r="J713" s="2">
        <v>8</v>
      </c>
      <c r="K713" s="2">
        <v>18</v>
      </c>
      <c r="L713" s="2">
        <v>256</v>
      </c>
      <c r="M713" s="2">
        <v>858</v>
      </c>
      <c r="N713" s="2">
        <v>10201</v>
      </c>
      <c r="O713" s="2">
        <v>2954</v>
      </c>
    </row>
    <row r="714" spans="1:15" x14ac:dyDescent="0.35">
      <c r="A714" s="2">
        <v>4558609924</v>
      </c>
      <c r="B714" s="3">
        <v>42465</v>
      </c>
      <c r="C714" s="2">
        <v>3.460000038</v>
      </c>
      <c r="D714" s="2">
        <v>3.460000038</v>
      </c>
      <c r="E714" s="2">
        <v>0</v>
      </c>
      <c r="F714" s="2">
        <v>0</v>
      </c>
      <c r="G714" s="2">
        <v>0</v>
      </c>
      <c r="H714" s="2">
        <v>3.460000038</v>
      </c>
      <c r="I714" s="2">
        <v>0</v>
      </c>
      <c r="J714" s="2">
        <v>0</v>
      </c>
      <c r="K714" s="2">
        <v>0</v>
      </c>
      <c r="L714" s="2">
        <v>252</v>
      </c>
      <c r="M714" s="2">
        <v>1188</v>
      </c>
      <c r="N714" s="2">
        <v>5232</v>
      </c>
      <c r="O714" s="2">
        <v>1842</v>
      </c>
    </row>
    <row r="715" spans="1:15" x14ac:dyDescent="0.35">
      <c r="A715" s="2">
        <v>1844505072</v>
      </c>
      <c r="B715" s="3">
        <v>42405</v>
      </c>
      <c r="C715" s="2">
        <v>0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2">
        <v>0</v>
      </c>
      <c r="J715" s="2">
        <v>0</v>
      </c>
      <c r="K715" s="2">
        <v>0</v>
      </c>
      <c r="L715" s="2">
        <v>0</v>
      </c>
      <c r="M715" s="2">
        <v>1440</v>
      </c>
      <c r="N715" s="2">
        <v>0</v>
      </c>
      <c r="O715" s="2">
        <v>1348</v>
      </c>
    </row>
    <row r="716" spans="1:15" x14ac:dyDescent="0.35">
      <c r="A716" s="2">
        <v>6962181067</v>
      </c>
      <c r="B716" s="3">
        <v>42483</v>
      </c>
      <c r="C716" s="2">
        <v>13.239999770000001</v>
      </c>
      <c r="D716" s="2">
        <v>13.239999770000001</v>
      </c>
      <c r="E716" s="2">
        <v>0</v>
      </c>
      <c r="F716" s="2">
        <v>4.1999998090000004</v>
      </c>
      <c r="G716" s="2">
        <v>2</v>
      </c>
      <c r="H716" s="2">
        <v>7.0399999619999996</v>
      </c>
      <c r="I716" s="2">
        <v>0</v>
      </c>
      <c r="J716" s="2">
        <v>58</v>
      </c>
      <c r="K716" s="2">
        <v>41</v>
      </c>
      <c r="L716" s="2">
        <v>347</v>
      </c>
      <c r="M716" s="2">
        <v>484</v>
      </c>
      <c r="N716" s="2">
        <v>20031</v>
      </c>
      <c r="O716" s="2">
        <v>2571</v>
      </c>
    </row>
    <row r="717" spans="1:15" x14ac:dyDescent="0.35">
      <c r="A717" s="2">
        <v>2320127002</v>
      </c>
      <c r="B717" s="3">
        <v>42488</v>
      </c>
      <c r="C717" s="2">
        <v>1.0299999710000001</v>
      </c>
      <c r="D717" s="2">
        <v>1.0299999710000001</v>
      </c>
      <c r="E717" s="2">
        <v>0</v>
      </c>
      <c r="F717" s="2">
        <v>0</v>
      </c>
      <c r="G717" s="2">
        <v>0</v>
      </c>
      <c r="H717" s="2">
        <v>1.0299999710000001</v>
      </c>
      <c r="I717" s="2">
        <v>0</v>
      </c>
      <c r="J717" s="2">
        <v>0</v>
      </c>
      <c r="K717" s="2">
        <v>0</v>
      </c>
      <c r="L717" s="2">
        <v>76</v>
      </c>
      <c r="M717" s="2">
        <v>1364</v>
      </c>
      <c r="N717" s="2">
        <v>1532</v>
      </c>
      <c r="O717" s="2">
        <v>1473</v>
      </c>
    </row>
    <row r="718" spans="1:15" x14ac:dyDescent="0.35">
      <c r="A718" s="2">
        <v>8253242879</v>
      </c>
      <c r="B718" s="3">
        <v>42489</v>
      </c>
      <c r="C718" s="2">
        <v>4.2600002290000001</v>
      </c>
      <c r="D718" s="2">
        <v>4.2600002290000001</v>
      </c>
      <c r="E718" s="2">
        <v>0</v>
      </c>
      <c r="F718" s="2">
        <v>1.289999962</v>
      </c>
      <c r="G718" s="2">
        <v>0.540000021</v>
      </c>
      <c r="H718" s="2">
        <v>2.4000000950000002</v>
      </c>
      <c r="I718" s="2">
        <v>0</v>
      </c>
      <c r="J718" s="2">
        <v>16</v>
      </c>
      <c r="K718" s="2">
        <v>14</v>
      </c>
      <c r="L718" s="2">
        <v>136</v>
      </c>
      <c r="M718" s="2">
        <v>1257</v>
      </c>
      <c r="N718" s="2">
        <v>6260</v>
      </c>
      <c r="O718" s="2">
        <v>1854</v>
      </c>
    </row>
    <row r="719" spans="1:15" x14ac:dyDescent="0.35">
      <c r="A719" s="2">
        <v>6117666160</v>
      </c>
      <c r="B719" s="3">
        <v>42482</v>
      </c>
      <c r="C719" s="2">
        <v>6.1999998090000004</v>
      </c>
      <c r="D719" s="2">
        <v>6.1999998090000004</v>
      </c>
      <c r="E719" s="2">
        <v>0</v>
      </c>
      <c r="F719" s="2">
        <v>0</v>
      </c>
      <c r="G719" s="2">
        <v>0</v>
      </c>
      <c r="H719" s="2">
        <v>6.1999998090000004</v>
      </c>
      <c r="I719" s="2">
        <v>0</v>
      </c>
      <c r="J719" s="2">
        <v>0</v>
      </c>
      <c r="K719" s="2">
        <v>0</v>
      </c>
      <c r="L719" s="2">
        <v>402</v>
      </c>
      <c r="M719" s="2">
        <v>413</v>
      </c>
      <c r="N719" s="2">
        <v>8206</v>
      </c>
      <c r="O719" s="2">
        <v>2409</v>
      </c>
    </row>
    <row r="720" spans="1:15" x14ac:dyDescent="0.35">
      <c r="A720" s="2">
        <v>6775888955</v>
      </c>
      <c r="B720" s="3">
        <v>42489</v>
      </c>
      <c r="C720" s="2">
        <v>0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1440</v>
      </c>
      <c r="N720" s="2">
        <v>0</v>
      </c>
      <c r="O720" s="2">
        <v>1841</v>
      </c>
    </row>
    <row r="721" spans="1:15" x14ac:dyDescent="0.35">
      <c r="A721" s="2">
        <v>4020332650</v>
      </c>
      <c r="B721" s="3">
        <v>42618</v>
      </c>
      <c r="C721" s="2">
        <v>3.2699999809999998</v>
      </c>
      <c r="D721" s="2">
        <v>3.2699999809999998</v>
      </c>
      <c r="E721" s="2">
        <v>0</v>
      </c>
      <c r="F721" s="2">
        <v>0.20000000300000001</v>
      </c>
      <c r="G721" s="2">
        <v>0.119999997</v>
      </c>
      <c r="H721" s="2">
        <v>2.9400000569999998</v>
      </c>
      <c r="I721" s="2">
        <v>0</v>
      </c>
      <c r="J721" s="2">
        <v>3</v>
      </c>
      <c r="K721" s="2">
        <v>5</v>
      </c>
      <c r="L721" s="2">
        <v>173</v>
      </c>
      <c r="M721" s="2">
        <v>1225</v>
      </c>
      <c r="N721" s="2">
        <v>4556</v>
      </c>
      <c r="O721" s="2">
        <v>2785</v>
      </c>
    </row>
    <row r="722" spans="1:15" x14ac:dyDescent="0.35">
      <c r="A722" s="2">
        <v>8877689391</v>
      </c>
      <c r="B722" s="3">
        <v>42484</v>
      </c>
      <c r="C722" s="2">
        <v>15.739999770000001</v>
      </c>
      <c r="D722" s="2">
        <v>15.739999770000001</v>
      </c>
      <c r="E722" s="2">
        <v>0</v>
      </c>
      <c r="F722" s="2">
        <v>11.010000229999999</v>
      </c>
      <c r="G722" s="2">
        <v>0.01</v>
      </c>
      <c r="H722" s="2">
        <v>4.6900000569999998</v>
      </c>
      <c r="I722" s="2">
        <v>0</v>
      </c>
      <c r="J722" s="2">
        <v>64</v>
      </c>
      <c r="K722" s="2">
        <v>1</v>
      </c>
      <c r="L722" s="2">
        <v>227</v>
      </c>
      <c r="M722" s="2">
        <v>1148</v>
      </c>
      <c r="N722" s="2">
        <v>16674</v>
      </c>
      <c r="O722" s="2">
        <v>3455</v>
      </c>
    </row>
    <row r="723" spans="1:15" x14ac:dyDescent="0.35">
      <c r="A723" s="2">
        <v>8792009665</v>
      </c>
      <c r="B723" s="3">
        <v>42480</v>
      </c>
      <c r="C723" s="2">
        <v>2.0099999899999998</v>
      </c>
      <c r="D723" s="2">
        <v>2.0099999899999998</v>
      </c>
      <c r="E723" s="2">
        <v>0</v>
      </c>
      <c r="F723" s="2">
        <v>0</v>
      </c>
      <c r="G723" s="2">
        <v>0.280000001</v>
      </c>
      <c r="H723" s="2">
        <v>1.7400000099999999</v>
      </c>
      <c r="I723" s="2">
        <v>0</v>
      </c>
      <c r="J723" s="2">
        <v>0</v>
      </c>
      <c r="K723" s="2">
        <v>10</v>
      </c>
      <c r="L723" s="2">
        <v>139</v>
      </c>
      <c r="M723" s="2">
        <v>744</v>
      </c>
      <c r="N723" s="2">
        <v>3147</v>
      </c>
      <c r="O723" s="2">
        <v>2188</v>
      </c>
    </row>
    <row r="724" spans="1:15" x14ac:dyDescent="0.35">
      <c r="A724" s="2">
        <v>2320127002</v>
      </c>
      <c r="B724" s="3">
        <v>42489</v>
      </c>
      <c r="C724" s="2">
        <v>0.62000000499999997</v>
      </c>
      <c r="D724" s="2">
        <v>0.62000000499999997</v>
      </c>
      <c r="E724" s="2">
        <v>0</v>
      </c>
      <c r="F724" s="2">
        <v>0</v>
      </c>
      <c r="G724" s="2">
        <v>0</v>
      </c>
      <c r="H724" s="2">
        <v>0.62000000499999997</v>
      </c>
      <c r="I724" s="2">
        <v>0</v>
      </c>
      <c r="J724" s="2">
        <v>0</v>
      </c>
      <c r="K724" s="2">
        <v>0</v>
      </c>
      <c r="L724" s="2">
        <v>45</v>
      </c>
      <c r="M724" s="2">
        <v>1395</v>
      </c>
      <c r="N724" s="2">
        <v>924</v>
      </c>
      <c r="O724" s="2">
        <v>1410</v>
      </c>
    </row>
    <row r="725" spans="1:15" x14ac:dyDescent="0.35">
      <c r="A725" s="2">
        <v>7086361926</v>
      </c>
      <c r="B725" s="3">
        <v>42708</v>
      </c>
      <c r="C725" s="2">
        <v>8.4099998469999999</v>
      </c>
      <c r="D725" s="2">
        <v>8.4099998469999999</v>
      </c>
      <c r="E725" s="2">
        <v>0</v>
      </c>
      <c r="F725" s="2">
        <v>5.2699999809999998</v>
      </c>
      <c r="G725" s="2">
        <v>0.15000000599999999</v>
      </c>
      <c r="H725" s="2">
        <v>2.9700000289999999</v>
      </c>
      <c r="I725" s="2">
        <v>0</v>
      </c>
      <c r="J725" s="2">
        <v>59</v>
      </c>
      <c r="K725" s="2">
        <v>6</v>
      </c>
      <c r="L725" s="2">
        <v>153</v>
      </c>
      <c r="M725" s="2">
        <v>745</v>
      </c>
      <c r="N725" s="2">
        <v>11317</v>
      </c>
      <c r="O725" s="2">
        <v>2772</v>
      </c>
    </row>
    <row r="726" spans="1:15" x14ac:dyDescent="0.35">
      <c r="A726" s="2">
        <v>6775888955</v>
      </c>
      <c r="B726" s="3">
        <v>42465</v>
      </c>
      <c r="C726" s="2">
        <v>0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1440</v>
      </c>
      <c r="N726" s="2">
        <v>0</v>
      </c>
      <c r="O726" s="2">
        <v>1841</v>
      </c>
    </row>
    <row r="727" spans="1:15" x14ac:dyDescent="0.35">
      <c r="A727" s="2">
        <v>3977333714</v>
      </c>
      <c r="B727" s="3">
        <v>42473</v>
      </c>
      <c r="C727" s="2">
        <v>6.7100000380000004</v>
      </c>
      <c r="D727" s="2">
        <v>6.7100000380000004</v>
      </c>
      <c r="E727" s="2">
        <v>0</v>
      </c>
      <c r="F727" s="2">
        <v>2.0299999710000001</v>
      </c>
      <c r="G727" s="2">
        <v>2.130000114</v>
      </c>
      <c r="H727" s="2">
        <v>2.5499999519999998</v>
      </c>
      <c r="I727" s="2">
        <v>0</v>
      </c>
      <c r="J727" s="2">
        <v>31</v>
      </c>
      <c r="K727" s="2">
        <v>46</v>
      </c>
      <c r="L727" s="2">
        <v>153</v>
      </c>
      <c r="M727" s="2">
        <v>754</v>
      </c>
      <c r="N727" s="2">
        <v>10035</v>
      </c>
      <c r="O727" s="2">
        <v>1495</v>
      </c>
    </row>
    <row r="728" spans="1:15" x14ac:dyDescent="0.35">
      <c r="A728" s="2">
        <v>6290855005</v>
      </c>
      <c r="B728" s="3">
        <v>42495</v>
      </c>
      <c r="C728" s="2">
        <v>4.7899999619999996</v>
      </c>
      <c r="D728" s="2">
        <v>4.7899999619999996</v>
      </c>
      <c r="E728" s="2">
        <v>0</v>
      </c>
      <c r="F728" s="2">
        <v>0</v>
      </c>
      <c r="G728" s="2">
        <v>0</v>
      </c>
      <c r="H728" s="2">
        <v>4.7899999619999996</v>
      </c>
      <c r="I728" s="2">
        <v>0</v>
      </c>
      <c r="J728" s="2">
        <v>0</v>
      </c>
      <c r="K728" s="2">
        <v>0</v>
      </c>
      <c r="L728" s="2">
        <v>239</v>
      </c>
      <c r="M728" s="2">
        <v>1201</v>
      </c>
      <c r="N728" s="2">
        <v>6339</v>
      </c>
      <c r="O728" s="2">
        <v>2682</v>
      </c>
    </row>
    <row r="729" spans="1:15" x14ac:dyDescent="0.35">
      <c r="A729" s="2">
        <v>4319703577</v>
      </c>
      <c r="B729" s="3">
        <v>42679</v>
      </c>
      <c r="C729" s="2">
        <v>6.1300001139999996</v>
      </c>
      <c r="D729" s="2">
        <v>6.1300001139999996</v>
      </c>
      <c r="E729" s="2">
        <v>0</v>
      </c>
      <c r="F729" s="2">
        <v>0.20000000300000001</v>
      </c>
      <c r="G729" s="2">
        <v>0.74000001000000004</v>
      </c>
      <c r="H729" s="2">
        <v>5.1799998279999997</v>
      </c>
      <c r="I729" s="2">
        <v>0</v>
      </c>
      <c r="J729" s="2">
        <v>3</v>
      </c>
      <c r="K729" s="2">
        <v>18</v>
      </c>
      <c r="L729" s="2">
        <v>311</v>
      </c>
      <c r="M729" s="2">
        <v>574</v>
      </c>
      <c r="N729" s="2">
        <v>9129</v>
      </c>
      <c r="O729" s="2">
        <v>2232</v>
      </c>
    </row>
    <row r="730" spans="1:15" x14ac:dyDescent="0.35">
      <c r="A730" s="2">
        <v>8378563200</v>
      </c>
      <c r="B730" s="3">
        <v>42526</v>
      </c>
      <c r="C730" s="2">
        <v>5.5900001530000001</v>
      </c>
      <c r="D730" s="2">
        <v>5.5900001530000001</v>
      </c>
      <c r="E730" s="2">
        <v>2.0921471120000001</v>
      </c>
      <c r="F730" s="2">
        <v>1.5499999520000001</v>
      </c>
      <c r="G730" s="2">
        <v>0.25</v>
      </c>
      <c r="H730" s="2">
        <v>3.7799999710000001</v>
      </c>
      <c r="I730" s="2">
        <v>0</v>
      </c>
      <c r="J730" s="2">
        <v>74</v>
      </c>
      <c r="K730" s="2">
        <v>5</v>
      </c>
      <c r="L730" s="2">
        <v>166</v>
      </c>
      <c r="M730" s="2">
        <v>831</v>
      </c>
      <c r="N730" s="2">
        <v>7045</v>
      </c>
      <c r="O730" s="2">
        <v>3644</v>
      </c>
    </row>
    <row r="731" spans="1:15" x14ac:dyDescent="0.35">
      <c r="A731" s="2">
        <v>6962181067</v>
      </c>
      <c r="B731" s="3">
        <v>42679</v>
      </c>
      <c r="C731" s="2">
        <v>4.4400000569999998</v>
      </c>
      <c r="D731" s="2">
        <v>4.4400000569999998</v>
      </c>
      <c r="E731" s="2">
        <v>0</v>
      </c>
      <c r="F731" s="2">
        <v>1.4900000099999999</v>
      </c>
      <c r="G731" s="2">
        <v>0.310000002</v>
      </c>
      <c r="H731" s="2">
        <v>2.6500000950000002</v>
      </c>
      <c r="I731" s="2">
        <v>0</v>
      </c>
      <c r="J731" s="2">
        <v>24</v>
      </c>
      <c r="K731" s="2">
        <v>7</v>
      </c>
      <c r="L731" s="2">
        <v>199</v>
      </c>
      <c r="M731" s="2">
        <v>709</v>
      </c>
      <c r="N731" s="2">
        <v>6722</v>
      </c>
      <c r="O731" s="2">
        <v>1855</v>
      </c>
    </row>
    <row r="732" spans="1:15" x14ac:dyDescent="0.35">
      <c r="A732" s="2">
        <v>4020332650</v>
      </c>
      <c r="B732" s="3">
        <v>42484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2">
        <v>0</v>
      </c>
      <c r="J732" s="2">
        <v>0</v>
      </c>
      <c r="K732" s="2">
        <v>0</v>
      </c>
      <c r="L732" s="2">
        <v>0</v>
      </c>
      <c r="M732" s="2">
        <v>1440</v>
      </c>
      <c r="N732" s="2">
        <v>0</v>
      </c>
      <c r="O732" s="2">
        <v>1980</v>
      </c>
    </row>
    <row r="733" spans="1:15" x14ac:dyDescent="0.35">
      <c r="A733" s="2">
        <v>2347167796</v>
      </c>
      <c r="B733" s="3">
        <v>42483</v>
      </c>
      <c r="C733" s="2">
        <v>11.369999890000001</v>
      </c>
      <c r="D733" s="2">
        <v>11.369999890000001</v>
      </c>
      <c r="E733" s="2">
        <v>0</v>
      </c>
      <c r="F733" s="2">
        <v>2.7799999710000001</v>
      </c>
      <c r="G733" s="2">
        <v>1.4500000479999999</v>
      </c>
      <c r="H733" s="2">
        <v>7.1500000950000002</v>
      </c>
      <c r="I733" s="2">
        <v>0</v>
      </c>
      <c r="J733" s="2">
        <v>32</v>
      </c>
      <c r="K733" s="2">
        <v>35</v>
      </c>
      <c r="L733" s="2">
        <v>360</v>
      </c>
      <c r="M733" s="2">
        <v>591</v>
      </c>
      <c r="N733" s="2">
        <v>16901</v>
      </c>
      <c r="O733" s="2">
        <v>2629</v>
      </c>
    </row>
    <row r="734" spans="1:15" x14ac:dyDescent="0.35">
      <c r="A734" s="2">
        <v>6290855005</v>
      </c>
      <c r="B734" s="3">
        <v>42474</v>
      </c>
      <c r="C734" s="2">
        <v>5.8000001909999996</v>
      </c>
      <c r="D734" s="2">
        <v>5.8000001909999996</v>
      </c>
      <c r="E734" s="2">
        <v>0</v>
      </c>
      <c r="F734" s="2">
        <v>0</v>
      </c>
      <c r="G734" s="2">
        <v>0</v>
      </c>
      <c r="H734" s="2">
        <v>5.7699999809999998</v>
      </c>
      <c r="I734" s="2">
        <v>2.9999998999999999E-2</v>
      </c>
      <c r="J734" s="2">
        <v>0</v>
      </c>
      <c r="K734" s="2">
        <v>0</v>
      </c>
      <c r="L734" s="2">
        <v>363</v>
      </c>
      <c r="M734" s="2">
        <v>1077</v>
      </c>
      <c r="N734" s="2">
        <v>7671</v>
      </c>
      <c r="O734" s="2">
        <v>2952</v>
      </c>
    </row>
    <row r="735" spans="1:15" x14ac:dyDescent="0.35">
      <c r="A735" s="2">
        <v>6290855005</v>
      </c>
      <c r="B735" s="3">
        <v>42479</v>
      </c>
      <c r="C735" s="2">
        <v>5.4000000950000002</v>
      </c>
      <c r="D735" s="2">
        <v>5.4000000950000002</v>
      </c>
      <c r="E735" s="2">
        <v>0</v>
      </c>
      <c r="F735" s="2">
        <v>0</v>
      </c>
      <c r="G735" s="2">
        <v>0</v>
      </c>
      <c r="H735" s="2">
        <v>5.3899998660000001</v>
      </c>
      <c r="I735" s="2">
        <v>0.01</v>
      </c>
      <c r="J735" s="2">
        <v>0</v>
      </c>
      <c r="K735" s="2">
        <v>0</v>
      </c>
      <c r="L735" s="2">
        <v>321</v>
      </c>
      <c r="M735" s="2">
        <v>1119</v>
      </c>
      <c r="N735" s="2">
        <v>7142</v>
      </c>
      <c r="O735" s="2">
        <v>2839</v>
      </c>
    </row>
    <row r="736" spans="1:15" x14ac:dyDescent="0.35">
      <c r="A736" s="2">
        <v>2873212765</v>
      </c>
      <c r="B736" s="3">
        <v>42489</v>
      </c>
      <c r="C736" s="2">
        <v>4.9499998090000004</v>
      </c>
      <c r="D736" s="2">
        <v>4.9499998090000004</v>
      </c>
      <c r="E736" s="2">
        <v>0</v>
      </c>
      <c r="F736" s="2">
        <v>1.3600000139999999</v>
      </c>
      <c r="G736" s="2">
        <v>1.4099999670000001</v>
      </c>
      <c r="H736" s="2">
        <v>2.1800000669999999</v>
      </c>
      <c r="I736" s="2">
        <v>0</v>
      </c>
      <c r="J736" s="2">
        <v>20</v>
      </c>
      <c r="K736" s="2">
        <v>23</v>
      </c>
      <c r="L736" s="2">
        <v>206</v>
      </c>
      <c r="M736" s="2">
        <v>1191</v>
      </c>
      <c r="N736" s="2">
        <v>7365</v>
      </c>
      <c r="O736" s="2">
        <v>1780</v>
      </c>
    </row>
    <row r="737" spans="1:15" x14ac:dyDescent="0.35">
      <c r="A737" s="2">
        <v>4020332650</v>
      </c>
      <c r="B737" s="3">
        <v>42709</v>
      </c>
      <c r="C737" s="2">
        <v>0.41999998700000002</v>
      </c>
      <c r="D737" s="2">
        <v>0.41999998700000002</v>
      </c>
      <c r="E737" s="2">
        <v>0</v>
      </c>
      <c r="F737" s="2">
        <v>0</v>
      </c>
      <c r="G737" s="2">
        <v>0</v>
      </c>
      <c r="H737" s="2">
        <v>0.40999999599999998</v>
      </c>
      <c r="I737" s="2">
        <v>0</v>
      </c>
      <c r="J737" s="2">
        <v>0</v>
      </c>
      <c r="K737" s="2">
        <v>0</v>
      </c>
      <c r="L737" s="2">
        <v>21</v>
      </c>
      <c r="M737" s="2">
        <v>721</v>
      </c>
      <c r="N737" s="2">
        <v>590</v>
      </c>
      <c r="O737" s="2">
        <v>1120</v>
      </c>
    </row>
    <row r="738" spans="1:15" x14ac:dyDescent="0.35">
      <c r="A738" s="2">
        <v>4319703577</v>
      </c>
      <c r="B738" s="3">
        <v>42475</v>
      </c>
      <c r="C738" s="2">
        <v>3.7999999519999998</v>
      </c>
      <c r="D738" s="2">
        <v>3.7999999519999998</v>
      </c>
      <c r="E738" s="2">
        <v>0</v>
      </c>
      <c r="F738" s="2">
        <v>0</v>
      </c>
      <c r="G738" s="2">
        <v>0</v>
      </c>
      <c r="H738" s="2">
        <v>3.7999999519999998</v>
      </c>
      <c r="I738" s="2">
        <v>0</v>
      </c>
      <c r="J738" s="2">
        <v>0</v>
      </c>
      <c r="K738" s="2">
        <v>0</v>
      </c>
      <c r="L738" s="2">
        <v>228</v>
      </c>
      <c r="M738" s="2">
        <v>752</v>
      </c>
      <c r="N738" s="2">
        <v>5664</v>
      </c>
      <c r="O738" s="2">
        <v>1985</v>
      </c>
    </row>
    <row r="739" spans="1:15" x14ac:dyDescent="0.35">
      <c r="A739" s="2">
        <v>2320127002</v>
      </c>
      <c r="B739" s="3">
        <v>42480</v>
      </c>
      <c r="C739" s="2">
        <v>4.8499999049999998</v>
      </c>
      <c r="D739" s="2">
        <v>4.8499999049999998</v>
      </c>
      <c r="E739" s="2">
        <v>0</v>
      </c>
      <c r="F739" s="2">
        <v>0</v>
      </c>
      <c r="G739" s="2">
        <v>0.49000000999999999</v>
      </c>
      <c r="H739" s="2">
        <v>4.3400001530000001</v>
      </c>
      <c r="I739" s="2">
        <v>0</v>
      </c>
      <c r="J739" s="2">
        <v>0</v>
      </c>
      <c r="K739" s="2">
        <v>11</v>
      </c>
      <c r="L739" s="2">
        <v>283</v>
      </c>
      <c r="M739" s="2">
        <v>1146</v>
      </c>
      <c r="N739" s="2">
        <v>7192</v>
      </c>
      <c r="O739" s="2">
        <v>1922</v>
      </c>
    </row>
    <row r="740" spans="1:15" x14ac:dyDescent="0.35">
      <c r="A740" s="2">
        <v>8792009665</v>
      </c>
      <c r="B740" s="3">
        <v>42486</v>
      </c>
      <c r="C740" s="2">
        <v>0.85000002399999997</v>
      </c>
      <c r="D740" s="2">
        <v>0.85000002399999997</v>
      </c>
      <c r="E740" s="2">
        <v>0</v>
      </c>
      <c r="F740" s="2">
        <v>0</v>
      </c>
      <c r="G740" s="2">
        <v>0</v>
      </c>
      <c r="H740" s="2">
        <v>0.85000002399999997</v>
      </c>
      <c r="I740" s="2">
        <v>0</v>
      </c>
      <c r="J740" s="2">
        <v>0</v>
      </c>
      <c r="K740" s="2">
        <v>0</v>
      </c>
      <c r="L740" s="2">
        <v>80</v>
      </c>
      <c r="M740" s="2">
        <v>1360</v>
      </c>
      <c r="N740" s="2">
        <v>1321</v>
      </c>
      <c r="O740" s="2">
        <v>1928</v>
      </c>
    </row>
    <row r="741" spans="1:15" x14ac:dyDescent="0.35">
      <c r="A741" s="2">
        <v>7086361926</v>
      </c>
      <c r="B741" s="3">
        <v>42618</v>
      </c>
      <c r="C741" s="2">
        <v>9.1099996569999995</v>
      </c>
      <c r="D741" s="2">
        <v>9.1099996569999995</v>
      </c>
      <c r="E741" s="2">
        <v>0</v>
      </c>
      <c r="F741" s="2">
        <v>4.2600002290000001</v>
      </c>
      <c r="G741" s="2">
        <v>1.710000038</v>
      </c>
      <c r="H741" s="2">
        <v>3.119999886</v>
      </c>
      <c r="I741" s="2">
        <v>0</v>
      </c>
      <c r="J741" s="2">
        <v>67</v>
      </c>
      <c r="K741" s="2">
        <v>50</v>
      </c>
      <c r="L741" s="2">
        <v>171</v>
      </c>
      <c r="M741" s="2">
        <v>743</v>
      </c>
      <c r="N741" s="2">
        <v>13566</v>
      </c>
      <c r="O741" s="2">
        <v>2960</v>
      </c>
    </row>
    <row r="742" spans="1:15" x14ac:dyDescent="0.35">
      <c r="A742" s="2">
        <v>4445114986</v>
      </c>
      <c r="B742" s="3">
        <v>42679</v>
      </c>
      <c r="C742" s="2">
        <v>6.1100001339999999</v>
      </c>
      <c r="D742" s="2">
        <v>6.1100001339999999</v>
      </c>
      <c r="E742" s="2">
        <v>0</v>
      </c>
      <c r="F742" s="2">
        <v>2.25</v>
      </c>
      <c r="G742" s="2">
        <v>1</v>
      </c>
      <c r="H742" s="2">
        <v>2.8599998950000001</v>
      </c>
      <c r="I742" s="2">
        <v>0</v>
      </c>
      <c r="J742" s="2">
        <v>34</v>
      </c>
      <c r="K742" s="2">
        <v>22</v>
      </c>
      <c r="L742" s="2">
        <v>232</v>
      </c>
      <c r="M742" s="2">
        <v>622</v>
      </c>
      <c r="N742" s="2">
        <v>9105</v>
      </c>
      <c r="O742" s="2">
        <v>2499</v>
      </c>
    </row>
    <row r="743" spans="1:15" x14ac:dyDescent="0.35">
      <c r="A743" s="2">
        <v>4020332650</v>
      </c>
      <c r="B743" s="3">
        <v>42473</v>
      </c>
      <c r="C743" s="2">
        <v>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1440</v>
      </c>
      <c r="N743" s="2">
        <v>0</v>
      </c>
      <c r="O743" s="2">
        <v>1981</v>
      </c>
    </row>
    <row r="744" spans="1:15" x14ac:dyDescent="0.35">
      <c r="A744" s="2">
        <v>4702921684</v>
      </c>
      <c r="B744" s="3">
        <v>42708</v>
      </c>
      <c r="C744" s="2">
        <v>5.8800001139999996</v>
      </c>
      <c r="D744" s="2">
        <v>5.8800001139999996</v>
      </c>
      <c r="E744" s="2">
        <v>0</v>
      </c>
      <c r="F744" s="2">
        <v>0</v>
      </c>
      <c r="G744" s="2">
        <v>0</v>
      </c>
      <c r="H744" s="2">
        <v>5.8499999049999998</v>
      </c>
      <c r="I744" s="2">
        <v>0</v>
      </c>
      <c r="J744" s="2">
        <v>0</v>
      </c>
      <c r="K744" s="2">
        <v>0</v>
      </c>
      <c r="L744" s="2">
        <v>263</v>
      </c>
      <c r="M744" s="2">
        <v>718</v>
      </c>
      <c r="N744" s="2">
        <v>7213</v>
      </c>
      <c r="O744" s="2">
        <v>2947</v>
      </c>
    </row>
    <row r="745" spans="1:15" x14ac:dyDescent="0.35">
      <c r="A745" s="2">
        <v>6290855005</v>
      </c>
      <c r="B745" s="3">
        <v>42486</v>
      </c>
      <c r="C745" s="2">
        <v>0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1440</v>
      </c>
      <c r="N745" s="2">
        <v>0</v>
      </c>
      <c r="O745" s="2">
        <v>2060</v>
      </c>
    </row>
    <row r="746" spans="1:15" x14ac:dyDescent="0.35">
      <c r="A746" s="2">
        <v>8877689391</v>
      </c>
      <c r="B746" s="3">
        <v>42490</v>
      </c>
      <c r="C746" s="2">
        <v>26.719999309999999</v>
      </c>
      <c r="D746" s="2">
        <v>26.719999309999999</v>
      </c>
      <c r="E746" s="2">
        <v>0</v>
      </c>
      <c r="F746" s="2">
        <v>21.659999849999998</v>
      </c>
      <c r="G746" s="2">
        <v>7.9999998000000003E-2</v>
      </c>
      <c r="H746" s="2">
        <v>4.9299998279999997</v>
      </c>
      <c r="I746" s="2">
        <v>0</v>
      </c>
      <c r="J746" s="2">
        <v>124</v>
      </c>
      <c r="K746" s="2">
        <v>4</v>
      </c>
      <c r="L746" s="2">
        <v>223</v>
      </c>
      <c r="M746" s="2">
        <v>1089</v>
      </c>
      <c r="N746" s="2">
        <v>27745</v>
      </c>
      <c r="O746" s="2">
        <v>4398</v>
      </c>
    </row>
    <row r="747" spans="1:15" x14ac:dyDescent="0.35">
      <c r="A747" s="2">
        <v>8583815059</v>
      </c>
      <c r="B747" s="3">
        <v>42434</v>
      </c>
      <c r="C747" s="2">
        <v>9.3699998860000004</v>
      </c>
      <c r="D747" s="2">
        <v>9.3699998860000004</v>
      </c>
      <c r="E747" s="2">
        <v>0</v>
      </c>
      <c r="F747" s="2">
        <v>0</v>
      </c>
      <c r="G747" s="2">
        <v>0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1440</v>
      </c>
      <c r="N747" s="2">
        <v>12015</v>
      </c>
      <c r="O747" s="2">
        <v>3212</v>
      </c>
    </row>
    <row r="748" spans="1:15" x14ac:dyDescent="0.35">
      <c r="A748" s="2">
        <v>8378563200</v>
      </c>
      <c r="B748" s="3">
        <v>42709</v>
      </c>
      <c r="C748" s="2">
        <v>3.619999886</v>
      </c>
      <c r="D748" s="2">
        <v>3.619999886</v>
      </c>
      <c r="E748" s="2">
        <v>0</v>
      </c>
      <c r="F748" s="2">
        <v>0.64999997600000003</v>
      </c>
      <c r="G748" s="2">
        <v>0.27000001099999998</v>
      </c>
      <c r="H748" s="2">
        <v>2.6900000569999998</v>
      </c>
      <c r="I748" s="2">
        <v>0</v>
      </c>
      <c r="J748" s="2">
        <v>8</v>
      </c>
      <c r="K748" s="2">
        <v>6</v>
      </c>
      <c r="L748" s="2">
        <v>102</v>
      </c>
      <c r="M748" s="2">
        <v>433</v>
      </c>
      <c r="N748" s="2">
        <v>4561</v>
      </c>
      <c r="O748" s="2">
        <v>1976</v>
      </c>
    </row>
    <row r="749" spans="1:15" x14ac:dyDescent="0.35">
      <c r="A749" s="2">
        <v>6117666160</v>
      </c>
      <c r="B749" s="3">
        <v>42465</v>
      </c>
      <c r="C749" s="2">
        <v>2.2599999899999998</v>
      </c>
      <c r="D749" s="2">
        <v>2.2599999899999998</v>
      </c>
      <c r="E749" s="2">
        <v>0</v>
      </c>
      <c r="F749" s="2">
        <v>0</v>
      </c>
      <c r="G749" s="2">
        <v>0</v>
      </c>
      <c r="H749" s="2">
        <v>2.2599999899999998</v>
      </c>
      <c r="I749" s="2">
        <v>0</v>
      </c>
      <c r="J749" s="2">
        <v>0</v>
      </c>
      <c r="K749" s="2">
        <v>0</v>
      </c>
      <c r="L749" s="2">
        <v>156</v>
      </c>
      <c r="M749" s="2">
        <v>1279</v>
      </c>
      <c r="N749" s="2">
        <v>2997</v>
      </c>
      <c r="O749" s="2">
        <v>1902</v>
      </c>
    </row>
    <row r="750" spans="1:15" x14ac:dyDescent="0.35">
      <c r="A750" s="2">
        <v>8253242879</v>
      </c>
      <c r="B750" s="3">
        <v>42475</v>
      </c>
      <c r="C750" s="2">
        <v>1.769999981</v>
      </c>
      <c r="D750" s="2">
        <v>1.769999981</v>
      </c>
      <c r="E750" s="2">
        <v>0</v>
      </c>
      <c r="F750" s="2">
        <v>0</v>
      </c>
      <c r="G750" s="2">
        <v>0</v>
      </c>
      <c r="H750" s="2">
        <v>1.7599999900000001</v>
      </c>
      <c r="I750" s="2">
        <v>0</v>
      </c>
      <c r="J750" s="2">
        <v>0</v>
      </c>
      <c r="K750" s="2">
        <v>0</v>
      </c>
      <c r="L750" s="2">
        <v>105</v>
      </c>
      <c r="M750" s="2">
        <v>1335</v>
      </c>
      <c r="N750" s="2">
        <v>2672</v>
      </c>
      <c r="O750" s="2">
        <v>1632</v>
      </c>
    </row>
    <row r="751" spans="1:15" x14ac:dyDescent="0.35">
      <c r="A751" s="2">
        <v>6290855005</v>
      </c>
      <c r="B751" s="3">
        <v>42405</v>
      </c>
      <c r="C751" s="2">
        <v>5.1300001139999996</v>
      </c>
      <c r="D751" s="2">
        <v>5.1300001139999996</v>
      </c>
      <c r="E751" s="2">
        <v>0</v>
      </c>
      <c r="F751" s="2">
        <v>0</v>
      </c>
      <c r="G751" s="2">
        <v>0</v>
      </c>
      <c r="H751" s="2">
        <v>5.1100001339999999</v>
      </c>
      <c r="I751" s="2">
        <v>0.02</v>
      </c>
      <c r="J751" s="2">
        <v>0</v>
      </c>
      <c r="K751" s="2">
        <v>0</v>
      </c>
      <c r="L751" s="2">
        <v>268</v>
      </c>
      <c r="M751" s="2">
        <v>1172</v>
      </c>
      <c r="N751" s="2">
        <v>6781</v>
      </c>
      <c r="O751" s="2">
        <v>2725</v>
      </c>
    </row>
    <row r="752" spans="1:15" x14ac:dyDescent="0.35">
      <c r="A752" s="2">
        <v>8053475328</v>
      </c>
      <c r="B752" s="3">
        <v>42587</v>
      </c>
      <c r="C752" s="2">
        <v>17.649999619999999</v>
      </c>
      <c r="D752" s="2">
        <v>17.649999619999999</v>
      </c>
      <c r="E752" s="2">
        <v>0</v>
      </c>
      <c r="F752" s="2">
        <v>13.399999619999999</v>
      </c>
      <c r="G752" s="2">
        <v>0.58999997400000004</v>
      </c>
      <c r="H752" s="2">
        <v>3.6600000860000002</v>
      </c>
      <c r="I752" s="2">
        <v>0</v>
      </c>
      <c r="J752" s="2">
        <v>125</v>
      </c>
      <c r="K752" s="2">
        <v>14</v>
      </c>
      <c r="L752" s="2">
        <v>228</v>
      </c>
      <c r="M752" s="2">
        <v>1073</v>
      </c>
      <c r="N752" s="2">
        <v>22026</v>
      </c>
      <c r="O752" s="2">
        <v>3589</v>
      </c>
    </row>
    <row r="753" spans="1:15" x14ac:dyDescent="0.35">
      <c r="A753" s="2">
        <v>5553957443</v>
      </c>
      <c r="B753" s="3">
        <v>42405</v>
      </c>
      <c r="C753" s="2">
        <v>6.3800001139999996</v>
      </c>
      <c r="D753" s="2">
        <v>6.3800001139999996</v>
      </c>
      <c r="E753" s="2">
        <v>0</v>
      </c>
      <c r="F753" s="2">
        <v>1.059999943</v>
      </c>
      <c r="G753" s="2">
        <v>0.40999999599999998</v>
      </c>
      <c r="H753" s="2">
        <v>4.9000000950000002</v>
      </c>
      <c r="I753" s="2">
        <v>0</v>
      </c>
      <c r="J753" s="2">
        <v>23</v>
      </c>
      <c r="K753" s="2">
        <v>9</v>
      </c>
      <c r="L753" s="2">
        <v>227</v>
      </c>
      <c r="M753" s="2">
        <v>724</v>
      </c>
      <c r="N753" s="2">
        <v>9769</v>
      </c>
      <c r="O753" s="2">
        <v>1996</v>
      </c>
    </row>
    <row r="754" spans="1:15" x14ac:dyDescent="0.35">
      <c r="A754" s="2">
        <v>8792009665</v>
      </c>
      <c r="B754" s="3">
        <v>42490</v>
      </c>
      <c r="C754" s="2">
        <v>4.5900001530000001</v>
      </c>
      <c r="D754" s="2">
        <v>4.5900001530000001</v>
      </c>
      <c r="E754" s="2">
        <v>0</v>
      </c>
      <c r="F754" s="2">
        <v>0.33000001299999998</v>
      </c>
      <c r="G754" s="2">
        <v>0.36000001399999998</v>
      </c>
      <c r="H754" s="2">
        <v>3.9100000860000002</v>
      </c>
      <c r="I754" s="2">
        <v>0</v>
      </c>
      <c r="J754" s="2">
        <v>10</v>
      </c>
      <c r="K754" s="2">
        <v>20</v>
      </c>
      <c r="L754" s="2">
        <v>301</v>
      </c>
      <c r="M754" s="2">
        <v>749</v>
      </c>
      <c r="N754" s="2">
        <v>7174</v>
      </c>
      <c r="O754" s="2">
        <v>2896</v>
      </c>
    </row>
    <row r="755" spans="1:15" x14ac:dyDescent="0.35">
      <c r="A755" s="2">
        <v>5577150313</v>
      </c>
      <c r="B755" s="3">
        <v>42482</v>
      </c>
      <c r="C755" s="2">
        <v>6.8499999049999998</v>
      </c>
      <c r="D755" s="2">
        <v>6.8499999049999998</v>
      </c>
      <c r="E755" s="2">
        <v>0</v>
      </c>
      <c r="F755" s="2">
        <v>2.420000076</v>
      </c>
      <c r="G755" s="2">
        <v>0.790000021</v>
      </c>
      <c r="H755" s="2">
        <v>3.2999999519999998</v>
      </c>
      <c r="I755" s="2">
        <v>0</v>
      </c>
      <c r="J755" s="2">
        <v>62</v>
      </c>
      <c r="K755" s="2">
        <v>30</v>
      </c>
      <c r="L755" s="2">
        <v>200</v>
      </c>
      <c r="M755" s="2">
        <v>823</v>
      </c>
      <c r="N755" s="2">
        <v>9172</v>
      </c>
      <c r="O755" s="2">
        <v>3329</v>
      </c>
    </row>
    <row r="756" spans="1:15" x14ac:dyDescent="0.35">
      <c r="A756" s="2">
        <v>1644430081</v>
      </c>
      <c r="B756" s="3">
        <v>42495</v>
      </c>
      <c r="C756" s="2">
        <v>3.1900000569999998</v>
      </c>
      <c r="D756" s="2">
        <v>3.1900000569999998</v>
      </c>
      <c r="E756" s="2">
        <v>0</v>
      </c>
      <c r="F756" s="2">
        <v>0.519999981</v>
      </c>
      <c r="G756" s="2">
        <v>0.540000021</v>
      </c>
      <c r="H756" s="2">
        <v>2.130000114</v>
      </c>
      <c r="I756" s="2">
        <v>0.01</v>
      </c>
      <c r="J756" s="2">
        <v>6</v>
      </c>
      <c r="K756" s="2">
        <v>12</v>
      </c>
      <c r="L756" s="2">
        <v>81</v>
      </c>
      <c r="M756" s="2">
        <v>1341</v>
      </c>
      <c r="N756" s="2">
        <v>4363</v>
      </c>
      <c r="O756" s="2">
        <v>2463</v>
      </c>
    </row>
    <row r="757" spans="1:15" x14ac:dyDescent="0.35">
      <c r="A757" s="2">
        <v>2320127002</v>
      </c>
      <c r="B757" s="3">
        <v>42587</v>
      </c>
      <c r="C757" s="2">
        <v>3.4800000190000002</v>
      </c>
      <c r="D757" s="2">
        <v>3.4800000190000002</v>
      </c>
      <c r="E757" s="2">
        <v>0</v>
      </c>
      <c r="F757" s="2">
        <v>0</v>
      </c>
      <c r="G757" s="2">
        <v>0</v>
      </c>
      <c r="H757" s="2">
        <v>3.4700000289999999</v>
      </c>
      <c r="I757" s="2">
        <v>0</v>
      </c>
      <c r="J757" s="2">
        <v>0</v>
      </c>
      <c r="K757" s="2">
        <v>0</v>
      </c>
      <c r="L757" s="2">
        <v>247</v>
      </c>
      <c r="M757" s="2">
        <v>1193</v>
      </c>
      <c r="N757" s="2">
        <v>5161</v>
      </c>
      <c r="O757" s="2">
        <v>1821</v>
      </c>
    </row>
    <row r="758" spans="1:15" x14ac:dyDescent="0.35">
      <c r="A758" s="2">
        <v>6962181067</v>
      </c>
      <c r="B758" s="3">
        <v>42490</v>
      </c>
      <c r="C758" s="2">
        <v>6.6599998469999999</v>
      </c>
      <c r="D758" s="2">
        <v>6.6599998469999999</v>
      </c>
      <c r="E758" s="2">
        <v>0</v>
      </c>
      <c r="F758" s="2">
        <v>2.2400000100000002</v>
      </c>
      <c r="G758" s="2">
        <v>0.75999998999999996</v>
      </c>
      <c r="H758" s="2">
        <v>3.670000076</v>
      </c>
      <c r="I758" s="2">
        <v>0</v>
      </c>
      <c r="J758" s="2">
        <v>32</v>
      </c>
      <c r="K758" s="2">
        <v>16</v>
      </c>
      <c r="L758" s="2">
        <v>237</v>
      </c>
      <c r="M758" s="2">
        <v>731</v>
      </c>
      <c r="N758" s="2">
        <v>10081</v>
      </c>
      <c r="O758" s="2">
        <v>2002</v>
      </c>
    </row>
    <row r="759" spans="1:15" x14ac:dyDescent="0.35">
      <c r="A759" s="2">
        <v>2022484408</v>
      </c>
      <c r="B759" s="3">
        <v>42477</v>
      </c>
      <c r="C759" s="2">
        <v>11.399999619999999</v>
      </c>
      <c r="D759" s="2">
        <v>11.399999619999999</v>
      </c>
      <c r="E759" s="2">
        <v>0</v>
      </c>
      <c r="F759" s="2">
        <v>3.869999886</v>
      </c>
      <c r="G759" s="2">
        <v>0.66000002599999996</v>
      </c>
      <c r="H759" s="2">
        <v>6.8800001139999996</v>
      </c>
      <c r="I759" s="2">
        <v>0</v>
      </c>
      <c r="J759" s="2">
        <v>28</v>
      </c>
      <c r="K759" s="2">
        <v>29</v>
      </c>
      <c r="L759" s="2">
        <v>331</v>
      </c>
      <c r="M759" s="2">
        <v>1052</v>
      </c>
      <c r="N759" s="2">
        <v>15112</v>
      </c>
      <c r="O759" s="2">
        <v>2782</v>
      </c>
    </row>
    <row r="760" spans="1:15" x14ac:dyDescent="0.35">
      <c r="A760" s="2">
        <v>4702921684</v>
      </c>
      <c r="B760" s="3">
        <v>42374</v>
      </c>
      <c r="C760" s="2">
        <v>0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2">
        <v>0</v>
      </c>
      <c r="J760" s="2">
        <v>0</v>
      </c>
      <c r="K760" s="2">
        <v>0</v>
      </c>
      <c r="L760" s="2">
        <v>0</v>
      </c>
      <c r="M760" s="2">
        <v>1440</v>
      </c>
      <c r="N760" s="2">
        <v>0</v>
      </c>
      <c r="O760" s="2">
        <v>2017</v>
      </c>
    </row>
    <row r="761" spans="1:15" x14ac:dyDescent="0.35">
      <c r="A761" s="2">
        <v>1624580081</v>
      </c>
      <c r="B761" s="3">
        <v>42476</v>
      </c>
      <c r="C761" s="2">
        <v>3.4900000100000002</v>
      </c>
      <c r="D761" s="2">
        <v>3.4900000100000002</v>
      </c>
      <c r="E761" s="2">
        <v>0</v>
      </c>
      <c r="F761" s="2">
        <v>0</v>
      </c>
      <c r="G761" s="2">
        <v>0</v>
      </c>
      <c r="H761" s="2">
        <v>3.4900000100000002</v>
      </c>
      <c r="I761" s="2">
        <v>0</v>
      </c>
      <c r="J761" s="2">
        <v>0</v>
      </c>
      <c r="K761" s="2">
        <v>0</v>
      </c>
      <c r="L761" s="2">
        <v>176</v>
      </c>
      <c r="M761" s="2">
        <v>1264</v>
      </c>
      <c r="N761" s="2">
        <v>5370</v>
      </c>
      <c r="O761" s="2">
        <v>1463</v>
      </c>
    </row>
    <row r="762" spans="1:15" x14ac:dyDescent="0.35">
      <c r="A762" s="2">
        <v>5553957443</v>
      </c>
      <c r="B762" s="3">
        <v>42476</v>
      </c>
      <c r="C762" s="2">
        <v>3.7699999809999998</v>
      </c>
      <c r="D762" s="2">
        <v>3.7699999809999998</v>
      </c>
      <c r="E762" s="2">
        <v>0</v>
      </c>
      <c r="F762" s="2">
        <v>0</v>
      </c>
      <c r="G762" s="2">
        <v>0</v>
      </c>
      <c r="H762" s="2">
        <v>3.7699999809999998</v>
      </c>
      <c r="I762" s="2">
        <v>0</v>
      </c>
      <c r="J762" s="2">
        <v>0</v>
      </c>
      <c r="K762" s="2">
        <v>0</v>
      </c>
      <c r="L762" s="2">
        <v>288</v>
      </c>
      <c r="M762" s="2">
        <v>521</v>
      </c>
      <c r="N762" s="2">
        <v>5771</v>
      </c>
      <c r="O762" s="2">
        <v>1831</v>
      </c>
    </row>
    <row r="763" spans="1:15" x14ac:dyDescent="0.35">
      <c r="A763" s="2">
        <v>2022484408</v>
      </c>
      <c r="B763" s="3">
        <v>42488</v>
      </c>
      <c r="C763" s="2">
        <v>7.1199998860000004</v>
      </c>
      <c r="D763" s="2">
        <v>7.1199998860000004</v>
      </c>
      <c r="E763" s="2">
        <v>0</v>
      </c>
      <c r="F763" s="2">
        <v>0.40999999599999998</v>
      </c>
      <c r="G763" s="2">
        <v>1.3300000430000001</v>
      </c>
      <c r="H763" s="2">
        <v>5.3899998660000001</v>
      </c>
      <c r="I763" s="2">
        <v>0</v>
      </c>
      <c r="J763" s="2">
        <v>6</v>
      </c>
      <c r="K763" s="2">
        <v>20</v>
      </c>
      <c r="L763" s="2">
        <v>291</v>
      </c>
      <c r="M763" s="2">
        <v>1123</v>
      </c>
      <c r="N763" s="2">
        <v>10140</v>
      </c>
      <c r="O763" s="2">
        <v>2296</v>
      </c>
    </row>
    <row r="764" spans="1:15" x14ac:dyDescent="0.35">
      <c r="A764" s="2">
        <v>6775888955</v>
      </c>
      <c r="B764" s="3">
        <v>42708</v>
      </c>
      <c r="C764" s="2">
        <v>0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2">
        <v>0</v>
      </c>
      <c r="J764" s="2">
        <v>0</v>
      </c>
      <c r="K764" s="2">
        <v>0</v>
      </c>
      <c r="L764" s="2">
        <v>0</v>
      </c>
      <c r="M764" s="2">
        <v>1440</v>
      </c>
      <c r="N764" s="2">
        <v>0</v>
      </c>
      <c r="O764" s="2">
        <v>1841</v>
      </c>
    </row>
    <row r="765" spans="1:15" x14ac:dyDescent="0.35">
      <c r="A765" s="2">
        <v>8378563200</v>
      </c>
      <c r="B765" s="3">
        <v>42488</v>
      </c>
      <c r="C765" s="2">
        <v>4.3000001909999996</v>
      </c>
      <c r="D765" s="2">
        <v>4.3000001909999996</v>
      </c>
      <c r="E765" s="2">
        <v>0</v>
      </c>
      <c r="F765" s="2">
        <v>0.89999997600000003</v>
      </c>
      <c r="G765" s="2">
        <v>0.49000000999999999</v>
      </c>
      <c r="H765" s="2">
        <v>2.9100000860000002</v>
      </c>
      <c r="I765" s="2">
        <v>0</v>
      </c>
      <c r="J765" s="2">
        <v>11</v>
      </c>
      <c r="K765" s="2">
        <v>10</v>
      </c>
      <c r="L765" s="2">
        <v>139</v>
      </c>
      <c r="M765" s="2">
        <v>711</v>
      </c>
      <c r="N765" s="2">
        <v>5417</v>
      </c>
      <c r="O765" s="2">
        <v>2884</v>
      </c>
    </row>
    <row r="766" spans="1:15" x14ac:dyDescent="0.35">
      <c r="A766" s="2">
        <v>8253242879</v>
      </c>
      <c r="B766" s="3">
        <v>42477</v>
      </c>
      <c r="C766" s="2">
        <v>7.9099998469999999</v>
      </c>
      <c r="D766" s="2">
        <v>7.9099998469999999</v>
      </c>
      <c r="E766" s="2">
        <v>0</v>
      </c>
      <c r="F766" s="2">
        <v>5.4299998279999997</v>
      </c>
      <c r="G766" s="2">
        <v>0.15000000599999999</v>
      </c>
      <c r="H766" s="2">
        <v>2.329999924</v>
      </c>
      <c r="I766" s="2">
        <v>0</v>
      </c>
      <c r="J766" s="2">
        <v>41</v>
      </c>
      <c r="K766" s="2">
        <v>5</v>
      </c>
      <c r="L766" s="2">
        <v>157</v>
      </c>
      <c r="M766" s="2">
        <v>1237</v>
      </c>
      <c r="N766" s="2">
        <v>10204</v>
      </c>
      <c r="O766" s="2">
        <v>2112</v>
      </c>
    </row>
    <row r="767" spans="1:15" x14ac:dyDescent="0.35">
      <c r="A767" s="2">
        <v>8053475328</v>
      </c>
      <c r="B767" s="3">
        <v>42618</v>
      </c>
      <c r="C767" s="2">
        <v>9.3800001139999996</v>
      </c>
      <c r="D767" s="2">
        <v>9.3800001139999996</v>
      </c>
      <c r="E767" s="2">
        <v>0</v>
      </c>
      <c r="F767" s="2">
        <v>6.1199998860000004</v>
      </c>
      <c r="G767" s="2">
        <v>0.56999999300000004</v>
      </c>
      <c r="H767" s="2">
        <v>2.6900000569999998</v>
      </c>
      <c r="I767" s="2">
        <v>0</v>
      </c>
      <c r="J767" s="2">
        <v>66</v>
      </c>
      <c r="K767" s="2">
        <v>12</v>
      </c>
      <c r="L767" s="2">
        <v>148</v>
      </c>
      <c r="M767" s="2">
        <v>1214</v>
      </c>
      <c r="N767" s="2">
        <v>12465</v>
      </c>
      <c r="O767" s="2">
        <v>2765</v>
      </c>
    </row>
    <row r="768" spans="1:15" x14ac:dyDescent="0.35">
      <c r="A768" s="2">
        <v>8792009665</v>
      </c>
      <c r="B768" s="3">
        <v>42477</v>
      </c>
      <c r="C768" s="2">
        <v>0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2">
        <v>0</v>
      </c>
      <c r="J768" s="2">
        <v>0</v>
      </c>
      <c r="K768" s="2">
        <v>0</v>
      </c>
      <c r="L768" s="2">
        <v>0</v>
      </c>
      <c r="M768" s="2">
        <v>1440</v>
      </c>
      <c r="N768" s="2">
        <v>0</v>
      </c>
      <c r="O768" s="2">
        <v>1688</v>
      </c>
    </row>
    <row r="769" spans="1:15" x14ac:dyDescent="0.35">
      <c r="A769" s="2">
        <v>7007744171</v>
      </c>
      <c r="B769" s="3">
        <v>42465</v>
      </c>
      <c r="C769" s="2">
        <v>0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2">
        <v>0</v>
      </c>
      <c r="J769" s="2">
        <v>0</v>
      </c>
      <c r="K769" s="2">
        <v>0</v>
      </c>
      <c r="L769" s="2">
        <v>0</v>
      </c>
      <c r="M769" s="2">
        <v>1440</v>
      </c>
      <c r="N769" s="2">
        <v>0</v>
      </c>
      <c r="O769" s="2">
        <v>1557</v>
      </c>
    </row>
    <row r="770" spans="1:15" x14ac:dyDescent="0.35">
      <c r="A770" s="2">
        <v>1844505072</v>
      </c>
      <c r="B770" s="3">
        <v>42475</v>
      </c>
      <c r="C770" s="2">
        <v>2.539999962</v>
      </c>
      <c r="D770" s="2">
        <v>2.539999962</v>
      </c>
      <c r="E770" s="2">
        <v>0</v>
      </c>
      <c r="F770" s="2">
        <v>0</v>
      </c>
      <c r="G770" s="2">
        <v>0</v>
      </c>
      <c r="H770" s="2">
        <v>2.539999962</v>
      </c>
      <c r="I770" s="2">
        <v>0</v>
      </c>
      <c r="J770" s="2">
        <v>0</v>
      </c>
      <c r="K770" s="2">
        <v>0</v>
      </c>
      <c r="L770" s="2">
        <v>176</v>
      </c>
      <c r="M770" s="2">
        <v>527</v>
      </c>
      <c r="N770" s="2">
        <v>3844</v>
      </c>
      <c r="O770" s="2">
        <v>1725</v>
      </c>
    </row>
    <row r="771" spans="1:15" x14ac:dyDescent="0.35">
      <c r="A771" s="2">
        <v>5553957443</v>
      </c>
      <c r="B771" s="3">
        <v>42618</v>
      </c>
      <c r="C771" s="2">
        <v>7.579999924</v>
      </c>
      <c r="D771" s="2">
        <v>7.579999924</v>
      </c>
      <c r="E771" s="2">
        <v>0</v>
      </c>
      <c r="F771" s="2">
        <v>2.130000114</v>
      </c>
      <c r="G771" s="2">
        <v>0.88999998599999997</v>
      </c>
      <c r="H771" s="2">
        <v>4.5599999430000002</v>
      </c>
      <c r="I771" s="2">
        <v>0</v>
      </c>
      <c r="J771" s="2">
        <v>59</v>
      </c>
      <c r="K771" s="2">
        <v>22</v>
      </c>
      <c r="L771" s="2">
        <v>251</v>
      </c>
      <c r="M771" s="2">
        <v>667</v>
      </c>
      <c r="N771" s="2">
        <v>11611</v>
      </c>
      <c r="O771" s="2">
        <v>2272</v>
      </c>
    </row>
    <row r="772" spans="1:15" x14ac:dyDescent="0.35">
      <c r="A772" s="2">
        <v>2320127002</v>
      </c>
      <c r="B772" s="3">
        <v>42526</v>
      </c>
      <c r="C772" s="2">
        <v>3.289999962</v>
      </c>
      <c r="D772" s="2">
        <v>3.289999962</v>
      </c>
      <c r="E772" s="2">
        <v>0</v>
      </c>
      <c r="F772" s="2">
        <v>0</v>
      </c>
      <c r="G772" s="2">
        <v>0</v>
      </c>
      <c r="H772" s="2">
        <v>3.289999962</v>
      </c>
      <c r="I772" s="2">
        <v>0</v>
      </c>
      <c r="J772" s="2">
        <v>0</v>
      </c>
      <c r="K772" s="2">
        <v>0</v>
      </c>
      <c r="L772" s="2">
        <v>204</v>
      </c>
      <c r="M772" s="2">
        <v>1236</v>
      </c>
      <c r="N772" s="2">
        <v>4878</v>
      </c>
      <c r="O772" s="2">
        <v>1742</v>
      </c>
    </row>
    <row r="773" spans="1:15" x14ac:dyDescent="0.35">
      <c r="A773" s="2">
        <v>7086361926</v>
      </c>
      <c r="B773" s="3">
        <v>42477</v>
      </c>
      <c r="C773" s="2">
        <v>0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2">
        <v>0</v>
      </c>
      <c r="J773" s="2">
        <v>0</v>
      </c>
      <c r="K773" s="2">
        <v>0</v>
      </c>
      <c r="L773" s="2">
        <v>0</v>
      </c>
      <c r="M773" s="2">
        <v>1440</v>
      </c>
      <c r="N773" s="2">
        <v>0</v>
      </c>
      <c r="O773" s="2">
        <v>1629</v>
      </c>
    </row>
    <row r="774" spans="1:15" x14ac:dyDescent="0.35">
      <c r="A774" s="2">
        <v>5577150313</v>
      </c>
      <c r="B774" s="3">
        <v>42479</v>
      </c>
      <c r="C774" s="2">
        <v>9.4200000760000009</v>
      </c>
      <c r="D774" s="2">
        <v>9.4200000760000009</v>
      </c>
      <c r="E774" s="2">
        <v>0</v>
      </c>
      <c r="F774" s="2">
        <v>7.0199999809999998</v>
      </c>
      <c r="G774" s="2">
        <v>0.63999998599999997</v>
      </c>
      <c r="H774" s="2">
        <v>1.7599999900000001</v>
      </c>
      <c r="I774" s="2">
        <v>0</v>
      </c>
      <c r="J774" s="2">
        <v>108</v>
      </c>
      <c r="K774" s="2">
        <v>23</v>
      </c>
      <c r="L774" s="2">
        <v>111</v>
      </c>
      <c r="M774" s="2">
        <v>733</v>
      </c>
      <c r="N774" s="2">
        <v>12574</v>
      </c>
      <c r="O774" s="2">
        <v>3501</v>
      </c>
    </row>
    <row r="775" spans="1:15" x14ac:dyDescent="0.35">
      <c r="A775" s="2">
        <v>6962181067</v>
      </c>
      <c r="B775" s="3">
        <v>42482</v>
      </c>
      <c r="C775" s="2">
        <v>7.0900001530000001</v>
      </c>
      <c r="D775" s="2">
        <v>7.0900001530000001</v>
      </c>
      <c r="E775" s="2">
        <v>0</v>
      </c>
      <c r="F775" s="2">
        <v>1.769999981</v>
      </c>
      <c r="G775" s="2">
        <v>1.5499999520000001</v>
      </c>
      <c r="H775" s="2">
        <v>3.7699999809999998</v>
      </c>
      <c r="I775" s="2">
        <v>0</v>
      </c>
      <c r="J775" s="2">
        <v>30</v>
      </c>
      <c r="K775" s="2">
        <v>33</v>
      </c>
      <c r="L775" s="2">
        <v>240</v>
      </c>
      <c r="M775" s="2">
        <v>659</v>
      </c>
      <c r="N775" s="2">
        <v>10725</v>
      </c>
      <c r="O775" s="2">
        <v>2086</v>
      </c>
    </row>
    <row r="776" spans="1:15" x14ac:dyDescent="0.35">
      <c r="A776" s="2">
        <v>4445114986</v>
      </c>
      <c r="B776" s="3">
        <v>42489</v>
      </c>
      <c r="C776" s="2">
        <v>3.1400001049999999</v>
      </c>
      <c r="D776" s="2">
        <v>3.1400001049999999</v>
      </c>
      <c r="E776" s="2">
        <v>0</v>
      </c>
      <c r="F776" s="2">
        <v>0</v>
      </c>
      <c r="G776" s="2">
        <v>0</v>
      </c>
      <c r="H776" s="2">
        <v>3.130000114</v>
      </c>
      <c r="I776" s="2">
        <v>0</v>
      </c>
      <c r="J776" s="2">
        <v>0</v>
      </c>
      <c r="K776" s="2">
        <v>0</v>
      </c>
      <c r="L776" s="2">
        <v>226</v>
      </c>
      <c r="M776" s="2">
        <v>1106</v>
      </c>
      <c r="N776" s="2">
        <v>4676</v>
      </c>
      <c r="O776" s="2">
        <v>2196</v>
      </c>
    </row>
    <row r="777" spans="1:15" x14ac:dyDescent="0.35">
      <c r="A777" s="2">
        <v>5553957443</v>
      </c>
      <c r="B777" s="3">
        <v>42489</v>
      </c>
      <c r="C777" s="2">
        <v>8.3299999239999991</v>
      </c>
      <c r="D777" s="2">
        <v>8.3299999239999991</v>
      </c>
      <c r="E777" s="2">
        <v>0</v>
      </c>
      <c r="F777" s="2">
        <v>2.789999962</v>
      </c>
      <c r="G777" s="2">
        <v>0.63999998599999997</v>
      </c>
      <c r="H777" s="2">
        <v>4.9099998469999999</v>
      </c>
      <c r="I777" s="2">
        <v>0</v>
      </c>
      <c r="J777" s="2">
        <v>46</v>
      </c>
      <c r="K777" s="2">
        <v>15</v>
      </c>
      <c r="L777" s="2">
        <v>270</v>
      </c>
      <c r="M777" s="2">
        <v>709</v>
      </c>
      <c r="N777" s="2">
        <v>12764</v>
      </c>
      <c r="O777" s="2">
        <v>2169</v>
      </c>
    </row>
    <row r="778" spans="1:15" x14ac:dyDescent="0.35">
      <c r="A778" s="2">
        <v>8378563200</v>
      </c>
      <c r="B778" s="3">
        <v>42477</v>
      </c>
      <c r="C778" s="2">
        <v>1.690000057</v>
      </c>
      <c r="D778" s="2">
        <v>1.690000057</v>
      </c>
      <c r="E778" s="2">
        <v>0</v>
      </c>
      <c r="F778" s="2">
        <v>0</v>
      </c>
      <c r="G778" s="2">
        <v>0</v>
      </c>
      <c r="H778" s="2">
        <v>1.690000057</v>
      </c>
      <c r="I778" s="2">
        <v>0</v>
      </c>
      <c r="J778" s="2">
        <v>0</v>
      </c>
      <c r="K778" s="2">
        <v>0</v>
      </c>
      <c r="L778" s="2">
        <v>93</v>
      </c>
      <c r="M778" s="2">
        <v>599</v>
      </c>
      <c r="N778" s="2">
        <v>2132</v>
      </c>
      <c r="O778" s="2">
        <v>2572</v>
      </c>
    </row>
    <row r="779" spans="1:15" x14ac:dyDescent="0.35">
      <c r="A779" s="2">
        <v>2026352035</v>
      </c>
      <c r="B779" s="3">
        <v>42434</v>
      </c>
      <c r="C779" s="2">
        <v>3.7200000289999999</v>
      </c>
      <c r="D779" s="2">
        <v>3.7200000289999999</v>
      </c>
      <c r="E779" s="2">
        <v>0</v>
      </c>
      <c r="F779" s="2">
        <v>0</v>
      </c>
      <c r="G779" s="2">
        <v>0</v>
      </c>
      <c r="H779" s="2">
        <v>3.7200000289999999</v>
      </c>
      <c r="I779" s="2">
        <v>0</v>
      </c>
      <c r="J779" s="2">
        <v>0</v>
      </c>
      <c r="K779" s="2">
        <v>0</v>
      </c>
      <c r="L779" s="2">
        <v>304</v>
      </c>
      <c r="M779" s="2">
        <v>981</v>
      </c>
      <c r="N779" s="2">
        <v>5992</v>
      </c>
      <c r="O779" s="2">
        <v>1604</v>
      </c>
    </row>
    <row r="780" spans="1:15" x14ac:dyDescent="0.35">
      <c r="A780" s="2">
        <v>4319703577</v>
      </c>
      <c r="B780" s="3">
        <v>42483</v>
      </c>
      <c r="C780" s="2">
        <v>3.3099999430000002</v>
      </c>
      <c r="D780" s="2">
        <v>3.3099999430000002</v>
      </c>
      <c r="E780" s="2">
        <v>0</v>
      </c>
      <c r="F780" s="2">
        <v>0</v>
      </c>
      <c r="G780" s="2">
        <v>0</v>
      </c>
      <c r="H780" s="2">
        <v>3.3099999430000002</v>
      </c>
      <c r="I780" s="2">
        <v>0</v>
      </c>
      <c r="J780" s="2">
        <v>0</v>
      </c>
      <c r="K780" s="2">
        <v>0</v>
      </c>
      <c r="L780" s="2">
        <v>233</v>
      </c>
      <c r="M780" s="2">
        <v>546</v>
      </c>
      <c r="N780" s="2">
        <v>4935</v>
      </c>
      <c r="O780" s="2">
        <v>1945</v>
      </c>
    </row>
    <row r="781" spans="1:15" x14ac:dyDescent="0.35">
      <c r="A781" s="2">
        <v>4319703577</v>
      </c>
      <c r="B781" s="3">
        <v>42488</v>
      </c>
      <c r="C781" s="2">
        <v>7.2800002099999999</v>
      </c>
      <c r="D781" s="2">
        <v>7.2800002099999999</v>
      </c>
      <c r="E781" s="2">
        <v>0</v>
      </c>
      <c r="F781" s="2">
        <v>1.0099999900000001</v>
      </c>
      <c r="G781" s="2">
        <v>0.33000001299999998</v>
      </c>
      <c r="H781" s="2">
        <v>5.9400000569999998</v>
      </c>
      <c r="I781" s="2">
        <v>0</v>
      </c>
      <c r="J781" s="2">
        <v>13</v>
      </c>
      <c r="K781" s="2">
        <v>8</v>
      </c>
      <c r="L781" s="2">
        <v>359</v>
      </c>
      <c r="M781" s="2">
        <v>552</v>
      </c>
      <c r="N781" s="2">
        <v>10817</v>
      </c>
      <c r="O781" s="2">
        <v>2367</v>
      </c>
    </row>
    <row r="782" spans="1:15" x14ac:dyDescent="0.35">
      <c r="A782" s="2">
        <v>7086361926</v>
      </c>
      <c r="B782" s="3">
        <v>42679</v>
      </c>
      <c r="C782" s="2">
        <v>6.5199999809999998</v>
      </c>
      <c r="D782" s="2">
        <v>6.5199999809999998</v>
      </c>
      <c r="E782" s="2">
        <v>0</v>
      </c>
      <c r="F782" s="2">
        <v>2.8900001049999999</v>
      </c>
      <c r="G782" s="2">
        <v>1.3899999860000001</v>
      </c>
      <c r="H782" s="2">
        <v>2.2300000190000002</v>
      </c>
      <c r="I782" s="2">
        <v>0</v>
      </c>
      <c r="J782" s="2">
        <v>57</v>
      </c>
      <c r="K782" s="2">
        <v>40</v>
      </c>
      <c r="L782" s="2">
        <v>128</v>
      </c>
      <c r="M782" s="2">
        <v>757</v>
      </c>
      <c r="N782" s="2">
        <v>9572</v>
      </c>
      <c r="O782" s="2">
        <v>2735</v>
      </c>
    </row>
    <row r="783" spans="1:15" x14ac:dyDescent="0.35">
      <c r="A783" s="2">
        <v>8053475328</v>
      </c>
      <c r="B783" s="3">
        <v>42648</v>
      </c>
      <c r="C783" s="2">
        <v>11.35999966</v>
      </c>
      <c r="D783" s="2">
        <v>11.35999966</v>
      </c>
      <c r="E783" s="2">
        <v>0</v>
      </c>
      <c r="F783" s="2">
        <v>9.0900001530000001</v>
      </c>
      <c r="G783" s="2">
        <v>0.41999998700000002</v>
      </c>
      <c r="H783" s="2">
        <v>1.8500000240000001</v>
      </c>
      <c r="I783" s="2">
        <v>0</v>
      </c>
      <c r="J783" s="2">
        <v>96</v>
      </c>
      <c r="K783" s="2">
        <v>10</v>
      </c>
      <c r="L783" s="2">
        <v>115</v>
      </c>
      <c r="M783" s="2">
        <v>1219</v>
      </c>
      <c r="N783" s="2">
        <v>14810</v>
      </c>
      <c r="O783" s="2">
        <v>2926</v>
      </c>
    </row>
    <row r="784" spans="1:15" x14ac:dyDescent="0.35">
      <c r="A784" s="2">
        <v>2320127002</v>
      </c>
      <c r="B784" s="3">
        <v>42473</v>
      </c>
      <c r="C784" s="2">
        <v>4.9000000950000002</v>
      </c>
      <c r="D784" s="2">
        <v>4.9000000950000002</v>
      </c>
      <c r="E784" s="2">
        <v>0</v>
      </c>
      <c r="F784" s="2">
        <v>0</v>
      </c>
      <c r="G784" s="2">
        <v>0</v>
      </c>
      <c r="H784" s="2">
        <v>4.9000000950000002</v>
      </c>
      <c r="I784" s="2">
        <v>0</v>
      </c>
      <c r="J784" s="2">
        <v>0</v>
      </c>
      <c r="K784" s="2">
        <v>0</v>
      </c>
      <c r="L784" s="2">
        <v>335</v>
      </c>
      <c r="M784" s="2">
        <v>1105</v>
      </c>
      <c r="N784" s="2">
        <v>7275</v>
      </c>
      <c r="O784" s="2">
        <v>2003</v>
      </c>
    </row>
    <row r="785" spans="1:15" x14ac:dyDescent="0.35">
      <c r="A785" s="2">
        <v>1503960366</v>
      </c>
      <c r="B785" s="3">
        <v>42476</v>
      </c>
      <c r="C785" s="2">
        <v>8.1599998469999999</v>
      </c>
      <c r="D785" s="2">
        <v>8.1599998469999999</v>
      </c>
      <c r="E785" s="2">
        <v>0</v>
      </c>
      <c r="F785" s="2">
        <v>2.710000038</v>
      </c>
      <c r="G785" s="2">
        <v>0.40999999599999998</v>
      </c>
      <c r="H785" s="2">
        <v>5.0399999619999996</v>
      </c>
      <c r="I785" s="2">
        <v>0</v>
      </c>
      <c r="J785" s="2">
        <v>36</v>
      </c>
      <c r="K785" s="2">
        <v>10</v>
      </c>
      <c r="L785" s="2">
        <v>221</v>
      </c>
      <c r="M785" s="2">
        <v>773</v>
      </c>
      <c r="N785" s="2">
        <v>12669</v>
      </c>
      <c r="O785" s="2">
        <v>1863</v>
      </c>
    </row>
    <row r="786" spans="1:15" x14ac:dyDescent="0.35">
      <c r="A786" s="2">
        <v>8053475328</v>
      </c>
      <c r="B786" s="3">
        <v>42708</v>
      </c>
      <c r="C786" s="2">
        <v>14.119999890000001</v>
      </c>
      <c r="D786" s="2">
        <v>14.119999890000001</v>
      </c>
      <c r="E786" s="2">
        <v>0</v>
      </c>
      <c r="F786" s="2">
        <v>11.64000034</v>
      </c>
      <c r="G786" s="2">
        <v>0.38999998600000002</v>
      </c>
      <c r="H786" s="2">
        <v>2.0999999049999998</v>
      </c>
      <c r="I786" s="2">
        <v>0</v>
      </c>
      <c r="J786" s="2">
        <v>116</v>
      </c>
      <c r="K786" s="2">
        <v>8</v>
      </c>
      <c r="L786" s="2">
        <v>123</v>
      </c>
      <c r="M786" s="2">
        <v>1193</v>
      </c>
      <c r="N786" s="2">
        <v>18060</v>
      </c>
      <c r="O786" s="2">
        <v>3186</v>
      </c>
    </row>
    <row r="787" spans="1:15" x14ac:dyDescent="0.35">
      <c r="A787" s="2">
        <v>6290855005</v>
      </c>
      <c r="B787" s="3">
        <v>42489</v>
      </c>
      <c r="C787" s="2">
        <v>0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2">
        <v>0</v>
      </c>
      <c r="J787" s="2">
        <v>0</v>
      </c>
      <c r="K787" s="2">
        <v>0</v>
      </c>
      <c r="L787" s="2">
        <v>0</v>
      </c>
      <c r="M787" s="2">
        <v>1440</v>
      </c>
      <c r="N787" s="2">
        <v>0</v>
      </c>
      <c r="O787" s="2">
        <v>2060</v>
      </c>
    </row>
    <row r="788" spans="1:15" x14ac:dyDescent="0.35">
      <c r="A788" s="2">
        <v>8378563200</v>
      </c>
      <c r="B788" s="3">
        <v>42495</v>
      </c>
      <c r="C788" s="2">
        <v>6.7899999619999996</v>
      </c>
      <c r="D788" s="2">
        <v>6.7899999619999996</v>
      </c>
      <c r="E788" s="2">
        <v>2.2530810830000001</v>
      </c>
      <c r="F788" s="2">
        <v>0.88999998599999997</v>
      </c>
      <c r="G788" s="2">
        <v>0.15999999600000001</v>
      </c>
      <c r="H788" s="2">
        <v>5.7399997709999999</v>
      </c>
      <c r="I788" s="2">
        <v>0</v>
      </c>
      <c r="J788" s="2">
        <v>66</v>
      </c>
      <c r="K788" s="2">
        <v>3</v>
      </c>
      <c r="L788" s="2">
        <v>214</v>
      </c>
      <c r="M788" s="2">
        <v>764</v>
      </c>
      <c r="N788" s="2">
        <v>8567</v>
      </c>
      <c r="O788" s="2">
        <v>3783</v>
      </c>
    </row>
    <row r="789" spans="1:15" x14ac:dyDescent="0.35">
      <c r="A789" s="2">
        <v>6117666160</v>
      </c>
      <c r="B789" s="3">
        <v>42487</v>
      </c>
      <c r="C789" s="2">
        <v>7.1100001339999999</v>
      </c>
      <c r="D789" s="2">
        <v>7.1100001339999999</v>
      </c>
      <c r="E789" s="2">
        <v>0</v>
      </c>
      <c r="F789" s="2">
        <v>0</v>
      </c>
      <c r="G789" s="2">
        <v>0</v>
      </c>
      <c r="H789" s="2">
        <v>7.1100001339999999</v>
      </c>
      <c r="I789" s="2">
        <v>0</v>
      </c>
      <c r="J789" s="2">
        <v>0</v>
      </c>
      <c r="K789" s="2">
        <v>0</v>
      </c>
      <c r="L789" s="2">
        <v>458</v>
      </c>
      <c r="M789" s="2">
        <v>417</v>
      </c>
      <c r="N789" s="2">
        <v>9411</v>
      </c>
      <c r="O789" s="2">
        <v>2576</v>
      </c>
    </row>
    <row r="790" spans="1:15" x14ac:dyDescent="0.35">
      <c r="A790" s="2">
        <v>7086361926</v>
      </c>
      <c r="B790" s="3">
        <v>42473</v>
      </c>
      <c r="C790" s="2">
        <v>3.619999886</v>
      </c>
      <c r="D790" s="2">
        <v>3.619999886</v>
      </c>
      <c r="E790" s="2">
        <v>0</v>
      </c>
      <c r="F790" s="2">
        <v>0.560000002</v>
      </c>
      <c r="G790" s="2">
        <v>0.209999993</v>
      </c>
      <c r="H790" s="2">
        <v>2.8399999139999998</v>
      </c>
      <c r="I790" s="2">
        <v>0</v>
      </c>
      <c r="J790" s="2">
        <v>31</v>
      </c>
      <c r="K790" s="2">
        <v>26</v>
      </c>
      <c r="L790" s="2">
        <v>155</v>
      </c>
      <c r="M790" s="2">
        <v>744</v>
      </c>
      <c r="N790" s="2">
        <v>5813</v>
      </c>
      <c r="O790" s="2">
        <v>2516</v>
      </c>
    </row>
    <row r="791" spans="1:15" x14ac:dyDescent="0.35">
      <c r="A791" s="2">
        <v>5553957443</v>
      </c>
      <c r="B791" s="3">
        <v>42482</v>
      </c>
      <c r="C791" s="2">
        <v>7.6300001139999996</v>
      </c>
      <c r="D791" s="2">
        <v>7.6300001139999996</v>
      </c>
      <c r="E791" s="2">
        <v>0</v>
      </c>
      <c r="F791" s="2">
        <v>1.3799999949999999</v>
      </c>
      <c r="G791" s="2">
        <v>0.62999999500000003</v>
      </c>
      <c r="H791" s="2">
        <v>5.5999999049999998</v>
      </c>
      <c r="I791" s="2">
        <v>0</v>
      </c>
      <c r="J791" s="2">
        <v>25</v>
      </c>
      <c r="K791" s="2">
        <v>16</v>
      </c>
      <c r="L791" s="2">
        <v>270</v>
      </c>
      <c r="M791" s="2">
        <v>781</v>
      </c>
      <c r="N791" s="2">
        <v>11682</v>
      </c>
      <c r="O791" s="2">
        <v>2105</v>
      </c>
    </row>
    <row r="792" spans="1:15" x14ac:dyDescent="0.35">
      <c r="A792" s="2">
        <v>7007744171</v>
      </c>
      <c r="B792" s="3">
        <v>42486</v>
      </c>
      <c r="C792" s="2">
        <v>10.100000380000001</v>
      </c>
      <c r="D792" s="2">
        <v>10.100000380000001</v>
      </c>
      <c r="E792" s="2">
        <v>0</v>
      </c>
      <c r="F792" s="2">
        <v>0.93000000699999996</v>
      </c>
      <c r="G792" s="2">
        <v>0.939999998</v>
      </c>
      <c r="H792" s="2">
        <v>8.2299995419999998</v>
      </c>
      <c r="I792" s="2">
        <v>0</v>
      </c>
      <c r="J792" s="2">
        <v>16</v>
      </c>
      <c r="K792" s="2">
        <v>22</v>
      </c>
      <c r="L792" s="2">
        <v>424</v>
      </c>
      <c r="M792" s="2">
        <v>978</v>
      </c>
      <c r="N792" s="2">
        <v>15090</v>
      </c>
      <c r="O792" s="2">
        <v>2939</v>
      </c>
    </row>
    <row r="793" spans="1:15" x14ac:dyDescent="0.35">
      <c r="A793" s="2">
        <v>6962181067</v>
      </c>
      <c r="B793" s="3">
        <v>42475</v>
      </c>
      <c r="C793" s="2">
        <v>3.6800000669999999</v>
      </c>
      <c r="D793" s="2">
        <v>3.6800000669999999</v>
      </c>
      <c r="E793" s="2">
        <v>0</v>
      </c>
      <c r="F793" s="2">
        <v>0</v>
      </c>
      <c r="G793" s="2">
        <v>0</v>
      </c>
      <c r="H793" s="2">
        <v>3.6800000669999999</v>
      </c>
      <c r="I793" s="2">
        <v>0</v>
      </c>
      <c r="J793" s="2">
        <v>0</v>
      </c>
      <c r="K793" s="2">
        <v>0</v>
      </c>
      <c r="L793" s="2">
        <v>217</v>
      </c>
      <c r="M793" s="2">
        <v>837</v>
      </c>
      <c r="N793" s="2">
        <v>5563</v>
      </c>
      <c r="O793" s="2">
        <v>1756</v>
      </c>
    </row>
    <row r="794" spans="1:15" x14ac:dyDescent="0.35">
      <c r="A794" s="2">
        <v>1844505072</v>
      </c>
      <c r="B794" s="3">
        <v>42478</v>
      </c>
      <c r="C794" s="2">
        <v>3.039999962</v>
      </c>
      <c r="D794" s="2">
        <v>3.039999962</v>
      </c>
      <c r="E794" s="2">
        <v>0</v>
      </c>
      <c r="F794" s="2">
        <v>0</v>
      </c>
      <c r="G794" s="2">
        <v>0.47999998900000002</v>
      </c>
      <c r="H794" s="2">
        <v>2.5599999430000002</v>
      </c>
      <c r="I794" s="2">
        <v>0</v>
      </c>
      <c r="J794" s="2">
        <v>0</v>
      </c>
      <c r="K794" s="2">
        <v>12</v>
      </c>
      <c r="L794" s="2">
        <v>217</v>
      </c>
      <c r="M794" s="2">
        <v>1211</v>
      </c>
      <c r="N794" s="2">
        <v>4597</v>
      </c>
      <c r="O794" s="2">
        <v>1814</v>
      </c>
    </row>
    <row r="795" spans="1:15" x14ac:dyDescent="0.35">
      <c r="A795" s="2">
        <v>7007744171</v>
      </c>
      <c r="B795" s="3">
        <v>42488</v>
      </c>
      <c r="C795" s="2">
        <v>10.119999890000001</v>
      </c>
      <c r="D795" s="2">
        <v>10.119999890000001</v>
      </c>
      <c r="E795" s="2">
        <v>0</v>
      </c>
      <c r="F795" s="2">
        <v>1.0900000329999999</v>
      </c>
      <c r="G795" s="2">
        <v>0.769999981</v>
      </c>
      <c r="H795" s="2">
        <v>8.2600002289999992</v>
      </c>
      <c r="I795" s="2">
        <v>0</v>
      </c>
      <c r="J795" s="2">
        <v>16</v>
      </c>
      <c r="K795" s="2">
        <v>16</v>
      </c>
      <c r="L795" s="2">
        <v>401</v>
      </c>
      <c r="M795" s="2">
        <v>1007</v>
      </c>
      <c r="N795" s="2">
        <v>15128</v>
      </c>
      <c r="O795" s="2">
        <v>2836</v>
      </c>
    </row>
    <row r="796" spans="1:15" x14ac:dyDescent="0.35">
      <c r="A796" s="2">
        <v>5577150313</v>
      </c>
      <c r="B796" s="3">
        <v>42478</v>
      </c>
      <c r="C796" s="2">
        <v>7.3899998660000001</v>
      </c>
      <c r="D796" s="2">
        <v>7.3899998660000001</v>
      </c>
      <c r="E796" s="2">
        <v>0</v>
      </c>
      <c r="F796" s="2">
        <v>4.8600001339999999</v>
      </c>
      <c r="G796" s="2">
        <v>0.72000002900000004</v>
      </c>
      <c r="H796" s="2">
        <v>1.8200000519999999</v>
      </c>
      <c r="I796" s="2">
        <v>0</v>
      </c>
      <c r="J796" s="2">
        <v>114</v>
      </c>
      <c r="K796" s="2">
        <v>32</v>
      </c>
      <c r="L796" s="2">
        <v>130</v>
      </c>
      <c r="M796" s="2">
        <v>623</v>
      </c>
      <c r="N796" s="2">
        <v>9893</v>
      </c>
      <c r="O796" s="2">
        <v>3625</v>
      </c>
    </row>
    <row r="797" spans="1:15" x14ac:dyDescent="0.35">
      <c r="A797" s="2">
        <v>4319703577</v>
      </c>
      <c r="B797" s="3">
        <v>42556</v>
      </c>
      <c r="C797" s="2">
        <v>5.329999924</v>
      </c>
      <c r="D797" s="2">
        <v>5.329999924</v>
      </c>
      <c r="E797" s="2">
        <v>0</v>
      </c>
      <c r="F797" s="2">
        <v>0.189999998</v>
      </c>
      <c r="G797" s="2">
        <v>1.0499999520000001</v>
      </c>
      <c r="H797" s="2">
        <v>4.079999924</v>
      </c>
      <c r="I797" s="2">
        <v>0</v>
      </c>
      <c r="J797" s="2">
        <v>3</v>
      </c>
      <c r="K797" s="2">
        <v>28</v>
      </c>
      <c r="L797" s="2">
        <v>279</v>
      </c>
      <c r="M797" s="2">
        <v>586</v>
      </c>
      <c r="N797" s="2">
        <v>7937</v>
      </c>
      <c r="O797" s="2">
        <v>2158</v>
      </c>
    </row>
    <row r="798" spans="1:15" x14ac:dyDescent="0.35">
      <c r="A798" s="2">
        <v>4558609924</v>
      </c>
      <c r="B798" s="3">
        <v>42648</v>
      </c>
      <c r="C798" s="2">
        <v>4.25</v>
      </c>
      <c r="D798" s="2">
        <v>4.25</v>
      </c>
      <c r="E798" s="2">
        <v>0</v>
      </c>
      <c r="F798" s="2">
        <v>0.74000001000000004</v>
      </c>
      <c r="G798" s="2">
        <v>1.1200000050000001</v>
      </c>
      <c r="H798" s="2">
        <v>2.3900001049999999</v>
      </c>
      <c r="I798" s="2">
        <v>0</v>
      </c>
      <c r="J798" s="2">
        <v>11</v>
      </c>
      <c r="K798" s="2">
        <v>18</v>
      </c>
      <c r="L798" s="2">
        <v>220</v>
      </c>
      <c r="M798" s="2">
        <v>1191</v>
      </c>
      <c r="N798" s="2">
        <v>6435</v>
      </c>
      <c r="O798" s="2">
        <v>1889</v>
      </c>
    </row>
    <row r="799" spans="1:15" x14ac:dyDescent="0.35">
      <c r="A799" s="2">
        <v>1624580081</v>
      </c>
      <c r="B799" s="3">
        <v>42488</v>
      </c>
      <c r="C799" s="2">
        <v>1.789999962</v>
      </c>
      <c r="D799" s="2">
        <v>1.789999962</v>
      </c>
      <c r="E799" s="2">
        <v>0</v>
      </c>
      <c r="F799" s="2">
        <v>0</v>
      </c>
      <c r="G799" s="2">
        <v>0.20000000300000001</v>
      </c>
      <c r="H799" s="2">
        <v>1.6000000240000001</v>
      </c>
      <c r="I799" s="2">
        <v>0</v>
      </c>
      <c r="J799" s="2">
        <v>0</v>
      </c>
      <c r="K799" s="2">
        <v>5</v>
      </c>
      <c r="L799" s="2">
        <v>115</v>
      </c>
      <c r="M799" s="2">
        <v>1320</v>
      </c>
      <c r="N799" s="2">
        <v>2759</v>
      </c>
      <c r="O799" s="2">
        <v>1401</v>
      </c>
    </row>
    <row r="800" spans="1:15" x14ac:dyDescent="0.35">
      <c r="A800" s="2">
        <v>1624580081</v>
      </c>
      <c r="B800" s="3">
        <v>42473</v>
      </c>
      <c r="C800" s="2">
        <v>4.5500001909999996</v>
      </c>
      <c r="D800" s="2">
        <v>4.5500001909999996</v>
      </c>
      <c r="E800" s="2">
        <v>0</v>
      </c>
      <c r="F800" s="2">
        <v>0</v>
      </c>
      <c r="G800" s="2">
        <v>0</v>
      </c>
      <c r="H800" s="2">
        <v>4.5500001909999996</v>
      </c>
      <c r="I800" s="2">
        <v>0</v>
      </c>
      <c r="J800" s="2">
        <v>0</v>
      </c>
      <c r="K800" s="2">
        <v>0</v>
      </c>
      <c r="L800" s="2">
        <v>148</v>
      </c>
      <c r="M800" s="2">
        <v>1292</v>
      </c>
      <c r="N800" s="2">
        <v>7007</v>
      </c>
      <c r="O800" s="2">
        <v>1411</v>
      </c>
    </row>
    <row r="801" spans="1:15" x14ac:dyDescent="0.35">
      <c r="A801" s="2">
        <v>8053475328</v>
      </c>
      <c r="B801" s="3">
        <v>42483</v>
      </c>
      <c r="C801" s="2">
        <v>17.190000529999999</v>
      </c>
      <c r="D801" s="2">
        <v>17.190000529999999</v>
      </c>
      <c r="E801" s="2">
        <v>0</v>
      </c>
      <c r="F801" s="2">
        <v>12.539999959999999</v>
      </c>
      <c r="G801" s="2">
        <v>0.62999999500000003</v>
      </c>
      <c r="H801" s="2">
        <v>4.0199999809999998</v>
      </c>
      <c r="I801" s="2">
        <v>0</v>
      </c>
      <c r="J801" s="2">
        <v>125</v>
      </c>
      <c r="K801" s="2">
        <v>14</v>
      </c>
      <c r="L801" s="2">
        <v>223</v>
      </c>
      <c r="M801" s="2">
        <v>741</v>
      </c>
      <c r="N801" s="2">
        <v>22359</v>
      </c>
      <c r="O801" s="2">
        <v>3554</v>
      </c>
    </row>
    <row r="802" spans="1:15" x14ac:dyDescent="0.35">
      <c r="A802" s="2">
        <v>2026352035</v>
      </c>
      <c r="B802" s="3">
        <v>42487</v>
      </c>
      <c r="C802" s="2">
        <v>3.7699999809999998</v>
      </c>
      <c r="D802" s="2">
        <v>3.7699999809999998</v>
      </c>
      <c r="E802" s="2">
        <v>0</v>
      </c>
      <c r="F802" s="2">
        <v>0</v>
      </c>
      <c r="G802" s="2">
        <v>0</v>
      </c>
      <c r="H802" s="2">
        <v>3.7699999809999998</v>
      </c>
      <c r="I802" s="2">
        <v>0</v>
      </c>
      <c r="J802" s="2">
        <v>0</v>
      </c>
      <c r="K802" s="2">
        <v>0</v>
      </c>
      <c r="L802" s="2">
        <v>286</v>
      </c>
      <c r="M802" s="2">
        <v>586</v>
      </c>
      <c r="N802" s="2">
        <v>6088</v>
      </c>
      <c r="O802" s="2">
        <v>1593</v>
      </c>
    </row>
    <row r="803" spans="1:15" x14ac:dyDescent="0.35">
      <c r="A803" s="2">
        <v>1927972279</v>
      </c>
      <c r="B803" s="3">
        <v>42483</v>
      </c>
      <c r="C803" s="2">
        <v>2.039999962</v>
      </c>
      <c r="D803" s="2">
        <v>2.039999962</v>
      </c>
      <c r="E803" s="2">
        <v>0</v>
      </c>
      <c r="F803" s="2">
        <v>0</v>
      </c>
      <c r="G803" s="2">
        <v>0</v>
      </c>
      <c r="H803" s="2">
        <v>2.039999962</v>
      </c>
      <c r="I803" s="2">
        <v>0</v>
      </c>
      <c r="J803" s="2">
        <v>0</v>
      </c>
      <c r="K803" s="2">
        <v>0</v>
      </c>
      <c r="L803" s="2">
        <v>145</v>
      </c>
      <c r="M803" s="2">
        <v>1295</v>
      </c>
      <c r="N803" s="2">
        <v>2945</v>
      </c>
      <c r="O803" s="2">
        <v>2499</v>
      </c>
    </row>
    <row r="804" spans="1:15" x14ac:dyDescent="0.35">
      <c r="A804" s="2">
        <v>1503960366</v>
      </c>
      <c r="B804" s="3">
        <v>42618</v>
      </c>
      <c r="C804" s="2">
        <v>7.7199997900000001</v>
      </c>
      <c r="D804" s="2">
        <v>7.7199997900000001</v>
      </c>
      <c r="E804" s="2">
        <v>0</v>
      </c>
      <c r="F804" s="2">
        <v>3.4500000480000002</v>
      </c>
      <c r="G804" s="2">
        <v>0.52999997099999996</v>
      </c>
      <c r="H804" s="2">
        <v>3.7400000100000002</v>
      </c>
      <c r="I804" s="2">
        <v>0</v>
      </c>
      <c r="J804" s="2">
        <v>46</v>
      </c>
      <c r="K804" s="2">
        <v>11</v>
      </c>
      <c r="L804" s="2">
        <v>206</v>
      </c>
      <c r="M804" s="2">
        <v>835</v>
      </c>
      <c r="N804" s="2">
        <v>12022</v>
      </c>
      <c r="O804" s="2">
        <v>1819</v>
      </c>
    </row>
    <row r="805" spans="1:15" x14ac:dyDescent="0.35">
      <c r="A805" s="2">
        <v>8378563200</v>
      </c>
      <c r="B805" s="3">
        <v>42479</v>
      </c>
      <c r="C805" s="2">
        <v>10.35999966</v>
      </c>
      <c r="D805" s="2">
        <v>10.35999966</v>
      </c>
      <c r="E805" s="2">
        <v>2.2530810830000001</v>
      </c>
      <c r="F805" s="2">
        <v>5.3000001909999996</v>
      </c>
      <c r="G805" s="2">
        <v>0.87999999500000003</v>
      </c>
      <c r="H805" s="2">
        <v>4.1799998279999997</v>
      </c>
      <c r="I805" s="2">
        <v>0</v>
      </c>
      <c r="J805" s="2">
        <v>120</v>
      </c>
      <c r="K805" s="2">
        <v>19</v>
      </c>
      <c r="L805" s="2">
        <v>154</v>
      </c>
      <c r="M805" s="2">
        <v>737</v>
      </c>
      <c r="N805" s="2">
        <v>13070</v>
      </c>
      <c r="O805" s="2">
        <v>4092</v>
      </c>
    </row>
    <row r="806" spans="1:15" x14ac:dyDescent="0.35">
      <c r="A806" s="2">
        <v>2320127002</v>
      </c>
      <c r="B806" s="3">
        <v>42486</v>
      </c>
      <c r="C806" s="2">
        <v>2.2999999519999998</v>
      </c>
      <c r="D806" s="2">
        <v>2.2999999519999998</v>
      </c>
      <c r="E806" s="2">
        <v>0</v>
      </c>
      <c r="F806" s="2">
        <v>0</v>
      </c>
      <c r="G806" s="2">
        <v>0</v>
      </c>
      <c r="H806" s="2">
        <v>2.2999999519999998</v>
      </c>
      <c r="I806" s="2">
        <v>0</v>
      </c>
      <c r="J806" s="2">
        <v>0</v>
      </c>
      <c r="K806" s="2">
        <v>0</v>
      </c>
      <c r="L806" s="2">
        <v>147</v>
      </c>
      <c r="M806" s="2">
        <v>1293</v>
      </c>
      <c r="N806" s="2">
        <v>3409</v>
      </c>
      <c r="O806" s="2">
        <v>1632</v>
      </c>
    </row>
    <row r="807" spans="1:15" x14ac:dyDescent="0.35">
      <c r="A807" s="2">
        <v>4558609924</v>
      </c>
      <c r="B807" s="3">
        <v>42487</v>
      </c>
      <c r="C807" s="2">
        <v>6.3200001720000003</v>
      </c>
      <c r="D807" s="2">
        <v>6.3200001720000003</v>
      </c>
      <c r="E807" s="2">
        <v>0</v>
      </c>
      <c r="F807" s="2">
        <v>1.960000038</v>
      </c>
      <c r="G807" s="2">
        <v>0.88999998599999997</v>
      </c>
      <c r="H807" s="2">
        <v>3.460000038</v>
      </c>
      <c r="I807" s="2">
        <v>0</v>
      </c>
      <c r="J807" s="2">
        <v>27</v>
      </c>
      <c r="K807" s="2">
        <v>14</v>
      </c>
      <c r="L807" s="2">
        <v>312</v>
      </c>
      <c r="M807" s="2">
        <v>1087</v>
      </c>
      <c r="N807" s="2">
        <v>9557</v>
      </c>
      <c r="O807" s="2">
        <v>2098</v>
      </c>
    </row>
    <row r="808" spans="1:15" x14ac:dyDescent="0.35">
      <c r="A808" s="2">
        <v>8053475328</v>
      </c>
      <c r="B808" s="3">
        <v>42476</v>
      </c>
      <c r="C808" s="2">
        <v>11.10999966</v>
      </c>
      <c r="D808" s="2">
        <v>11.10999966</v>
      </c>
      <c r="E808" s="2">
        <v>0</v>
      </c>
      <c r="F808" s="2">
        <v>9.3599996569999995</v>
      </c>
      <c r="G808" s="2">
        <v>0.27000001099999998</v>
      </c>
      <c r="H808" s="2">
        <v>1.4900000099999999</v>
      </c>
      <c r="I808" s="2">
        <v>0</v>
      </c>
      <c r="J808" s="2">
        <v>96</v>
      </c>
      <c r="K808" s="2">
        <v>6</v>
      </c>
      <c r="L808" s="2">
        <v>83</v>
      </c>
      <c r="M808" s="2">
        <v>1255</v>
      </c>
      <c r="N808" s="2">
        <v>14549</v>
      </c>
      <c r="O808" s="2">
        <v>2867</v>
      </c>
    </row>
    <row r="809" spans="1:15" x14ac:dyDescent="0.35">
      <c r="A809" s="2">
        <v>4057192912</v>
      </c>
      <c r="B809" s="3">
        <v>42473</v>
      </c>
      <c r="C809" s="2">
        <v>4.4699997900000001</v>
      </c>
      <c r="D809" s="2">
        <v>4.4699997900000001</v>
      </c>
      <c r="E809" s="2">
        <v>0</v>
      </c>
      <c r="F809" s="2">
        <v>0</v>
      </c>
      <c r="G809" s="2">
        <v>0</v>
      </c>
      <c r="H809" s="2">
        <v>4.3699998860000004</v>
      </c>
      <c r="I809" s="2">
        <v>0</v>
      </c>
      <c r="J809" s="2">
        <v>0</v>
      </c>
      <c r="K809" s="2">
        <v>0</v>
      </c>
      <c r="L809" s="2">
        <v>160</v>
      </c>
      <c r="M809" s="2">
        <v>1280</v>
      </c>
      <c r="N809" s="2">
        <v>5974</v>
      </c>
      <c r="O809" s="2">
        <v>2306</v>
      </c>
    </row>
    <row r="810" spans="1:15" x14ac:dyDescent="0.35">
      <c r="A810" s="2">
        <v>2873212765</v>
      </c>
      <c r="B810" s="3">
        <v>42495</v>
      </c>
      <c r="C810" s="2">
        <v>5.6100001339999999</v>
      </c>
      <c r="D810" s="2">
        <v>5.6100001339999999</v>
      </c>
      <c r="E810" s="2">
        <v>0</v>
      </c>
      <c r="F810" s="2">
        <v>0.77999997099999996</v>
      </c>
      <c r="G810" s="2">
        <v>0.80000001200000004</v>
      </c>
      <c r="H810" s="2">
        <v>4.0300002099999999</v>
      </c>
      <c r="I810" s="2">
        <v>0</v>
      </c>
      <c r="J810" s="2">
        <v>13</v>
      </c>
      <c r="K810" s="2">
        <v>23</v>
      </c>
      <c r="L810" s="2">
        <v>311</v>
      </c>
      <c r="M810" s="2">
        <v>1093</v>
      </c>
      <c r="N810" s="2">
        <v>8314</v>
      </c>
      <c r="O810" s="2">
        <v>1971</v>
      </c>
    </row>
    <row r="811" spans="1:15" x14ac:dyDescent="0.35">
      <c r="A811" s="2">
        <v>4388161847</v>
      </c>
      <c r="B811" s="3">
        <v>42478</v>
      </c>
      <c r="C811" s="2">
        <v>9.1000003809999992</v>
      </c>
      <c r="D811" s="2">
        <v>9.1000003809999992</v>
      </c>
      <c r="E811" s="2">
        <v>0</v>
      </c>
      <c r="F811" s="2">
        <v>3.5599999430000002</v>
      </c>
      <c r="G811" s="2">
        <v>0.40000000600000002</v>
      </c>
      <c r="H811" s="2">
        <v>5.1399998660000001</v>
      </c>
      <c r="I811" s="2">
        <v>0</v>
      </c>
      <c r="J811" s="2">
        <v>27</v>
      </c>
      <c r="K811" s="2">
        <v>8</v>
      </c>
      <c r="L811" s="2">
        <v>239</v>
      </c>
      <c r="M811" s="2">
        <v>1017</v>
      </c>
      <c r="N811" s="2">
        <v>11009</v>
      </c>
      <c r="O811" s="2">
        <v>3274</v>
      </c>
    </row>
    <row r="812" spans="1:15" x14ac:dyDescent="0.35">
      <c r="A812" s="2">
        <v>6775888955</v>
      </c>
      <c r="B812" s="3">
        <v>42405</v>
      </c>
      <c r="C812" s="2">
        <v>0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1440</v>
      </c>
      <c r="N812" s="2">
        <v>0</v>
      </c>
      <c r="O812" s="2">
        <v>1841</v>
      </c>
    </row>
    <row r="813" spans="1:15" x14ac:dyDescent="0.35">
      <c r="A813" s="2">
        <v>4319703577</v>
      </c>
      <c r="B813" s="3">
        <v>42482</v>
      </c>
      <c r="C813" s="2">
        <v>3.0199999809999998</v>
      </c>
      <c r="D813" s="2">
        <v>3.0199999809999998</v>
      </c>
      <c r="E813" s="2">
        <v>0</v>
      </c>
      <c r="F813" s="2">
        <v>5.9999998999999998E-2</v>
      </c>
      <c r="G813" s="2">
        <v>0.810000002</v>
      </c>
      <c r="H813" s="2">
        <v>2.1500000950000002</v>
      </c>
      <c r="I813" s="2">
        <v>0</v>
      </c>
      <c r="J813" s="2">
        <v>1</v>
      </c>
      <c r="K813" s="2">
        <v>19</v>
      </c>
      <c r="L813" s="2">
        <v>176</v>
      </c>
      <c r="M813" s="2">
        <v>709</v>
      </c>
      <c r="N813" s="2">
        <v>4500</v>
      </c>
      <c r="O813" s="2">
        <v>1886</v>
      </c>
    </row>
    <row r="814" spans="1:15" x14ac:dyDescent="0.35">
      <c r="A814" s="2">
        <v>5577150313</v>
      </c>
      <c r="B814" s="3">
        <v>42556</v>
      </c>
      <c r="C814" s="2">
        <v>0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2">
        <v>0</v>
      </c>
      <c r="J814" s="2">
        <v>0</v>
      </c>
      <c r="K814" s="2">
        <v>0</v>
      </c>
      <c r="L814" s="2">
        <v>0</v>
      </c>
      <c r="M814" s="2">
        <v>1440</v>
      </c>
      <c r="N814" s="2">
        <v>0</v>
      </c>
      <c r="O814" s="2">
        <v>1819</v>
      </c>
    </row>
    <row r="815" spans="1:15" x14ac:dyDescent="0.35">
      <c r="A815" s="2">
        <v>4558609924</v>
      </c>
      <c r="B815" s="3">
        <v>42526</v>
      </c>
      <c r="C815" s="2">
        <v>2.4800000190000002</v>
      </c>
      <c r="D815" s="2">
        <v>2.4800000190000002</v>
      </c>
      <c r="E815" s="2">
        <v>0</v>
      </c>
      <c r="F815" s="2">
        <v>0</v>
      </c>
      <c r="G815" s="2">
        <v>0</v>
      </c>
      <c r="H815" s="2">
        <v>2.4800000190000002</v>
      </c>
      <c r="I815" s="2">
        <v>0</v>
      </c>
      <c r="J815" s="2">
        <v>0</v>
      </c>
      <c r="K815" s="2">
        <v>0</v>
      </c>
      <c r="L815" s="2">
        <v>202</v>
      </c>
      <c r="M815" s="2">
        <v>1238</v>
      </c>
      <c r="N815" s="2">
        <v>3755</v>
      </c>
      <c r="O815" s="2">
        <v>1722</v>
      </c>
    </row>
    <row r="816" spans="1:15" x14ac:dyDescent="0.35">
      <c r="A816" s="2">
        <v>1927972279</v>
      </c>
      <c r="B816" s="3">
        <v>42487</v>
      </c>
      <c r="C816" s="2">
        <v>0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2">
        <v>0</v>
      </c>
      <c r="J816" s="2">
        <v>0</v>
      </c>
      <c r="K816" s="2">
        <v>0</v>
      </c>
      <c r="L816" s="2">
        <v>0</v>
      </c>
      <c r="M816" s="2">
        <v>1440</v>
      </c>
      <c r="N816" s="2">
        <v>0</v>
      </c>
      <c r="O816" s="2">
        <v>2063</v>
      </c>
    </row>
    <row r="817" spans="1:15" x14ac:dyDescent="0.35">
      <c r="A817" s="2">
        <v>1644430081</v>
      </c>
      <c r="B817" s="3">
        <v>42708</v>
      </c>
      <c r="C817" s="2">
        <v>7.7699999809999998</v>
      </c>
      <c r="D817" s="2">
        <v>7.7699999809999998</v>
      </c>
      <c r="E817" s="2">
        <v>0</v>
      </c>
      <c r="F817" s="2">
        <v>0.14000000100000001</v>
      </c>
      <c r="G817" s="2">
        <v>2.2999999519999998</v>
      </c>
      <c r="H817" s="2">
        <v>5.329999924</v>
      </c>
      <c r="I817" s="2">
        <v>0</v>
      </c>
      <c r="J817" s="2">
        <v>2</v>
      </c>
      <c r="K817" s="2">
        <v>51</v>
      </c>
      <c r="L817" s="2">
        <v>256</v>
      </c>
      <c r="M817" s="2">
        <v>1131</v>
      </c>
      <c r="N817" s="2">
        <v>10694</v>
      </c>
      <c r="O817" s="2">
        <v>3199</v>
      </c>
    </row>
    <row r="818" spans="1:15" x14ac:dyDescent="0.35">
      <c r="A818" s="2">
        <v>4445114986</v>
      </c>
      <c r="B818" s="3">
        <v>42648</v>
      </c>
      <c r="C818" s="2">
        <v>2.630000114</v>
      </c>
      <c r="D818" s="2">
        <v>2.630000114</v>
      </c>
      <c r="E818" s="2">
        <v>0</v>
      </c>
      <c r="F818" s="2">
        <v>0</v>
      </c>
      <c r="G818" s="2">
        <v>0</v>
      </c>
      <c r="H818" s="2">
        <v>2.630000114</v>
      </c>
      <c r="I818" s="2">
        <v>0</v>
      </c>
      <c r="J818" s="2">
        <v>0</v>
      </c>
      <c r="K818" s="2">
        <v>0</v>
      </c>
      <c r="L818" s="2">
        <v>231</v>
      </c>
      <c r="M818" s="2">
        <v>783</v>
      </c>
      <c r="N818" s="2">
        <v>3915</v>
      </c>
      <c r="O818" s="2">
        <v>2181</v>
      </c>
    </row>
    <row r="819" spans="1:15" x14ac:dyDescent="0.35">
      <c r="A819" s="2">
        <v>6290855005</v>
      </c>
      <c r="B819" s="3">
        <v>42465</v>
      </c>
      <c r="C819" s="2">
        <v>4.4099998469999999</v>
      </c>
      <c r="D819" s="2">
        <v>4.4099998469999999</v>
      </c>
      <c r="E819" s="2">
        <v>0</v>
      </c>
      <c r="F819" s="2">
        <v>0</v>
      </c>
      <c r="G819" s="2">
        <v>0</v>
      </c>
      <c r="H819" s="2">
        <v>4.4000000950000002</v>
      </c>
      <c r="I819" s="2">
        <v>0.01</v>
      </c>
      <c r="J819" s="2">
        <v>0</v>
      </c>
      <c r="K819" s="2">
        <v>0</v>
      </c>
      <c r="L819" s="2">
        <v>272</v>
      </c>
      <c r="M819" s="2">
        <v>1168</v>
      </c>
      <c r="N819" s="2">
        <v>5832</v>
      </c>
      <c r="O819" s="2">
        <v>2718</v>
      </c>
    </row>
    <row r="820" spans="1:15" x14ac:dyDescent="0.35">
      <c r="A820" s="2">
        <v>1927972279</v>
      </c>
      <c r="B820" s="3">
        <v>42477</v>
      </c>
      <c r="C820" s="2">
        <v>0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2">
        <v>0</v>
      </c>
      <c r="J820" s="2">
        <v>0</v>
      </c>
      <c r="K820" s="2">
        <v>0</v>
      </c>
      <c r="L820" s="2">
        <v>0</v>
      </c>
      <c r="M820" s="2">
        <v>1440</v>
      </c>
      <c r="N820" s="2">
        <v>0</v>
      </c>
      <c r="O820" s="2">
        <v>2063</v>
      </c>
    </row>
    <row r="821" spans="1:15" x14ac:dyDescent="0.35">
      <c r="A821" s="2">
        <v>8877689391</v>
      </c>
      <c r="B821" s="3">
        <v>42479</v>
      </c>
      <c r="C821" s="2">
        <v>17.399999619999999</v>
      </c>
      <c r="D821" s="2">
        <v>17.399999619999999</v>
      </c>
      <c r="E821" s="2">
        <v>0</v>
      </c>
      <c r="F821" s="2">
        <v>12.149999619999999</v>
      </c>
      <c r="G821" s="2">
        <v>0.18000000699999999</v>
      </c>
      <c r="H821" s="2">
        <v>5.0300002099999999</v>
      </c>
      <c r="I821" s="2">
        <v>0</v>
      </c>
      <c r="J821" s="2">
        <v>82</v>
      </c>
      <c r="K821" s="2">
        <v>13</v>
      </c>
      <c r="L821" s="2">
        <v>214</v>
      </c>
      <c r="M821" s="2">
        <v>1131</v>
      </c>
      <c r="N821" s="2">
        <v>18785</v>
      </c>
      <c r="O821" s="2">
        <v>3676</v>
      </c>
    </row>
    <row r="822" spans="1:15" x14ac:dyDescent="0.35">
      <c r="A822" s="2">
        <v>4702921684</v>
      </c>
      <c r="B822" s="3">
        <v>42487</v>
      </c>
      <c r="C822" s="2">
        <v>5.7199997900000001</v>
      </c>
      <c r="D822" s="2">
        <v>5.7199997900000001</v>
      </c>
      <c r="E822" s="2">
        <v>0</v>
      </c>
      <c r="F822" s="2">
        <v>9.0000003999999995E-2</v>
      </c>
      <c r="G822" s="2">
        <v>0.80000001200000004</v>
      </c>
      <c r="H822" s="2">
        <v>4.7800002099999999</v>
      </c>
      <c r="I822" s="2">
        <v>0</v>
      </c>
      <c r="J822" s="2">
        <v>1</v>
      </c>
      <c r="K822" s="2">
        <v>16</v>
      </c>
      <c r="L822" s="2">
        <v>238</v>
      </c>
      <c r="M822" s="2">
        <v>733</v>
      </c>
      <c r="N822" s="2">
        <v>7047</v>
      </c>
      <c r="O822" s="2">
        <v>2908</v>
      </c>
    </row>
    <row r="823" spans="1:15" x14ac:dyDescent="0.35">
      <c r="A823" s="2">
        <v>1644430081</v>
      </c>
      <c r="B823" s="3">
        <v>42474</v>
      </c>
      <c r="C823" s="2">
        <v>8.0200004580000002</v>
      </c>
      <c r="D823" s="2">
        <v>8.0200004580000002</v>
      </c>
      <c r="E823" s="2">
        <v>0</v>
      </c>
      <c r="F823" s="2">
        <v>0.36000001399999998</v>
      </c>
      <c r="G823" s="2">
        <v>2.5599999430000002</v>
      </c>
      <c r="H823" s="2">
        <v>5.0999999049999998</v>
      </c>
      <c r="I823" s="2">
        <v>0</v>
      </c>
      <c r="J823" s="2">
        <v>5</v>
      </c>
      <c r="K823" s="2">
        <v>58</v>
      </c>
      <c r="L823" s="2">
        <v>252</v>
      </c>
      <c r="M823" s="2">
        <v>1125</v>
      </c>
      <c r="N823" s="2">
        <v>11037</v>
      </c>
      <c r="O823" s="2">
        <v>3226</v>
      </c>
    </row>
    <row r="824" spans="1:15" x14ac:dyDescent="0.35">
      <c r="A824" s="2">
        <v>8253242879</v>
      </c>
      <c r="B824" s="3">
        <v>42485</v>
      </c>
      <c r="C824" s="2">
        <v>4.5100002290000001</v>
      </c>
      <c r="D824" s="2">
        <v>4.5100002290000001</v>
      </c>
      <c r="E824" s="2">
        <v>0</v>
      </c>
      <c r="F824" s="2">
        <v>0.36000001399999998</v>
      </c>
      <c r="G824" s="2">
        <v>2.3900001049999999</v>
      </c>
      <c r="H824" s="2">
        <v>1.769999981</v>
      </c>
      <c r="I824" s="2">
        <v>0</v>
      </c>
      <c r="J824" s="2">
        <v>7</v>
      </c>
      <c r="K824" s="2">
        <v>54</v>
      </c>
      <c r="L824" s="2">
        <v>118</v>
      </c>
      <c r="M824" s="2">
        <v>1261</v>
      </c>
      <c r="N824" s="2">
        <v>6829</v>
      </c>
      <c r="O824" s="2">
        <v>1909</v>
      </c>
    </row>
    <row r="825" spans="1:15" x14ac:dyDescent="0.35">
      <c r="A825" s="2">
        <v>1503960366</v>
      </c>
      <c r="B825" s="3">
        <v>42486</v>
      </c>
      <c r="C825" s="2">
        <v>8.7899999619999996</v>
      </c>
      <c r="D825" s="2">
        <v>8.7899999619999996</v>
      </c>
      <c r="E825" s="2">
        <v>0</v>
      </c>
      <c r="F825" s="2">
        <v>2.329999924</v>
      </c>
      <c r="G825" s="2">
        <v>0.920000017</v>
      </c>
      <c r="H825" s="2">
        <v>5.5399999619999996</v>
      </c>
      <c r="I825" s="2">
        <v>0</v>
      </c>
      <c r="J825" s="2">
        <v>31</v>
      </c>
      <c r="K825" s="2">
        <v>23</v>
      </c>
      <c r="L825" s="2">
        <v>279</v>
      </c>
      <c r="M825" s="2">
        <v>833</v>
      </c>
      <c r="N825" s="2">
        <v>13755</v>
      </c>
      <c r="O825" s="2">
        <v>1970</v>
      </c>
    </row>
    <row r="826" spans="1:15" x14ac:dyDescent="0.35">
      <c r="A826" s="2">
        <v>2022484408</v>
      </c>
      <c r="B826" s="3">
        <v>42474</v>
      </c>
      <c r="C826" s="2">
        <v>7.5</v>
      </c>
      <c r="D826" s="2">
        <v>7.5</v>
      </c>
      <c r="E826" s="2">
        <v>0</v>
      </c>
      <c r="F826" s="2">
        <v>2.4800000190000002</v>
      </c>
      <c r="G826" s="2">
        <v>0.209999993</v>
      </c>
      <c r="H826" s="2">
        <v>4.8200001720000003</v>
      </c>
      <c r="I826" s="2">
        <v>0</v>
      </c>
      <c r="J826" s="2">
        <v>32</v>
      </c>
      <c r="K826" s="2">
        <v>3</v>
      </c>
      <c r="L826" s="2">
        <v>257</v>
      </c>
      <c r="M826" s="2">
        <v>1148</v>
      </c>
      <c r="N826" s="2">
        <v>10690</v>
      </c>
      <c r="O826" s="2">
        <v>2312</v>
      </c>
    </row>
    <row r="827" spans="1:15" x14ac:dyDescent="0.35">
      <c r="A827" s="2">
        <v>1624580081</v>
      </c>
      <c r="B827" s="3">
        <v>42481</v>
      </c>
      <c r="C827" s="2">
        <v>4.1300001139999996</v>
      </c>
      <c r="D827" s="2">
        <v>4.1300001139999996</v>
      </c>
      <c r="E827" s="2">
        <v>0</v>
      </c>
      <c r="F827" s="2">
        <v>0</v>
      </c>
      <c r="G827" s="2">
        <v>0</v>
      </c>
      <c r="H827" s="2">
        <v>4.1100001339999999</v>
      </c>
      <c r="I827" s="2">
        <v>0.02</v>
      </c>
      <c r="J827" s="2">
        <v>0</v>
      </c>
      <c r="K827" s="2">
        <v>0</v>
      </c>
      <c r="L827" s="2">
        <v>186</v>
      </c>
      <c r="M827" s="2">
        <v>1254</v>
      </c>
      <c r="N827" s="2">
        <v>6349</v>
      </c>
      <c r="O827" s="2">
        <v>1467</v>
      </c>
    </row>
    <row r="828" spans="1:15" x14ac:dyDescent="0.35">
      <c r="A828" s="2">
        <v>4558609924</v>
      </c>
      <c r="B828" s="3">
        <v>42490</v>
      </c>
      <c r="C828" s="2">
        <v>6.8200001720000003</v>
      </c>
      <c r="D828" s="2">
        <v>6.8200001720000003</v>
      </c>
      <c r="E828" s="2">
        <v>0</v>
      </c>
      <c r="F828" s="2">
        <v>0.469999999</v>
      </c>
      <c r="G828" s="2">
        <v>1.8899999860000001</v>
      </c>
      <c r="H828" s="2">
        <v>4.4600000380000004</v>
      </c>
      <c r="I828" s="2">
        <v>0</v>
      </c>
      <c r="J828" s="2">
        <v>7</v>
      </c>
      <c r="K828" s="2">
        <v>29</v>
      </c>
      <c r="L828" s="2">
        <v>293</v>
      </c>
      <c r="M828" s="2">
        <v>1111</v>
      </c>
      <c r="N828" s="2">
        <v>10319</v>
      </c>
      <c r="O828" s="2">
        <v>2105</v>
      </c>
    </row>
    <row r="829" spans="1:15" x14ac:dyDescent="0.35">
      <c r="A829" s="2">
        <v>4057192912</v>
      </c>
      <c r="B829" s="3">
        <v>42474</v>
      </c>
      <c r="C829" s="2">
        <v>0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2">
        <v>0</v>
      </c>
      <c r="J829" s="2">
        <v>0</v>
      </c>
      <c r="K829" s="2">
        <v>0</v>
      </c>
      <c r="L829" s="2">
        <v>0</v>
      </c>
      <c r="M829" s="2">
        <v>1440</v>
      </c>
      <c r="N829" s="2">
        <v>0</v>
      </c>
      <c r="O829" s="2">
        <v>1776</v>
      </c>
    </row>
    <row r="830" spans="1:15" x14ac:dyDescent="0.35">
      <c r="A830" s="2">
        <v>2026352035</v>
      </c>
      <c r="B830" s="3">
        <v>42474</v>
      </c>
      <c r="C830" s="2">
        <v>2.0699999330000001</v>
      </c>
      <c r="D830" s="2">
        <v>2.0699999330000001</v>
      </c>
      <c r="E830" s="2">
        <v>0</v>
      </c>
      <c r="F830" s="2">
        <v>0</v>
      </c>
      <c r="G830" s="2">
        <v>0</v>
      </c>
      <c r="H830" s="2">
        <v>2.0499999519999998</v>
      </c>
      <c r="I830" s="2">
        <v>0</v>
      </c>
      <c r="J830" s="2">
        <v>0</v>
      </c>
      <c r="K830" s="2">
        <v>0</v>
      </c>
      <c r="L830" s="2">
        <v>197</v>
      </c>
      <c r="M830" s="2">
        <v>653</v>
      </c>
      <c r="N830" s="2">
        <v>3335</v>
      </c>
      <c r="O830" s="2">
        <v>1431</v>
      </c>
    </row>
    <row r="831" spans="1:15" x14ac:dyDescent="0.35">
      <c r="A831" s="2">
        <v>7086361926</v>
      </c>
      <c r="B831" s="3">
        <v>42587</v>
      </c>
      <c r="C831" s="2">
        <v>7.0999999049999998</v>
      </c>
      <c r="D831" s="2">
        <v>7.0999999049999998</v>
      </c>
      <c r="E831" s="2">
        <v>0</v>
      </c>
      <c r="F831" s="2">
        <v>2.3099999430000002</v>
      </c>
      <c r="G831" s="2">
        <v>1.5299999710000001</v>
      </c>
      <c r="H831" s="2">
        <v>3.25</v>
      </c>
      <c r="I831" s="2">
        <v>0</v>
      </c>
      <c r="J831" s="2">
        <v>32</v>
      </c>
      <c r="K831" s="2">
        <v>27</v>
      </c>
      <c r="L831" s="2">
        <v>147</v>
      </c>
      <c r="M831" s="2">
        <v>695</v>
      </c>
      <c r="N831" s="2">
        <v>10677</v>
      </c>
      <c r="O831" s="2">
        <v>2534</v>
      </c>
    </row>
    <row r="832" spans="1:15" x14ac:dyDescent="0.35">
      <c r="A832" s="2">
        <v>2320127002</v>
      </c>
      <c r="B832" s="3">
        <v>42708</v>
      </c>
      <c r="C832" s="2">
        <v>7.4899997709999999</v>
      </c>
      <c r="D832" s="2">
        <v>7.4899997709999999</v>
      </c>
      <c r="E832" s="2">
        <v>0</v>
      </c>
      <c r="F832" s="2">
        <v>1.1699999569999999</v>
      </c>
      <c r="G832" s="2">
        <v>0.310000002</v>
      </c>
      <c r="H832" s="2">
        <v>6.0100002290000001</v>
      </c>
      <c r="I832" s="2">
        <v>0</v>
      </c>
      <c r="J832" s="2">
        <v>13</v>
      </c>
      <c r="K832" s="2">
        <v>9</v>
      </c>
      <c r="L832" s="2">
        <v>306</v>
      </c>
      <c r="M832" s="2">
        <v>1112</v>
      </c>
      <c r="N832" s="2">
        <v>10725</v>
      </c>
      <c r="O832" s="2">
        <v>2124</v>
      </c>
    </row>
    <row r="833" spans="1:15" x14ac:dyDescent="0.35">
      <c r="A833" s="2">
        <v>8053475328</v>
      </c>
      <c r="B833" s="3">
        <v>42495</v>
      </c>
      <c r="C833" s="2">
        <v>11.510000229999999</v>
      </c>
      <c r="D833" s="2">
        <v>11.510000229999999</v>
      </c>
      <c r="E833" s="2">
        <v>0</v>
      </c>
      <c r="F833" s="2">
        <v>8.8500003809999992</v>
      </c>
      <c r="G833" s="2">
        <v>0.44999998800000002</v>
      </c>
      <c r="H833" s="2">
        <v>2.210000038</v>
      </c>
      <c r="I833" s="2">
        <v>0</v>
      </c>
      <c r="J833" s="2">
        <v>93</v>
      </c>
      <c r="K833" s="2">
        <v>9</v>
      </c>
      <c r="L833" s="2">
        <v>130</v>
      </c>
      <c r="M833" s="2">
        <v>1208</v>
      </c>
      <c r="N833" s="2">
        <v>14990</v>
      </c>
      <c r="O833" s="2">
        <v>2950</v>
      </c>
    </row>
    <row r="834" spans="1:15" x14ac:dyDescent="0.35">
      <c r="A834" s="2">
        <v>1624580081</v>
      </c>
      <c r="B834" s="3">
        <v>42434</v>
      </c>
      <c r="C834" s="2">
        <v>1.3700000050000001</v>
      </c>
      <c r="D834" s="2">
        <v>1.3700000050000001</v>
      </c>
      <c r="E834" s="2">
        <v>0</v>
      </c>
      <c r="F834" s="2">
        <v>0</v>
      </c>
      <c r="G834" s="2">
        <v>0</v>
      </c>
      <c r="H834" s="2">
        <v>1.3400000329999999</v>
      </c>
      <c r="I834" s="2">
        <v>0.02</v>
      </c>
      <c r="J834" s="2">
        <v>0</v>
      </c>
      <c r="K834" s="2">
        <v>0</v>
      </c>
      <c r="L834" s="2">
        <v>96</v>
      </c>
      <c r="M834" s="2">
        <v>1344</v>
      </c>
      <c r="N834" s="2">
        <v>2100</v>
      </c>
      <c r="O834" s="2">
        <v>1334</v>
      </c>
    </row>
    <row r="835" spans="1:15" x14ac:dyDescent="0.35">
      <c r="A835" s="2">
        <v>3977333714</v>
      </c>
      <c r="B835" s="3">
        <v>42434</v>
      </c>
      <c r="C835" s="2">
        <v>9.5900001530000001</v>
      </c>
      <c r="D835" s="2">
        <v>9.5900001530000001</v>
      </c>
      <c r="E835" s="2">
        <v>0</v>
      </c>
      <c r="F835" s="2">
        <v>3.3199999330000001</v>
      </c>
      <c r="G835" s="2">
        <v>1.7400000099999999</v>
      </c>
      <c r="H835" s="2">
        <v>4.5300002099999999</v>
      </c>
      <c r="I835" s="2">
        <v>0</v>
      </c>
      <c r="J835" s="2">
        <v>47</v>
      </c>
      <c r="K835" s="2">
        <v>41</v>
      </c>
      <c r="L835" s="2">
        <v>258</v>
      </c>
      <c r="M835" s="2">
        <v>594</v>
      </c>
      <c r="N835" s="2">
        <v>14335</v>
      </c>
      <c r="O835" s="2">
        <v>1710</v>
      </c>
    </row>
    <row r="836" spans="1:15" x14ac:dyDescent="0.35">
      <c r="A836" s="2">
        <v>7086361926</v>
      </c>
      <c r="B836" s="3">
        <v>42483</v>
      </c>
      <c r="C836" s="2">
        <v>1.809999943</v>
      </c>
      <c r="D836" s="2">
        <v>1.809999943</v>
      </c>
      <c r="E836" s="2">
        <v>0</v>
      </c>
      <c r="F836" s="2">
        <v>0</v>
      </c>
      <c r="G836" s="2">
        <v>0</v>
      </c>
      <c r="H836" s="2">
        <v>1.7999999520000001</v>
      </c>
      <c r="I836" s="2">
        <v>0</v>
      </c>
      <c r="J836" s="2">
        <v>0</v>
      </c>
      <c r="K836" s="2">
        <v>0</v>
      </c>
      <c r="L836" s="2">
        <v>90</v>
      </c>
      <c r="M836" s="2">
        <v>1350</v>
      </c>
      <c r="N836" s="2">
        <v>2817</v>
      </c>
      <c r="O836" s="2">
        <v>1965</v>
      </c>
    </row>
    <row r="837" spans="1:15" x14ac:dyDescent="0.35">
      <c r="A837" s="2">
        <v>7007744171</v>
      </c>
      <c r="B837" s="3">
        <v>42480</v>
      </c>
      <c r="C837" s="2">
        <v>11.31000042</v>
      </c>
      <c r="D837" s="2">
        <v>10.40999985</v>
      </c>
      <c r="E837" s="2">
        <v>4.924840927</v>
      </c>
      <c r="F837" s="2">
        <v>4.7899999619999996</v>
      </c>
      <c r="G837" s="2">
        <v>0.670000017</v>
      </c>
      <c r="H837" s="2">
        <v>5.8600001339999999</v>
      </c>
      <c r="I837" s="2">
        <v>0</v>
      </c>
      <c r="J837" s="2">
        <v>60</v>
      </c>
      <c r="K837" s="2">
        <v>33</v>
      </c>
      <c r="L837" s="2">
        <v>347</v>
      </c>
      <c r="M837" s="2">
        <v>1000</v>
      </c>
      <c r="N837" s="2">
        <v>15566</v>
      </c>
      <c r="O837" s="2">
        <v>3096</v>
      </c>
    </row>
    <row r="838" spans="1:15" x14ac:dyDescent="0.35">
      <c r="A838" s="2">
        <v>7007744171</v>
      </c>
      <c r="B838" s="3">
        <v>42485</v>
      </c>
      <c r="C838" s="2">
        <v>13.34000015</v>
      </c>
      <c r="D838" s="2">
        <v>12.19999981</v>
      </c>
      <c r="E838" s="2">
        <v>4.8617920879999996</v>
      </c>
      <c r="F838" s="2">
        <v>4.3099999430000002</v>
      </c>
      <c r="G838" s="2">
        <v>1.3700000050000001</v>
      </c>
      <c r="H838" s="2">
        <v>7.670000076</v>
      </c>
      <c r="I838" s="2">
        <v>0</v>
      </c>
      <c r="J838" s="2">
        <v>51</v>
      </c>
      <c r="K838" s="2">
        <v>24</v>
      </c>
      <c r="L838" s="2">
        <v>379</v>
      </c>
      <c r="M838" s="2">
        <v>986</v>
      </c>
      <c r="N838" s="2">
        <v>18229</v>
      </c>
      <c r="O838" s="2">
        <v>3055</v>
      </c>
    </row>
    <row r="839" spans="1:15" x14ac:dyDescent="0.35">
      <c r="A839" s="2">
        <v>2873212765</v>
      </c>
      <c r="B839" s="3">
        <v>42709</v>
      </c>
      <c r="C839" s="2">
        <v>5.1100001339999999</v>
      </c>
      <c r="D839" s="2">
        <v>5.1100001339999999</v>
      </c>
      <c r="E839" s="2">
        <v>0</v>
      </c>
      <c r="F839" s="2">
        <v>0</v>
      </c>
      <c r="G839" s="2">
        <v>0</v>
      </c>
      <c r="H839" s="2">
        <v>5.1100001339999999</v>
      </c>
      <c r="I839" s="2">
        <v>0</v>
      </c>
      <c r="J839" s="2">
        <v>0</v>
      </c>
      <c r="K839" s="2">
        <v>0</v>
      </c>
      <c r="L839" s="2">
        <v>268</v>
      </c>
      <c r="M839" s="2">
        <v>720</v>
      </c>
      <c r="N839" s="2">
        <v>7566</v>
      </c>
      <c r="O839" s="2">
        <v>1431</v>
      </c>
    </row>
    <row r="840" spans="1:15" x14ac:dyDescent="0.35">
      <c r="A840" s="2">
        <v>6962181067</v>
      </c>
      <c r="B840" s="3">
        <v>42434</v>
      </c>
      <c r="C840" s="2">
        <v>8.1199998860000004</v>
      </c>
      <c r="D840" s="2">
        <v>8.1199998860000004</v>
      </c>
      <c r="E840" s="2">
        <v>0</v>
      </c>
      <c r="F840" s="2">
        <v>1.7400000099999999</v>
      </c>
      <c r="G840" s="2">
        <v>2.039999962</v>
      </c>
      <c r="H840" s="2">
        <v>4.329999924</v>
      </c>
      <c r="I840" s="2">
        <v>0</v>
      </c>
      <c r="J840" s="2">
        <v>21</v>
      </c>
      <c r="K840" s="2">
        <v>36</v>
      </c>
      <c r="L840" s="2">
        <v>267</v>
      </c>
      <c r="M840" s="2">
        <v>654</v>
      </c>
      <c r="N840" s="2">
        <v>12109</v>
      </c>
      <c r="O840" s="2">
        <v>2072</v>
      </c>
    </row>
    <row r="841" spans="1:15" x14ac:dyDescent="0.35">
      <c r="A841" s="2">
        <v>2347167796</v>
      </c>
      <c r="B841" s="3">
        <v>42476</v>
      </c>
      <c r="C841" s="2">
        <v>15.079999920000001</v>
      </c>
      <c r="D841" s="2">
        <v>15.079999920000001</v>
      </c>
      <c r="E841" s="2">
        <v>0</v>
      </c>
      <c r="F841" s="2">
        <v>5.4499998090000004</v>
      </c>
      <c r="G841" s="2">
        <v>4.0999999049999998</v>
      </c>
      <c r="H841" s="2">
        <v>5.5300002099999999</v>
      </c>
      <c r="I841" s="2">
        <v>0</v>
      </c>
      <c r="J841" s="2">
        <v>66</v>
      </c>
      <c r="K841" s="2">
        <v>72</v>
      </c>
      <c r="L841" s="2">
        <v>268</v>
      </c>
      <c r="M841" s="2">
        <v>968</v>
      </c>
      <c r="N841" s="2">
        <v>22244</v>
      </c>
      <c r="O841" s="2">
        <v>2670</v>
      </c>
    </row>
    <row r="842" spans="1:15" x14ac:dyDescent="0.35">
      <c r="A842" s="2">
        <v>7007744171</v>
      </c>
      <c r="B842" s="3">
        <v>42487</v>
      </c>
      <c r="C842" s="2">
        <v>10.22000027</v>
      </c>
      <c r="D842" s="2">
        <v>9.0600004199999997</v>
      </c>
      <c r="E842" s="2">
        <v>4.8856048579999998</v>
      </c>
      <c r="F842" s="2">
        <v>4.2699999809999998</v>
      </c>
      <c r="G842" s="2">
        <v>0.66000002599999996</v>
      </c>
      <c r="H842" s="2">
        <v>5.2899999619999996</v>
      </c>
      <c r="I842" s="2">
        <v>0</v>
      </c>
      <c r="J842" s="2">
        <v>50</v>
      </c>
      <c r="K842" s="2">
        <v>12</v>
      </c>
      <c r="L842" s="2">
        <v>337</v>
      </c>
      <c r="M842" s="2">
        <v>1041</v>
      </c>
      <c r="N842" s="2">
        <v>13541</v>
      </c>
      <c r="O842" s="2">
        <v>2830</v>
      </c>
    </row>
    <row r="843" spans="1:15" x14ac:dyDescent="0.35">
      <c r="A843" s="2">
        <v>4445114986</v>
      </c>
      <c r="B843" s="3">
        <v>42490</v>
      </c>
      <c r="C843" s="2">
        <v>4.1799998279999997</v>
      </c>
      <c r="D843" s="2">
        <v>4.1799998279999997</v>
      </c>
      <c r="E843" s="2">
        <v>0</v>
      </c>
      <c r="F843" s="2">
        <v>0</v>
      </c>
      <c r="G843" s="2">
        <v>0</v>
      </c>
      <c r="H843" s="2">
        <v>4.1799998279999997</v>
      </c>
      <c r="I843" s="2">
        <v>0</v>
      </c>
      <c r="J843" s="2">
        <v>0</v>
      </c>
      <c r="K843" s="2">
        <v>0</v>
      </c>
      <c r="L843" s="2">
        <v>290</v>
      </c>
      <c r="M843" s="2">
        <v>797</v>
      </c>
      <c r="N843" s="2">
        <v>6222</v>
      </c>
      <c r="O843" s="2">
        <v>2363</v>
      </c>
    </row>
    <row r="844" spans="1:15" x14ac:dyDescent="0.35">
      <c r="A844" s="2">
        <v>4445114986</v>
      </c>
      <c r="B844" s="3">
        <v>42484</v>
      </c>
      <c r="C844" s="2">
        <v>3.3599998950000001</v>
      </c>
      <c r="D844" s="2">
        <v>3.3599998950000001</v>
      </c>
      <c r="E844" s="2">
        <v>0</v>
      </c>
      <c r="F844" s="2">
        <v>0</v>
      </c>
      <c r="G844" s="2">
        <v>0</v>
      </c>
      <c r="H844" s="2">
        <v>3.3599998950000001</v>
      </c>
      <c r="I844" s="2">
        <v>0</v>
      </c>
      <c r="J844" s="2">
        <v>0</v>
      </c>
      <c r="K844" s="2">
        <v>0</v>
      </c>
      <c r="L844" s="2">
        <v>244</v>
      </c>
      <c r="M844" s="2">
        <v>1196</v>
      </c>
      <c r="N844" s="2">
        <v>5002</v>
      </c>
      <c r="O844" s="2">
        <v>2247</v>
      </c>
    </row>
    <row r="845" spans="1:15" x14ac:dyDescent="0.35">
      <c r="A845" s="2">
        <v>8877689391</v>
      </c>
      <c r="B845" s="3">
        <v>42618</v>
      </c>
      <c r="C845" s="2">
        <v>18.25</v>
      </c>
      <c r="D845" s="2">
        <v>18.25</v>
      </c>
      <c r="E845" s="2">
        <v>0</v>
      </c>
      <c r="F845" s="2">
        <v>11.100000380000001</v>
      </c>
      <c r="G845" s="2">
        <v>0.80000001200000004</v>
      </c>
      <c r="H845" s="2">
        <v>6.2399997709999999</v>
      </c>
      <c r="I845" s="2">
        <v>5.0000001000000002E-2</v>
      </c>
      <c r="J845" s="2">
        <v>73</v>
      </c>
      <c r="K845" s="2">
        <v>19</v>
      </c>
      <c r="L845" s="2">
        <v>217</v>
      </c>
      <c r="M845" s="2">
        <v>1131</v>
      </c>
      <c r="N845" s="2">
        <v>20226</v>
      </c>
      <c r="O845" s="2">
        <v>3710</v>
      </c>
    </row>
    <row r="846" spans="1:15" x14ac:dyDescent="0.35">
      <c r="A846" s="2">
        <v>8253242879</v>
      </c>
      <c r="B846" s="3">
        <v>42488</v>
      </c>
      <c r="C846" s="2">
        <v>1.7999999520000001</v>
      </c>
      <c r="D846" s="2">
        <v>1.7999999520000001</v>
      </c>
      <c r="E846" s="2">
        <v>0</v>
      </c>
      <c r="F846" s="2">
        <v>0.670000017</v>
      </c>
      <c r="G846" s="2">
        <v>0.77999997099999996</v>
      </c>
      <c r="H846" s="2">
        <v>0.34000000400000002</v>
      </c>
      <c r="I846" s="2">
        <v>0</v>
      </c>
      <c r="J846" s="2">
        <v>11</v>
      </c>
      <c r="K846" s="2">
        <v>16</v>
      </c>
      <c r="L846" s="2">
        <v>20</v>
      </c>
      <c r="M846" s="2">
        <v>1393</v>
      </c>
      <c r="N846" s="2">
        <v>2718</v>
      </c>
      <c r="O846" s="2">
        <v>1580</v>
      </c>
    </row>
    <row r="847" spans="1:15" x14ac:dyDescent="0.35">
      <c r="A847" s="2">
        <v>2873212765</v>
      </c>
      <c r="B847" s="3">
        <v>42476</v>
      </c>
      <c r="C847" s="2">
        <v>6.6500000950000002</v>
      </c>
      <c r="D847" s="2">
        <v>6.6500000950000002</v>
      </c>
      <c r="E847" s="2">
        <v>0</v>
      </c>
      <c r="F847" s="2">
        <v>3.1099998950000001</v>
      </c>
      <c r="G847" s="2">
        <v>0.02</v>
      </c>
      <c r="H847" s="2">
        <v>3.5099999899999998</v>
      </c>
      <c r="I847" s="2">
        <v>0.01</v>
      </c>
      <c r="J847" s="2">
        <v>47</v>
      </c>
      <c r="K847" s="2">
        <v>1</v>
      </c>
      <c r="L847" s="2">
        <v>305</v>
      </c>
      <c r="M847" s="2">
        <v>1087</v>
      </c>
      <c r="N847" s="2">
        <v>9685</v>
      </c>
      <c r="O847" s="2">
        <v>2148</v>
      </c>
    </row>
    <row r="848" spans="1:15" x14ac:dyDescent="0.35">
      <c r="A848" s="2">
        <v>2026352035</v>
      </c>
      <c r="B848" s="3">
        <v>42488</v>
      </c>
      <c r="C848" s="2">
        <v>3.9500000480000002</v>
      </c>
      <c r="D848" s="2">
        <v>3.9500000480000002</v>
      </c>
      <c r="E848" s="2">
        <v>0</v>
      </c>
      <c r="F848" s="2">
        <v>0</v>
      </c>
      <c r="G848" s="2">
        <v>0</v>
      </c>
      <c r="H848" s="2">
        <v>3.9500000480000002</v>
      </c>
      <c r="I848" s="2">
        <v>0</v>
      </c>
      <c r="J848" s="2">
        <v>0</v>
      </c>
      <c r="K848" s="2">
        <v>0</v>
      </c>
      <c r="L848" s="2">
        <v>331</v>
      </c>
      <c r="M848" s="2">
        <v>626</v>
      </c>
      <c r="N848" s="2">
        <v>6375</v>
      </c>
      <c r="O848" s="2">
        <v>1649</v>
      </c>
    </row>
    <row r="849" spans="1:15" x14ac:dyDescent="0.35">
      <c r="A849" s="2">
        <v>2022484408</v>
      </c>
      <c r="B849" s="3">
        <v>42479</v>
      </c>
      <c r="C849" s="2">
        <v>8.5299997330000004</v>
      </c>
      <c r="D849" s="2">
        <v>8.5299997330000004</v>
      </c>
      <c r="E849" s="2">
        <v>0</v>
      </c>
      <c r="F849" s="2">
        <v>3.289999962</v>
      </c>
      <c r="G849" s="2">
        <v>0.23999999499999999</v>
      </c>
      <c r="H849" s="2">
        <v>5</v>
      </c>
      <c r="I849" s="2">
        <v>0</v>
      </c>
      <c r="J849" s="2">
        <v>31</v>
      </c>
      <c r="K849" s="2">
        <v>7</v>
      </c>
      <c r="L849" s="2">
        <v>250</v>
      </c>
      <c r="M849" s="2">
        <v>1152</v>
      </c>
      <c r="N849" s="2">
        <v>11548</v>
      </c>
      <c r="O849" s="2">
        <v>2489</v>
      </c>
    </row>
    <row r="850" spans="1:15" x14ac:dyDescent="0.35">
      <c r="A850" s="2">
        <v>5553957443</v>
      </c>
      <c r="B850" s="3">
        <v>42374</v>
      </c>
      <c r="C850" s="2">
        <v>3.369999886</v>
      </c>
      <c r="D850" s="2">
        <v>3.369999886</v>
      </c>
      <c r="E850" s="2">
        <v>0</v>
      </c>
      <c r="F850" s="2">
        <v>0</v>
      </c>
      <c r="G850" s="2">
        <v>0</v>
      </c>
      <c r="H850" s="2">
        <v>3.369999886</v>
      </c>
      <c r="I850" s="2">
        <v>0</v>
      </c>
      <c r="J850" s="2">
        <v>0</v>
      </c>
      <c r="K850" s="2">
        <v>0</v>
      </c>
      <c r="L850" s="2">
        <v>237</v>
      </c>
      <c r="M850" s="2">
        <v>436</v>
      </c>
      <c r="N850" s="2">
        <v>5164</v>
      </c>
      <c r="O850" s="2">
        <v>1747</v>
      </c>
    </row>
    <row r="851" spans="1:15" x14ac:dyDescent="0.35">
      <c r="A851" s="2">
        <v>7007744171</v>
      </c>
      <c r="B851" s="3">
        <v>42490</v>
      </c>
      <c r="C851" s="2">
        <v>2.5199999809999998</v>
      </c>
      <c r="D851" s="2">
        <v>2.5199999809999998</v>
      </c>
      <c r="E851" s="2">
        <v>0</v>
      </c>
      <c r="F851" s="2">
        <v>0</v>
      </c>
      <c r="G851" s="2">
        <v>0</v>
      </c>
      <c r="H851" s="2">
        <v>2.5199999809999998</v>
      </c>
      <c r="I851" s="2">
        <v>0</v>
      </c>
      <c r="J851" s="2">
        <v>0</v>
      </c>
      <c r="K851" s="2">
        <v>0</v>
      </c>
      <c r="L851" s="2">
        <v>200</v>
      </c>
      <c r="M851" s="2">
        <v>1240</v>
      </c>
      <c r="N851" s="2">
        <v>3761</v>
      </c>
      <c r="O851" s="2">
        <v>2051</v>
      </c>
    </row>
    <row r="852" spans="1:15" x14ac:dyDescent="0.35">
      <c r="A852" s="2">
        <v>4319703577</v>
      </c>
      <c r="B852" s="3">
        <v>42405</v>
      </c>
      <c r="C852" s="2">
        <v>6.2399997709999999</v>
      </c>
      <c r="D852" s="2">
        <v>6.2399997709999999</v>
      </c>
      <c r="E852" s="2">
        <v>0</v>
      </c>
      <c r="F852" s="2">
        <v>0</v>
      </c>
      <c r="G852" s="2">
        <v>0.439999998</v>
      </c>
      <c r="H852" s="2">
        <v>5.7100000380000004</v>
      </c>
      <c r="I852" s="2">
        <v>0</v>
      </c>
      <c r="J852" s="2">
        <v>0</v>
      </c>
      <c r="K852" s="2">
        <v>11</v>
      </c>
      <c r="L852" s="2">
        <v>344</v>
      </c>
      <c r="M852" s="2">
        <v>585</v>
      </c>
      <c r="N852" s="2">
        <v>9261</v>
      </c>
      <c r="O852" s="2">
        <v>2270</v>
      </c>
    </row>
    <row r="853" spans="1:15" x14ac:dyDescent="0.35">
      <c r="A853" s="2">
        <v>6962181067</v>
      </c>
      <c r="B853" s="3">
        <v>42465</v>
      </c>
      <c r="C853" s="2">
        <v>6.7100000380000004</v>
      </c>
      <c r="D853" s="2">
        <v>6.7100000380000004</v>
      </c>
      <c r="E853" s="2">
        <v>0</v>
      </c>
      <c r="F853" s="2">
        <v>0.469999999</v>
      </c>
      <c r="G853" s="2">
        <v>1.6799999480000001</v>
      </c>
      <c r="H853" s="2">
        <v>4.5500001909999996</v>
      </c>
      <c r="I853" s="2">
        <v>0</v>
      </c>
      <c r="J853" s="2">
        <v>15</v>
      </c>
      <c r="K853" s="2">
        <v>36</v>
      </c>
      <c r="L853" s="2">
        <v>284</v>
      </c>
      <c r="M853" s="2">
        <v>683</v>
      </c>
      <c r="N853" s="2">
        <v>10147</v>
      </c>
      <c r="O853" s="2">
        <v>2086</v>
      </c>
    </row>
    <row r="854" spans="1:15" x14ac:dyDescent="0.35">
      <c r="A854" s="2">
        <v>4558609924</v>
      </c>
      <c r="B854" s="3">
        <v>42474</v>
      </c>
      <c r="C854" s="2">
        <v>4.4899997709999999</v>
      </c>
      <c r="D854" s="2">
        <v>4.4899997709999999</v>
      </c>
      <c r="E854" s="2">
        <v>0</v>
      </c>
      <c r="F854" s="2">
        <v>0</v>
      </c>
      <c r="G854" s="2">
        <v>0</v>
      </c>
      <c r="H854" s="2">
        <v>4.4899997709999999</v>
      </c>
      <c r="I854" s="2">
        <v>0</v>
      </c>
      <c r="J854" s="2">
        <v>0</v>
      </c>
      <c r="K854" s="2">
        <v>0</v>
      </c>
      <c r="L854" s="2">
        <v>279</v>
      </c>
      <c r="M854" s="2">
        <v>1161</v>
      </c>
      <c r="N854" s="2">
        <v>6799</v>
      </c>
      <c r="O854" s="2">
        <v>1922</v>
      </c>
    </row>
    <row r="855" spans="1:15" x14ac:dyDescent="0.35">
      <c r="A855" s="2">
        <v>8378563200</v>
      </c>
      <c r="B855" s="3">
        <v>42475</v>
      </c>
      <c r="C855" s="2">
        <v>11.47000027</v>
      </c>
      <c r="D855" s="2">
        <v>11.47000027</v>
      </c>
      <c r="E855" s="2">
        <v>0</v>
      </c>
      <c r="F855" s="2">
        <v>4.9099998469999999</v>
      </c>
      <c r="G855" s="2">
        <v>1.1499999759999999</v>
      </c>
      <c r="H855" s="2">
        <v>5.4099998469999999</v>
      </c>
      <c r="I855" s="2">
        <v>0</v>
      </c>
      <c r="J855" s="2">
        <v>60</v>
      </c>
      <c r="K855" s="2">
        <v>23</v>
      </c>
      <c r="L855" s="2">
        <v>190</v>
      </c>
      <c r="M855" s="2">
        <v>729</v>
      </c>
      <c r="N855" s="2">
        <v>14461</v>
      </c>
      <c r="O855" s="2">
        <v>3666</v>
      </c>
    </row>
    <row r="856" spans="1:15" x14ac:dyDescent="0.35">
      <c r="A856" s="2">
        <v>8053475328</v>
      </c>
      <c r="B856" s="3">
        <v>42475</v>
      </c>
      <c r="C856" s="2">
        <v>16.239999770000001</v>
      </c>
      <c r="D856" s="2">
        <v>16.239999770000001</v>
      </c>
      <c r="E856" s="2">
        <v>0</v>
      </c>
      <c r="F856" s="2">
        <v>13.260000229999999</v>
      </c>
      <c r="G856" s="2">
        <v>0.38999998600000002</v>
      </c>
      <c r="H856" s="2">
        <v>2.5899999139999998</v>
      </c>
      <c r="I856" s="2">
        <v>0</v>
      </c>
      <c r="J856" s="2">
        <v>132</v>
      </c>
      <c r="K856" s="2">
        <v>8</v>
      </c>
      <c r="L856" s="2">
        <v>158</v>
      </c>
      <c r="M856" s="2">
        <v>1142</v>
      </c>
      <c r="N856" s="2">
        <v>20669</v>
      </c>
      <c r="O856" s="2">
        <v>3410</v>
      </c>
    </row>
    <row r="857" spans="1:15" x14ac:dyDescent="0.35">
      <c r="A857" s="2">
        <v>1844505072</v>
      </c>
      <c r="B857" s="3">
        <v>42485</v>
      </c>
      <c r="C857" s="2">
        <v>0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2">
        <v>0</v>
      </c>
      <c r="J857" s="2">
        <v>0</v>
      </c>
      <c r="K857" s="2">
        <v>0</v>
      </c>
      <c r="L857" s="2">
        <v>0</v>
      </c>
      <c r="M857" s="2">
        <v>1440</v>
      </c>
      <c r="N857" s="2">
        <v>0</v>
      </c>
      <c r="O857" s="2">
        <v>1347</v>
      </c>
    </row>
    <row r="858" spans="1:15" x14ac:dyDescent="0.35">
      <c r="A858" s="2">
        <v>5553957443</v>
      </c>
      <c r="B858" s="3">
        <v>42679</v>
      </c>
      <c r="C858" s="2">
        <v>3.2200000289999999</v>
      </c>
      <c r="D858" s="2">
        <v>3.2200000289999999</v>
      </c>
      <c r="E858" s="2">
        <v>0</v>
      </c>
      <c r="F858" s="2">
        <v>0</v>
      </c>
      <c r="G858" s="2">
        <v>0</v>
      </c>
      <c r="H858" s="2">
        <v>3.2200000289999999</v>
      </c>
      <c r="I858" s="2">
        <v>0</v>
      </c>
      <c r="J858" s="2">
        <v>0</v>
      </c>
      <c r="K858" s="2">
        <v>0</v>
      </c>
      <c r="L858" s="2">
        <v>195</v>
      </c>
      <c r="M858" s="2">
        <v>628</v>
      </c>
      <c r="N858" s="2">
        <v>4926</v>
      </c>
      <c r="O858" s="2">
        <v>1693</v>
      </c>
    </row>
    <row r="859" spans="1:15" x14ac:dyDescent="0.35">
      <c r="A859" s="2">
        <v>4319703577</v>
      </c>
      <c r="B859" s="3">
        <v>42480</v>
      </c>
      <c r="C859" s="2">
        <v>6.0100002290000001</v>
      </c>
      <c r="D859" s="2">
        <v>6.0100002290000001</v>
      </c>
      <c r="E859" s="2">
        <v>0</v>
      </c>
      <c r="F859" s="2">
        <v>0</v>
      </c>
      <c r="G859" s="2">
        <v>0.68000000699999996</v>
      </c>
      <c r="H859" s="2">
        <v>5.3099999430000002</v>
      </c>
      <c r="I859" s="2">
        <v>0</v>
      </c>
      <c r="J859" s="2">
        <v>0</v>
      </c>
      <c r="K859" s="2">
        <v>18</v>
      </c>
      <c r="L859" s="2">
        <v>306</v>
      </c>
      <c r="M859" s="2">
        <v>671</v>
      </c>
      <c r="N859" s="2">
        <v>8954</v>
      </c>
      <c r="O859" s="2">
        <v>2220</v>
      </c>
    </row>
    <row r="860" spans="1:15" x14ac:dyDescent="0.35">
      <c r="A860" s="2">
        <v>1503960366</v>
      </c>
      <c r="B860" s="3">
        <v>42473</v>
      </c>
      <c r="C860" s="2">
        <v>6.9699997900000001</v>
      </c>
      <c r="D860" s="2">
        <v>6.9699997900000001</v>
      </c>
      <c r="E860" s="2">
        <v>0</v>
      </c>
      <c r="F860" s="2">
        <v>1.5700000519999999</v>
      </c>
      <c r="G860" s="2">
        <v>0.689999998</v>
      </c>
      <c r="H860" s="2">
        <v>4.7100000380000004</v>
      </c>
      <c r="I860" s="2">
        <v>0</v>
      </c>
      <c r="J860" s="2">
        <v>21</v>
      </c>
      <c r="K860" s="2">
        <v>19</v>
      </c>
      <c r="L860" s="2">
        <v>217</v>
      </c>
      <c r="M860" s="2">
        <v>776</v>
      </c>
      <c r="N860" s="2">
        <v>10735</v>
      </c>
      <c r="O860" s="2">
        <v>1797</v>
      </c>
    </row>
    <row r="861" spans="1:15" x14ac:dyDescent="0.35">
      <c r="A861" s="2">
        <v>8583815059</v>
      </c>
      <c r="B861" s="3">
        <v>42679</v>
      </c>
      <c r="C861" s="2">
        <v>6.7899999619999996</v>
      </c>
      <c r="D861" s="2">
        <v>6.7899999619999996</v>
      </c>
      <c r="E861" s="2">
        <v>0</v>
      </c>
      <c r="F861" s="2">
        <v>0.37000000500000002</v>
      </c>
      <c r="G861" s="2">
        <v>3.2400000100000002</v>
      </c>
      <c r="H861" s="2">
        <v>3.170000076</v>
      </c>
      <c r="I861" s="2">
        <v>0</v>
      </c>
      <c r="J861" s="2">
        <v>5</v>
      </c>
      <c r="K861" s="2">
        <v>71</v>
      </c>
      <c r="L861" s="2">
        <v>177</v>
      </c>
      <c r="M861" s="2">
        <v>1106</v>
      </c>
      <c r="N861" s="2">
        <v>8701</v>
      </c>
      <c r="O861" s="2">
        <v>2804</v>
      </c>
    </row>
    <row r="862" spans="1:15" x14ac:dyDescent="0.35">
      <c r="A862" s="2">
        <v>5553957443</v>
      </c>
      <c r="B862" s="3">
        <v>42556</v>
      </c>
      <c r="C862" s="2">
        <v>1.2200000289999999</v>
      </c>
      <c r="D862" s="2">
        <v>1.2200000289999999</v>
      </c>
      <c r="E862" s="2">
        <v>0</v>
      </c>
      <c r="F862" s="2">
        <v>0</v>
      </c>
      <c r="G862" s="2">
        <v>0</v>
      </c>
      <c r="H862" s="2">
        <v>1.2200000289999999</v>
      </c>
      <c r="I862" s="2">
        <v>0</v>
      </c>
      <c r="J862" s="2">
        <v>0</v>
      </c>
      <c r="K862" s="2">
        <v>0</v>
      </c>
      <c r="L862" s="2">
        <v>96</v>
      </c>
      <c r="M862" s="2">
        <v>902</v>
      </c>
      <c r="N862" s="2">
        <v>1868</v>
      </c>
      <c r="O862" s="2">
        <v>1494</v>
      </c>
    </row>
    <row r="863" spans="1:15" x14ac:dyDescent="0.35">
      <c r="A863" s="2">
        <v>1644430081</v>
      </c>
      <c r="B863" s="3">
        <v>42490</v>
      </c>
      <c r="C863" s="2">
        <v>13.239999770000001</v>
      </c>
      <c r="D863" s="2">
        <v>13.239999770000001</v>
      </c>
      <c r="E863" s="2">
        <v>0</v>
      </c>
      <c r="F863" s="2">
        <v>0.62999999500000003</v>
      </c>
      <c r="G863" s="2">
        <v>3.1400001049999999</v>
      </c>
      <c r="H863" s="2">
        <v>9.4600000380000004</v>
      </c>
      <c r="I863" s="2">
        <v>0</v>
      </c>
      <c r="J863" s="2">
        <v>9</v>
      </c>
      <c r="K863" s="2">
        <v>71</v>
      </c>
      <c r="L863" s="2">
        <v>402</v>
      </c>
      <c r="M863" s="2">
        <v>816</v>
      </c>
      <c r="N863" s="2">
        <v>18213</v>
      </c>
      <c r="O863" s="2">
        <v>3846</v>
      </c>
    </row>
    <row r="864" spans="1:15" x14ac:dyDescent="0.35">
      <c r="A864" s="2">
        <v>2026352035</v>
      </c>
      <c r="B864" s="3">
        <v>42405</v>
      </c>
      <c r="C864" s="2">
        <v>4.3499999049999998</v>
      </c>
      <c r="D864" s="2">
        <v>4.3499999049999998</v>
      </c>
      <c r="E864" s="2">
        <v>0</v>
      </c>
      <c r="F864" s="2">
        <v>0</v>
      </c>
      <c r="G864" s="2">
        <v>0</v>
      </c>
      <c r="H864" s="2">
        <v>4.3499999049999998</v>
      </c>
      <c r="I864" s="2">
        <v>0</v>
      </c>
      <c r="J864" s="2">
        <v>0</v>
      </c>
      <c r="K864" s="2">
        <v>0</v>
      </c>
      <c r="L864" s="2">
        <v>355</v>
      </c>
      <c r="M864" s="2">
        <v>716</v>
      </c>
      <c r="N864" s="2">
        <v>7018</v>
      </c>
      <c r="O864" s="2">
        <v>1690</v>
      </c>
    </row>
    <row r="865" spans="1:15" x14ac:dyDescent="0.35">
      <c r="A865" s="2">
        <v>1624580081</v>
      </c>
      <c r="B865" s="3">
        <v>42475</v>
      </c>
      <c r="C865" s="2">
        <v>0.980000019</v>
      </c>
      <c r="D865" s="2">
        <v>0.980000019</v>
      </c>
      <c r="E865" s="2">
        <v>0</v>
      </c>
      <c r="F865" s="2">
        <v>0</v>
      </c>
      <c r="G865" s="2">
        <v>0</v>
      </c>
      <c r="H865" s="2">
        <v>0.97000002900000004</v>
      </c>
      <c r="I865" s="2">
        <v>0</v>
      </c>
      <c r="J865" s="2">
        <v>0</v>
      </c>
      <c r="K865" s="2">
        <v>0</v>
      </c>
      <c r="L865" s="2">
        <v>96</v>
      </c>
      <c r="M865" s="2">
        <v>1344</v>
      </c>
      <c r="N865" s="2">
        <v>1510</v>
      </c>
      <c r="O865" s="2">
        <v>1344</v>
      </c>
    </row>
    <row r="866" spans="1:15" x14ac:dyDescent="0.35">
      <c r="A866" s="2">
        <v>8053475328</v>
      </c>
      <c r="B866" s="3">
        <v>42479</v>
      </c>
      <c r="C866" s="2">
        <v>12.47999954</v>
      </c>
      <c r="D866" s="2">
        <v>12.47999954</v>
      </c>
      <c r="E866" s="2">
        <v>0</v>
      </c>
      <c r="F866" s="2">
        <v>9.2200002669999996</v>
      </c>
      <c r="G866" s="2">
        <v>0.310000002</v>
      </c>
      <c r="H866" s="2">
        <v>2.9500000480000002</v>
      </c>
      <c r="I866" s="2">
        <v>0</v>
      </c>
      <c r="J866" s="2">
        <v>90</v>
      </c>
      <c r="K866" s="2">
        <v>7</v>
      </c>
      <c r="L866" s="2">
        <v>191</v>
      </c>
      <c r="M866" s="2">
        <v>1152</v>
      </c>
      <c r="N866" s="2">
        <v>15929</v>
      </c>
      <c r="O866" s="2">
        <v>3114</v>
      </c>
    </row>
    <row r="867" spans="1:15" x14ac:dyDescent="0.35">
      <c r="A867" s="2">
        <v>4702921684</v>
      </c>
      <c r="B867" s="3">
        <v>42475</v>
      </c>
      <c r="C867" s="2">
        <v>5.2800002099999999</v>
      </c>
      <c r="D867" s="2">
        <v>5.2800002099999999</v>
      </c>
      <c r="E867" s="2">
        <v>0</v>
      </c>
      <c r="F867" s="2">
        <v>7.0000000000000007E-2</v>
      </c>
      <c r="G867" s="2">
        <v>0.41999998700000002</v>
      </c>
      <c r="H867" s="2">
        <v>4.7899999619999996</v>
      </c>
      <c r="I867" s="2">
        <v>0</v>
      </c>
      <c r="J867" s="2">
        <v>1</v>
      </c>
      <c r="K867" s="2">
        <v>8</v>
      </c>
      <c r="L867" s="2">
        <v>256</v>
      </c>
      <c r="M867" s="2">
        <v>944</v>
      </c>
      <c r="N867" s="2">
        <v>6506</v>
      </c>
      <c r="O867" s="2">
        <v>2896</v>
      </c>
    </row>
    <row r="868" spans="1:15" x14ac:dyDescent="0.35">
      <c r="A868" s="2">
        <v>4388161847</v>
      </c>
      <c r="B868" s="3">
        <v>42487</v>
      </c>
      <c r="C868" s="2">
        <v>8.6099996569999995</v>
      </c>
      <c r="D868" s="2">
        <v>8.6099996569999995</v>
      </c>
      <c r="E868" s="2">
        <v>0</v>
      </c>
      <c r="F868" s="2">
        <v>0.69999998799999996</v>
      </c>
      <c r="G868" s="2">
        <v>2.5099999899999998</v>
      </c>
      <c r="H868" s="2">
        <v>5.3899998660000001</v>
      </c>
      <c r="I868" s="2">
        <v>0</v>
      </c>
      <c r="J868" s="2">
        <v>11</v>
      </c>
      <c r="K868" s="2">
        <v>48</v>
      </c>
      <c r="L868" s="2">
        <v>241</v>
      </c>
      <c r="M868" s="2">
        <v>684</v>
      </c>
      <c r="N868" s="2">
        <v>11193</v>
      </c>
      <c r="O868" s="2">
        <v>3074</v>
      </c>
    </row>
    <row r="869" spans="1:15" x14ac:dyDescent="0.35">
      <c r="A869" s="2">
        <v>4445114986</v>
      </c>
      <c r="B869" s="3">
        <v>42483</v>
      </c>
      <c r="C869" s="2">
        <v>2.9300000669999999</v>
      </c>
      <c r="D869" s="2">
        <v>2.9300000669999999</v>
      </c>
      <c r="E869" s="2">
        <v>0</v>
      </c>
      <c r="F869" s="2">
        <v>0</v>
      </c>
      <c r="G869" s="2">
        <v>0</v>
      </c>
      <c r="H869" s="2">
        <v>2.9300000669999999</v>
      </c>
      <c r="I869" s="2">
        <v>0</v>
      </c>
      <c r="J869" s="2">
        <v>0</v>
      </c>
      <c r="K869" s="2">
        <v>0</v>
      </c>
      <c r="L869" s="2">
        <v>201</v>
      </c>
      <c r="M869" s="2">
        <v>1239</v>
      </c>
      <c r="N869" s="2">
        <v>4363</v>
      </c>
      <c r="O869" s="2">
        <v>2149</v>
      </c>
    </row>
    <row r="870" spans="1:15" x14ac:dyDescent="0.35">
      <c r="A870" s="2">
        <v>4020332650</v>
      </c>
      <c r="B870" s="3">
        <v>42405</v>
      </c>
      <c r="C870" s="2">
        <v>0.34000000400000002</v>
      </c>
      <c r="D870" s="2">
        <v>0.34000000400000002</v>
      </c>
      <c r="E870" s="2">
        <v>0</v>
      </c>
      <c r="F870" s="2">
        <v>0</v>
      </c>
      <c r="G870" s="2">
        <v>3.9999999000000001E-2</v>
      </c>
      <c r="H870" s="2">
        <v>0.28999999199999998</v>
      </c>
      <c r="I870" s="2">
        <v>0</v>
      </c>
      <c r="J870" s="2">
        <v>0</v>
      </c>
      <c r="K870" s="2">
        <v>11</v>
      </c>
      <c r="L870" s="2">
        <v>31</v>
      </c>
      <c r="M870" s="2">
        <v>1350</v>
      </c>
      <c r="N870" s="2">
        <v>475</v>
      </c>
      <c r="O870" s="2">
        <v>2207</v>
      </c>
    </row>
    <row r="871" spans="1:15" x14ac:dyDescent="0.35">
      <c r="A871" s="2">
        <v>1644430081</v>
      </c>
      <c r="B871" s="3">
        <v>42679</v>
      </c>
      <c r="C871" s="2">
        <v>0.97000002900000004</v>
      </c>
      <c r="D871" s="2">
        <v>0.97000002900000004</v>
      </c>
      <c r="E871" s="2">
        <v>0</v>
      </c>
      <c r="F871" s="2">
        <v>0</v>
      </c>
      <c r="G871" s="2">
        <v>0</v>
      </c>
      <c r="H871" s="2">
        <v>0.94999998799999996</v>
      </c>
      <c r="I871" s="2">
        <v>0.01</v>
      </c>
      <c r="J871" s="2">
        <v>0</v>
      </c>
      <c r="K871" s="2">
        <v>0</v>
      </c>
      <c r="L871" s="2">
        <v>49</v>
      </c>
      <c r="M871" s="2">
        <v>713</v>
      </c>
      <c r="N871" s="2">
        <v>1329</v>
      </c>
      <c r="O871" s="2">
        <v>1276</v>
      </c>
    </row>
    <row r="872" spans="1:15" x14ac:dyDescent="0.35">
      <c r="A872" s="2">
        <v>3977333714</v>
      </c>
      <c r="B872" s="3">
        <v>42495</v>
      </c>
      <c r="C872" s="2">
        <v>8.5799999239999991</v>
      </c>
      <c r="D872" s="2">
        <v>8.5799999239999991</v>
      </c>
      <c r="E872" s="2">
        <v>0</v>
      </c>
      <c r="F872" s="2">
        <v>1.7599999900000001</v>
      </c>
      <c r="G872" s="2">
        <v>4.1100001339999999</v>
      </c>
      <c r="H872" s="2">
        <v>2.710000038</v>
      </c>
      <c r="I872" s="2">
        <v>0</v>
      </c>
      <c r="J872" s="2">
        <v>14</v>
      </c>
      <c r="K872" s="2">
        <v>88</v>
      </c>
      <c r="L872" s="2">
        <v>178</v>
      </c>
      <c r="M872" s="2">
        <v>680</v>
      </c>
      <c r="N872" s="2">
        <v>12312</v>
      </c>
      <c r="O872" s="2">
        <v>1618</v>
      </c>
    </row>
    <row r="873" spans="1:15" x14ac:dyDescent="0.35">
      <c r="A873" s="2">
        <v>5553957443</v>
      </c>
      <c r="B873" s="3">
        <v>42648</v>
      </c>
      <c r="C873" s="2">
        <v>10.710000040000001</v>
      </c>
      <c r="D873" s="2">
        <v>10.710000040000001</v>
      </c>
      <c r="E873" s="2">
        <v>0</v>
      </c>
      <c r="F873" s="2">
        <v>3.869999886</v>
      </c>
      <c r="G873" s="2">
        <v>1.6100000139999999</v>
      </c>
      <c r="H873" s="2">
        <v>5.1999998090000004</v>
      </c>
      <c r="I873" s="2">
        <v>0</v>
      </c>
      <c r="J873" s="2">
        <v>61</v>
      </c>
      <c r="K873" s="2">
        <v>40</v>
      </c>
      <c r="L873" s="2">
        <v>265</v>
      </c>
      <c r="M873" s="2">
        <v>707</v>
      </c>
      <c r="N873" s="2">
        <v>16358</v>
      </c>
      <c r="O873" s="2">
        <v>2335</v>
      </c>
    </row>
    <row r="874" spans="1:15" x14ac:dyDescent="0.35">
      <c r="A874" s="2">
        <v>3977333714</v>
      </c>
      <c r="B874" s="3">
        <v>42679</v>
      </c>
      <c r="C874" s="2">
        <v>0.5</v>
      </c>
      <c r="D874" s="2">
        <v>0.5</v>
      </c>
      <c r="E874" s="2">
        <v>0</v>
      </c>
      <c r="F874" s="2">
        <v>0.37000000500000002</v>
      </c>
      <c r="G874" s="2">
        <v>0</v>
      </c>
      <c r="H874" s="2">
        <v>0.12999999500000001</v>
      </c>
      <c r="I874" s="2">
        <v>0</v>
      </c>
      <c r="J874" s="2">
        <v>4</v>
      </c>
      <c r="K874" s="2">
        <v>0</v>
      </c>
      <c r="L874" s="2">
        <v>9</v>
      </c>
      <c r="M874" s="2">
        <v>13</v>
      </c>
      <c r="N874" s="2">
        <v>746</v>
      </c>
      <c r="O874" s="2">
        <v>52</v>
      </c>
    </row>
    <row r="875" spans="1:15" x14ac:dyDescent="0.35">
      <c r="A875" s="2">
        <v>8053475328</v>
      </c>
      <c r="B875" s="3">
        <v>42480</v>
      </c>
      <c r="C875" s="2">
        <v>12.18999958</v>
      </c>
      <c r="D875" s="2">
        <v>12.18999958</v>
      </c>
      <c r="E875" s="2">
        <v>0</v>
      </c>
      <c r="F875" s="2">
        <v>9.5799999239999991</v>
      </c>
      <c r="G875" s="2">
        <v>0.23000000400000001</v>
      </c>
      <c r="H875" s="2">
        <v>2.380000114</v>
      </c>
      <c r="I875" s="2">
        <v>0</v>
      </c>
      <c r="J875" s="2">
        <v>89</v>
      </c>
      <c r="K875" s="2">
        <v>5</v>
      </c>
      <c r="L875" s="2">
        <v>158</v>
      </c>
      <c r="M875" s="2">
        <v>695</v>
      </c>
      <c r="N875" s="2">
        <v>15108</v>
      </c>
      <c r="O875" s="2">
        <v>3043</v>
      </c>
    </row>
    <row r="876" spans="1:15" x14ac:dyDescent="0.35">
      <c r="A876" s="2">
        <v>2320127002</v>
      </c>
      <c r="B876" s="3">
        <v>42556</v>
      </c>
      <c r="C876" s="2">
        <v>4.9699997900000001</v>
      </c>
      <c r="D876" s="2">
        <v>4.9699997900000001</v>
      </c>
      <c r="E876" s="2">
        <v>0</v>
      </c>
      <c r="F876" s="2">
        <v>0</v>
      </c>
      <c r="G876" s="2">
        <v>0</v>
      </c>
      <c r="H876" s="2">
        <v>4.9699997900000001</v>
      </c>
      <c r="I876" s="2">
        <v>0</v>
      </c>
      <c r="J876" s="2">
        <v>0</v>
      </c>
      <c r="K876" s="2">
        <v>0</v>
      </c>
      <c r="L876" s="2">
        <v>319</v>
      </c>
      <c r="M876" s="2">
        <v>1121</v>
      </c>
      <c r="N876" s="2">
        <v>7379</v>
      </c>
      <c r="O876" s="2">
        <v>1972</v>
      </c>
    </row>
    <row r="877" spans="1:15" x14ac:dyDescent="0.35">
      <c r="A877" s="2">
        <v>1503960366</v>
      </c>
      <c r="B877" s="3">
        <v>42485</v>
      </c>
      <c r="C877" s="2">
        <v>9.8000001910000005</v>
      </c>
      <c r="D877" s="2">
        <v>9.8000001910000005</v>
      </c>
      <c r="E877" s="2">
        <v>0</v>
      </c>
      <c r="F877" s="2">
        <v>5.2899999619999996</v>
      </c>
      <c r="G877" s="2">
        <v>0.56999999300000004</v>
      </c>
      <c r="H877" s="2">
        <v>3.9400000569999998</v>
      </c>
      <c r="I877" s="2">
        <v>0</v>
      </c>
      <c r="J877" s="2">
        <v>73</v>
      </c>
      <c r="K877" s="2">
        <v>14</v>
      </c>
      <c r="L877" s="2">
        <v>216</v>
      </c>
      <c r="M877" s="2">
        <v>814</v>
      </c>
      <c r="N877" s="2">
        <v>15355</v>
      </c>
      <c r="O877" s="2">
        <v>2013</v>
      </c>
    </row>
    <row r="878" spans="1:15" x14ac:dyDescent="0.35">
      <c r="A878" s="2">
        <v>3372868164</v>
      </c>
      <c r="B878" s="3">
        <v>42374</v>
      </c>
      <c r="C878" s="2">
        <v>2.0999999049999998</v>
      </c>
      <c r="D878" s="2">
        <v>2.0999999049999998</v>
      </c>
      <c r="E878" s="2">
        <v>0</v>
      </c>
      <c r="F878" s="2">
        <v>0</v>
      </c>
      <c r="G878" s="2">
        <v>0</v>
      </c>
      <c r="H878" s="2">
        <v>2.0899999139999998</v>
      </c>
      <c r="I878" s="2">
        <v>0</v>
      </c>
      <c r="J878" s="2">
        <v>0</v>
      </c>
      <c r="K878" s="2">
        <v>0</v>
      </c>
      <c r="L878" s="2">
        <v>172</v>
      </c>
      <c r="M878" s="2">
        <v>842</v>
      </c>
      <c r="N878" s="2">
        <v>3077</v>
      </c>
      <c r="O878" s="2">
        <v>1237</v>
      </c>
    </row>
    <row r="879" spans="1:15" x14ac:dyDescent="0.35">
      <c r="A879" s="2">
        <v>6117666160</v>
      </c>
      <c r="B879" s="3">
        <v>42475</v>
      </c>
      <c r="C879" s="2">
        <v>10.59000015</v>
      </c>
      <c r="D879" s="2">
        <v>10.59000015</v>
      </c>
      <c r="E879" s="2">
        <v>0</v>
      </c>
      <c r="F879" s="2">
        <v>0</v>
      </c>
      <c r="G879" s="2">
        <v>0.280000001</v>
      </c>
      <c r="H879" s="2">
        <v>10.30000019</v>
      </c>
      <c r="I879" s="2">
        <v>0</v>
      </c>
      <c r="J879" s="2">
        <v>0</v>
      </c>
      <c r="K879" s="2">
        <v>6</v>
      </c>
      <c r="L879" s="2">
        <v>513</v>
      </c>
      <c r="M879" s="2">
        <v>921</v>
      </c>
      <c r="N879" s="2">
        <v>14019</v>
      </c>
      <c r="O879" s="2">
        <v>2865</v>
      </c>
    </row>
    <row r="880" spans="1:15" x14ac:dyDescent="0.35">
      <c r="A880" s="2">
        <v>4319703577</v>
      </c>
      <c r="B880" s="3">
        <v>42478</v>
      </c>
      <c r="C880" s="2">
        <v>1.5499999520000001</v>
      </c>
      <c r="D880" s="2">
        <v>1.5499999520000001</v>
      </c>
      <c r="E880" s="2">
        <v>0</v>
      </c>
      <c r="F880" s="2">
        <v>7.0000000000000007E-2</v>
      </c>
      <c r="G880" s="2">
        <v>0.33000001299999998</v>
      </c>
      <c r="H880" s="2">
        <v>1.1200000050000001</v>
      </c>
      <c r="I880" s="2">
        <v>0</v>
      </c>
      <c r="J880" s="2">
        <v>1</v>
      </c>
      <c r="K880" s="2">
        <v>9</v>
      </c>
      <c r="L880" s="2">
        <v>58</v>
      </c>
      <c r="M880" s="2">
        <v>824</v>
      </c>
      <c r="N880" s="2">
        <v>2276</v>
      </c>
      <c r="O880" s="2">
        <v>1632</v>
      </c>
    </row>
    <row r="881" spans="1:15" x14ac:dyDescent="0.35">
      <c r="A881" s="2">
        <v>2873212765</v>
      </c>
      <c r="B881" s="3">
        <v>42480</v>
      </c>
      <c r="C881" s="2">
        <v>6.3000001909999996</v>
      </c>
      <c r="D881" s="2">
        <v>6.3000001909999996</v>
      </c>
      <c r="E881" s="2">
        <v>0</v>
      </c>
      <c r="F881" s="2">
        <v>1.5099999900000001</v>
      </c>
      <c r="G881" s="2">
        <v>0.119999997</v>
      </c>
      <c r="H881" s="2">
        <v>4.6599998469999999</v>
      </c>
      <c r="I881" s="2">
        <v>0.01</v>
      </c>
      <c r="J881" s="2">
        <v>22</v>
      </c>
      <c r="K881" s="2">
        <v>5</v>
      </c>
      <c r="L881" s="2">
        <v>378</v>
      </c>
      <c r="M881" s="2">
        <v>1035</v>
      </c>
      <c r="N881" s="2">
        <v>9202</v>
      </c>
      <c r="O881" s="2">
        <v>2094</v>
      </c>
    </row>
    <row r="882" spans="1:15" x14ac:dyDescent="0.35">
      <c r="A882" s="2">
        <v>2022484408</v>
      </c>
      <c r="B882" s="3">
        <v>42484</v>
      </c>
      <c r="C882" s="2">
        <v>10.27999973</v>
      </c>
      <c r="D882" s="2">
        <v>10.27999973</v>
      </c>
      <c r="E882" s="2">
        <v>0</v>
      </c>
      <c r="F882" s="2">
        <v>4.5500001909999996</v>
      </c>
      <c r="G882" s="2">
        <v>1.1499999759999999</v>
      </c>
      <c r="H882" s="2">
        <v>4.579999924</v>
      </c>
      <c r="I882" s="2">
        <v>0</v>
      </c>
      <c r="J882" s="2">
        <v>37</v>
      </c>
      <c r="K882" s="2">
        <v>26</v>
      </c>
      <c r="L882" s="2">
        <v>216</v>
      </c>
      <c r="M882" s="2">
        <v>1161</v>
      </c>
      <c r="N882" s="2">
        <v>13481</v>
      </c>
      <c r="O882" s="2">
        <v>2529</v>
      </c>
    </row>
    <row r="883" spans="1:15" x14ac:dyDescent="0.35">
      <c r="A883" s="2">
        <v>8378563200</v>
      </c>
      <c r="B883" s="3">
        <v>42465</v>
      </c>
      <c r="C883" s="2">
        <v>6.2399997709999999</v>
      </c>
      <c r="D883" s="2">
        <v>6.2399997709999999</v>
      </c>
      <c r="E883" s="2">
        <v>0</v>
      </c>
      <c r="F883" s="2">
        <v>1.559999943</v>
      </c>
      <c r="G883" s="2">
        <v>0.49000000999999999</v>
      </c>
      <c r="H883" s="2">
        <v>4.1999998090000004</v>
      </c>
      <c r="I883" s="2">
        <v>0</v>
      </c>
      <c r="J883" s="2">
        <v>19</v>
      </c>
      <c r="K883" s="2">
        <v>10</v>
      </c>
      <c r="L883" s="2">
        <v>167</v>
      </c>
      <c r="M883" s="2">
        <v>680</v>
      </c>
      <c r="N883" s="2">
        <v>7875</v>
      </c>
      <c r="O883" s="2">
        <v>3110</v>
      </c>
    </row>
    <row r="884" spans="1:15" x14ac:dyDescent="0.35">
      <c r="A884" s="2">
        <v>8877689391</v>
      </c>
      <c r="B884" s="3">
        <v>42495</v>
      </c>
      <c r="C884" s="2">
        <v>10.670000079999999</v>
      </c>
      <c r="D884" s="2">
        <v>10.670000079999999</v>
      </c>
      <c r="E884" s="2">
        <v>0</v>
      </c>
      <c r="F884" s="2">
        <v>5.4600000380000004</v>
      </c>
      <c r="G884" s="2">
        <v>0.81999999300000004</v>
      </c>
      <c r="H884" s="2">
        <v>4.3699998860000004</v>
      </c>
      <c r="I884" s="2">
        <v>0</v>
      </c>
      <c r="J884" s="2">
        <v>67</v>
      </c>
      <c r="K884" s="2">
        <v>15</v>
      </c>
      <c r="L884" s="2">
        <v>188</v>
      </c>
      <c r="M884" s="2">
        <v>1170</v>
      </c>
      <c r="N884" s="2">
        <v>14055</v>
      </c>
      <c r="O884" s="2">
        <v>3052</v>
      </c>
    </row>
    <row r="885" spans="1:15" x14ac:dyDescent="0.35">
      <c r="A885" s="2">
        <v>6290855005</v>
      </c>
      <c r="B885" s="3">
        <v>42434</v>
      </c>
      <c r="C885" s="2">
        <v>4.5700001720000003</v>
      </c>
      <c r="D885" s="2">
        <v>4.5700001720000003</v>
      </c>
      <c r="E885" s="2">
        <v>0</v>
      </c>
      <c r="F885" s="2">
        <v>0</v>
      </c>
      <c r="G885" s="2">
        <v>0</v>
      </c>
      <c r="H885" s="2">
        <v>4.5700001720000003</v>
      </c>
      <c r="I885" s="2">
        <v>0</v>
      </c>
      <c r="J885" s="2">
        <v>0</v>
      </c>
      <c r="K885" s="2">
        <v>0</v>
      </c>
      <c r="L885" s="2">
        <v>240</v>
      </c>
      <c r="M885" s="2">
        <v>1200</v>
      </c>
      <c r="N885" s="2">
        <v>6047</v>
      </c>
      <c r="O885" s="2">
        <v>2671</v>
      </c>
    </row>
    <row r="886" spans="1:15" x14ac:dyDescent="0.35">
      <c r="A886" s="2">
        <v>8378563200</v>
      </c>
      <c r="B886" s="3">
        <v>42708</v>
      </c>
      <c r="C886" s="2">
        <v>6.0500001909999996</v>
      </c>
      <c r="D886" s="2">
        <v>6.0500001909999996</v>
      </c>
      <c r="E886" s="2">
        <v>2.2530810830000001</v>
      </c>
      <c r="F886" s="2">
        <v>0.829999983</v>
      </c>
      <c r="G886" s="2">
        <v>0.709999979</v>
      </c>
      <c r="H886" s="2">
        <v>4.5</v>
      </c>
      <c r="I886" s="2">
        <v>0</v>
      </c>
      <c r="J886" s="2">
        <v>65</v>
      </c>
      <c r="K886" s="2">
        <v>15</v>
      </c>
      <c r="L886" s="2">
        <v>156</v>
      </c>
      <c r="M886" s="2">
        <v>723</v>
      </c>
      <c r="N886" s="2">
        <v>7626</v>
      </c>
      <c r="O886" s="2">
        <v>3635</v>
      </c>
    </row>
    <row r="887" spans="1:15" x14ac:dyDescent="0.35">
      <c r="A887" s="2">
        <v>4558609924</v>
      </c>
      <c r="B887" s="3">
        <v>42482</v>
      </c>
      <c r="C887" s="2">
        <v>6.3499999049999998</v>
      </c>
      <c r="D887" s="2">
        <v>6.3499999049999998</v>
      </c>
      <c r="E887" s="2">
        <v>0</v>
      </c>
      <c r="F887" s="2">
        <v>1.3700000050000001</v>
      </c>
      <c r="G887" s="2">
        <v>1.5</v>
      </c>
      <c r="H887" s="2">
        <v>3.4700000289999999</v>
      </c>
      <c r="I887" s="2">
        <v>0</v>
      </c>
      <c r="J887" s="2">
        <v>20</v>
      </c>
      <c r="K887" s="2">
        <v>25</v>
      </c>
      <c r="L887" s="2">
        <v>273</v>
      </c>
      <c r="M887" s="2">
        <v>1122</v>
      </c>
      <c r="N887" s="2">
        <v>9601</v>
      </c>
      <c r="O887" s="2">
        <v>2094</v>
      </c>
    </row>
    <row r="888" spans="1:15" x14ac:dyDescent="0.35">
      <c r="A888" s="2">
        <v>8877689391</v>
      </c>
      <c r="B888" s="3">
        <v>42483</v>
      </c>
      <c r="C888" s="2">
        <v>7.4299998279999997</v>
      </c>
      <c r="D888" s="2">
        <v>7.4299998279999997</v>
      </c>
      <c r="E888" s="2">
        <v>0</v>
      </c>
      <c r="F888" s="2">
        <v>0</v>
      </c>
      <c r="G888" s="2">
        <v>0</v>
      </c>
      <c r="H888" s="2">
        <v>7.4000000950000002</v>
      </c>
      <c r="I888" s="2">
        <v>0.01</v>
      </c>
      <c r="J888" s="2">
        <v>102</v>
      </c>
      <c r="K888" s="2">
        <v>6</v>
      </c>
      <c r="L888" s="2">
        <v>300</v>
      </c>
      <c r="M888" s="2">
        <v>1032</v>
      </c>
      <c r="N888" s="2">
        <v>11200</v>
      </c>
      <c r="O888" s="2">
        <v>3891</v>
      </c>
    </row>
    <row r="889" spans="1:15" x14ac:dyDescent="0.35">
      <c r="A889" s="2">
        <v>4558609924</v>
      </c>
      <c r="B889" s="3">
        <v>42709</v>
      </c>
      <c r="C889" s="2">
        <v>4.170000076</v>
      </c>
      <c r="D889" s="2">
        <v>4.170000076</v>
      </c>
      <c r="E889" s="2">
        <v>0</v>
      </c>
      <c r="F889" s="2">
        <v>0</v>
      </c>
      <c r="G889" s="2">
        <v>0</v>
      </c>
      <c r="H889" s="2">
        <v>4.170000076</v>
      </c>
      <c r="I889" s="2">
        <v>0</v>
      </c>
      <c r="J889" s="2">
        <v>0</v>
      </c>
      <c r="K889" s="2">
        <v>0</v>
      </c>
      <c r="L889" s="2">
        <v>247</v>
      </c>
      <c r="M889" s="2">
        <v>736</v>
      </c>
      <c r="N889" s="2">
        <v>6307</v>
      </c>
      <c r="O889" s="2">
        <v>1452</v>
      </c>
    </row>
    <row r="890" spans="1:15" x14ac:dyDescent="0.35">
      <c r="A890" s="2">
        <v>8378563200</v>
      </c>
      <c r="B890" s="3">
        <v>42485</v>
      </c>
      <c r="C890" s="2">
        <v>9.8400001530000001</v>
      </c>
      <c r="D890" s="2">
        <v>9.8400001530000001</v>
      </c>
      <c r="E890" s="2">
        <v>2.0921471120000001</v>
      </c>
      <c r="F890" s="2">
        <v>5.0500001909999996</v>
      </c>
      <c r="G890" s="2">
        <v>0.87000000499999997</v>
      </c>
      <c r="H890" s="2">
        <v>3.920000076</v>
      </c>
      <c r="I890" s="2">
        <v>0</v>
      </c>
      <c r="J890" s="2">
        <v>117</v>
      </c>
      <c r="K890" s="2">
        <v>16</v>
      </c>
      <c r="L890" s="2">
        <v>141</v>
      </c>
      <c r="M890" s="2">
        <v>692</v>
      </c>
      <c r="N890" s="2">
        <v>12405</v>
      </c>
      <c r="O890" s="2">
        <v>4005</v>
      </c>
    </row>
    <row r="891" spans="1:15" x14ac:dyDescent="0.35">
      <c r="A891" s="2">
        <v>2320127002</v>
      </c>
      <c r="B891" s="3">
        <v>42618</v>
      </c>
      <c r="C891" s="2">
        <v>2.079999924</v>
      </c>
      <c r="D891" s="2">
        <v>2.079999924</v>
      </c>
      <c r="E891" s="2">
        <v>0</v>
      </c>
      <c r="F891" s="2">
        <v>0</v>
      </c>
      <c r="G891" s="2">
        <v>0</v>
      </c>
      <c r="H891" s="2">
        <v>2.079999924</v>
      </c>
      <c r="I891" s="2">
        <v>0</v>
      </c>
      <c r="J891" s="2">
        <v>0</v>
      </c>
      <c r="K891" s="2">
        <v>0</v>
      </c>
      <c r="L891" s="2">
        <v>145</v>
      </c>
      <c r="M891" s="2">
        <v>1295</v>
      </c>
      <c r="N891" s="2">
        <v>3090</v>
      </c>
      <c r="O891" s="2">
        <v>1630</v>
      </c>
    </row>
    <row r="892" spans="1:15" x14ac:dyDescent="0.35">
      <c r="A892" s="2">
        <v>5553957443</v>
      </c>
      <c r="B892" s="3">
        <v>42709</v>
      </c>
      <c r="C892" s="2">
        <v>2.039999962</v>
      </c>
      <c r="D892" s="2">
        <v>2.039999962</v>
      </c>
      <c r="E892" s="2">
        <v>0</v>
      </c>
      <c r="F892" s="2">
        <v>0.579999983</v>
      </c>
      <c r="G892" s="2">
        <v>0.40000000600000002</v>
      </c>
      <c r="H892" s="2">
        <v>1.059999943</v>
      </c>
      <c r="I892" s="2">
        <v>0</v>
      </c>
      <c r="J892" s="2">
        <v>8</v>
      </c>
      <c r="K892" s="2">
        <v>6</v>
      </c>
      <c r="L892" s="2">
        <v>48</v>
      </c>
      <c r="M892" s="2">
        <v>222</v>
      </c>
      <c r="N892" s="2">
        <v>3121</v>
      </c>
      <c r="O892" s="2">
        <v>741</v>
      </c>
    </row>
    <row r="893" spans="1:15" x14ac:dyDescent="0.35">
      <c r="A893" s="2">
        <v>8583815059</v>
      </c>
      <c r="B893" s="3">
        <v>42587</v>
      </c>
      <c r="C893" s="2">
        <v>7.1900000569999998</v>
      </c>
      <c r="D893" s="2">
        <v>7.1900000569999998</v>
      </c>
      <c r="E893" s="2">
        <v>0</v>
      </c>
      <c r="F893" s="2">
        <v>0.219999999</v>
      </c>
      <c r="G893" s="2">
        <v>3.3099999430000002</v>
      </c>
      <c r="H893" s="2">
        <v>3.6600000860000002</v>
      </c>
      <c r="I893" s="2">
        <v>0</v>
      </c>
      <c r="J893" s="2">
        <v>3</v>
      </c>
      <c r="K893" s="2">
        <v>72</v>
      </c>
      <c r="L893" s="2">
        <v>182</v>
      </c>
      <c r="M893" s="2">
        <v>1183</v>
      </c>
      <c r="N893" s="2">
        <v>9217</v>
      </c>
      <c r="O893" s="2">
        <v>2940</v>
      </c>
    </row>
    <row r="894" spans="1:15" x14ac:dyDescent="0.35">
      <c r="A894" s="2">
        <v>5553957443</v>
      </c>
      <c r="B894" s="3">
        <v>42587</v>
      </c>
      <c r="C894" s="2">
        <v>4</v>
      </c>
      <c r="D894" s="2">
        <v>4</v>
      </c>
      <c r="E894" s="2">
        <v>0</v>
      </c>
      <c r="F894" s="2">
        <v>0.219999999</v>
      </c>
      <c r="G894" s="2">
        <v>0.469999999</v>
      </c>
      <c r="H894" s="2">
        <v>3.2999999519999998</v>
      </c>
      <c r="I894" s="2">
        <v>0</v>
      </c>
      <c r="J894" s="2">
        <v>3</v>
      </c>
      <c r="K894" s="2">
        <v>8</v>
      </c>
      <c r="L894" s="2">
        <v>210</v>
      </c>
      <c r="M894" s="2">
        <v>505</v>
      </c>
      <c r="N894" s="2">
        <v>6083</v>
      </c>
      <c r="O894" s="2">
        <v>1762</v>
      </c>
    </row>
    <row r="895" spans="1:15" x14ac:dyDescent="0.35">
      <c r="A895" s="2">
        <v>6962181067</v>
      </c>
      <c r="B895" s="3">
        <v>42478</v>
      </c>
      <c r="C895" s="2">
        <v>7.5399999619999996</v>
      </c>
      <c r="D895" s="2">
        <v>7.5399999619999996</v>
      </c>
      <c r="E895" s="2">
        <v>0</v>
      </c>
      <c r="F895" s="2">
        <v>0.829999983</v>
      </c>
      <c r="G895" s="2">
        <v>2.3900001049999999</v>
      </c>
      <c r="H895" s="2">
        <v>4.3200001720000003</v>
      </c>
      <c r="I895" s="2">
        <v>0</v>
      </c>
      <c r="J895" s="2">
        <v>13</v>
      </c>
      <c r="K895" s="2">
        <v>42</v>
      </c>
      <c r="L895" s="2">
        <v>238</v>
      </c>
      <c r="M895" s="2">
        <v>689</v>
      </c>
      <c r="N895" s="2">
        <v>11404</v>
      </c>
      <c r="O895" s="2">
        <v>2039</v>
      </c>
    </row>
    <row r="896" spans="1:15" x14ac:dyDescent="0.35">
      <c r="A896" s="2">
        <v>2026352035</v>
      </c>
      <c r="B896" s="3">
        <v>42476</v>
      </c>
      <c r="C896" s="2">
        <v>1.5800000430000001</v>
      </c>
      <c r="D896" s="2">
        <v>1.5800000430000001</v>
      </c>
      <c r="E896" s="2">
        <v>0</v>
      </c>
      <c r="F896" s="2">
        <v>0</v>
      </c>
      <c r="G896" s="2">
        <v>0</v>
      </c>
      <c r="H896" s="2">
        <v>1.5800000430000001</v>
      </c>
      <c r="I896" s="2">
        <v>0</v>
      </c>
      <c r="J896" s="2">
        <v>0</v>
      </c>
      <c r="K896" s="2">
        <v>0</v>
      </c>
      <c r="L896" s="2">
        <v>150</v>
      </c>
      <c r="M896" s="2">
        <v>728</v>
      </c>
      <c r="N896" s="2">
        <v>2547</v>
      </c>
      <c r="O896" s="2">
        <v>1373</v>
      </c>
    </row>
    <row r="897" spans="1:15" x14ac:dyDescent="0.35">
      <c r="A897" s="2">
        <v>8053475328</v>
      </c>
      <c r="B897" s="3">
        <v>42486</v>
      </c>
      <c r="C897" s="2">
        <v>9.6199998860000004</v>
      </c>
      <c r="D897" s="2">
        <v>9.6199998860000004</v>
      </c>
      <c r="E897" s="2">
        <v>0</v>
      </c>
      <c r="F897" s="2">
        <v>6.3099999430000002</v>
      </c>
      <c r="G897" s="2">
        <v>0.20000000300000001</v>
      </c>
      <c r="H897" s="2">
        <v>3.0999999049999998</v>
      </c>
      <c r="I897" s="2">
        <v>0</v>
      </c>
      <c r="J897" s="2">
        <v>68</v>
      </c>
      <c r="K897" s="2">
        <v>5</v>
      </c>
      <c r="L897" s="2">
        <v>185</v>
      </c>
      <c r="M897" s="2">
        <v>1182</v>
      </c>
      <c r="N897" s="2">
        <v>12685</v>
      </c>
      <c r="O897" s="2">
        <v>2846</v>
      </c>
    </row>
    <row r="898" spans="1:15" x14ac:dyDescent="0.35">
      <c r="A898" s="2">
        <v>6962181067</v>
      </c>
      <c r="B898" s="3">
        <v>42374</v>
      </c>
      <c r="C898" s="2">
        <v>3.6099998950000001</v>
      </c>
      <c r="D898" s="2">
        <v>3.6099998950000001</v>
      </c>
      <c r="E898" s="2">
        <v>0</v>
      </c>
      <c r="F898" s="2">
        <v>0</v>
      </c>
      <c r="G898" s="2">
        <v>0</v>
      </c>
      <c r="H898" s="2">
        <v>3.6099998950000001</v>
      </c>
      <c r="I898" s="2">
        <v>0</v>
      </c>
      <c r="J898" s="2">
        <v>0</v>
      </c>
      <c r="K898" s="2">
        <v>0</v>
      </c>
      <c r="L898" s="2">
        <v>215</v>
      </c>
      <c r="M898" s="2">
        <v>722</v>
      </c>
      <c r="N898" s="2">
        <v>5454</v>
      </c>
      <c r="O898" s="2">
        <v>1740</v>
      </c>
    </row>
    <row r="899" spans="1:15" x14ac:dyDescent="0.35">
      <c r="A899" s="2">
        <v>4558609924</v>
      </c>
      <c r="B899" s="3">
        <v>42473</v>
      </c>
      <c r="C899" s="2">
        <v>3.289999962</v>
      </c>
      <c r="D899" s="2">
        <v>3.289999962</v>
      </c>
      <c r="E899" s="2">
        <v>0</v>
      </c>
      <c r="F899" s="2">
        <v>1.2400000099999999</v>
      </c>
      <c r="G899" s="2">
        <v>0.439999998</v>
      </c>
      <c r="H899" s="2">
        <v>1.6100000139999999</v>
      </c>
      <c r="I899" s="2">
        <v>0</v>
      </c>
      <c r="J899" s="2">
        <v>19</v>
      </c>
      <c r="K899" s="2">
        <v>7</v>
      </c>
      <c r="L899" s="2">
        <v>127</v>
      </c>
      <c r="M899" s="2">
        <v>1287</v>
      </c>
      <c r="N899" s="2">
        <v>4978</v>
      </c>
      <c r="O899" s="2">
        <v>1722</v>
      </c>
    </row>
    <row r="900" spans="1:15" x14ac:dyDescent="0.35">
      <c r="A900" s="2">
        <v>6962181067</v>
      </c>
      <c r="B900" s="3">
        <v>42473</v>
      </c>
      <c r="C900" s="2">
        <v>3.7400000100000002</v>
      </c>
      <c r="D900" s="2">
        <v>3.7400000100000002</v>
      </c>
      <c r="E900" s="2">
        <v>0</v>
      </c>
      <c r="F900" s="2">
        <v>0.56999999300000004</v>
      </c>
      <c r="G900" s="2">
        <v>1.210000038</v>
      </c>
      <c r="H900" s="2">
        <v>1.960000038</v>
      </c>
      <c r="I900" s="2">
        <v>0</v>
      </c>
      <c r="J900" s="2">
        <v>8</v>
      </c>
      <c r="K900" s="2">
        <v>24</v>
      </c>
      <c r="L900" s="2">
        <v>142</v>
      </c>
      <c r="M900" s="2">
        <v>548</v>
      </c>
      <c r="N900" s="2">
        <v>5652</v>
      </c>
      <c r="O900" s="2">
        <v>1718</v>
      </c>
    </row>
    <row r="901" spans="1:15" x14ac:dyDescent="0.35">
      <c r="A901" s="2">
        <v>4702921684</v>
      </c>
      <c r="B901" s="3">
        <v>42477</v>
      </c>
      <c r="C901" s="2">
        <v>10.289999959999999</v>
      </c>
      <c r="D901" s="2">
        <v>10.289999959999999</v>
      </c>
      <c r="E901" s="2">
        <v>0</v>
      </c>
      <c r="F901" s="2">
        <v>0.959999979</v>
      </c>
      <c r="G901" s="2">
        <v>3.460000038</v>
      </c>
      <c r="H901" s="2">
        <v>5.8800001139999996</v>
      </c>
      <c r="I901" s="2">
        <v>0</v>
      </c>
      <c r="J901" s="2">
        <v>12</v>
      </c>
      <c r="K901" s="2">
        <v>66</v>
      </c>
      <c r="L901" s="2">
        <v>302</v>
      </c>
      <c r="M901" s="2">
        <v>437</v>
      </c>
      <c r="N901" s="2">
        <v>12692</v>
      </c>
      <c r="O901" s="2">
        <v>3394</v>
      </c>
    </row>
    <row r="902" spans="1:15" x14ac:dyDescent="0.35">
      <c r="A902" s="2">
        <v>1624580081</v>
      </c>
      <c r="B902" s="3">
        <v>42618</v>
      </c>
      <c r="C902" s="2">
        <v>1.1299999949999999</v>
      </c>
      <c r="D902" s="2">
        <v>1.1299999949999999</v>
      </c>
      <c r="E902" s="2">
        <v>0</v>
      </c>
      <c r="F902" s="2">
        <v>0</v>
      </c>
      <c r="G902" s="2">
        <v>0</v>
      </c>
      <c r="H902" s="2">
        <v>1.1299999949999999</v>
      </c>
      <c r="I902" s="2">
        <v>0</v>
      </c>
      <c r="J902" s="2">
        <v>0</v>
      </c>
      <c r="K902" s="2">
        <v>0</v>
      </c>
      <c r="L902" s="2">
        <v>91</v>
      </c>
      <c r="M902" s="2">
        <v>1349</v>
      </c>
      <c r="N902" s="2">
        <v>1732</v>
      </c>
      <c r="O902" s="2">
        <v>1328</v>
      </c>
    </row>
    <row r="903" spans="1:15" x14ac:dyDescent="0.35">
      <c r="A903" s="2">
        <v>4558609924</v>
      </c>
      <c r="B903" s="3">
        <v>42708</v>
      </c>
      <c r="C903" s="2">
        <v>3.3900001049999999</v>
      </c>
      <c r="D903" s="2">
        <v>3.3900001049999999</v>
      </c>
      <c r="E903" s="2">
        <v>0</v>
      </c>
      <c r="F903" s="2">
        <v>0</v>
      </c>
      <c r="G903" s="2">
        <v>0</v>
      </c>
      <c r="H903" s="2">
        <v>3.3900001049999999</v>
      </c>
      <c r="I903" s="2">
        <v>0</v>
      </c>
      <c r="J903" s="2">
        <v>0</v>
      </c>
      <c r="K903" s="2">
        <v>0</v>
      </c>
      <c r="L903" s="2">
        <v>318</v>
      </c>
      <c r="M903" s="2">
        <v>1122</v>
      </c>
      <c r="N903" s="2">
        <v>5135</v>
      </c>
      <c r="O903" s="2">
        <v>1909</v>
      </c>
    </row>
    <row r="904" spans="1:15" x14ac:dyDescent="0.35">
      <c r="A904" s="2">
        <v>5553957443</v>
      </c>
      <c r="B904" s="3">
        <v>42526</v>
      </c>
      <c r="C904" s="2">
        <v>6.2899999619999996</v>
      </c>
      <c r="D904" s="2">
        <v>6.2899999619999996</v>
      </c>
      <c r="E904" s="2">
        <v>0</v>
      </c>
      <c r="F904" s="2">
        <v>1.519999981</v>
      </c>
      <c r="G904" s="2">
        <v>0.540000021</v>
      </c>
      <c r="H904" s="2">
        <v>4.2300000190000002</v>
      </c>
      <c r="I904" s="2">
        <v>0</v>
      </c>
      <c r="J904" s="2">
        <v>21</v>
      </c>
      <c r="K904" s="2">
        <v>9</v>
      </c>
      <c r="L904" s="2">
        <v>229</v>
      </c>
      <c r="M904" s="2">
        <v>761</v>
      </c>
      <c r="N904" s="2">
        <v>9632</v>
      </c>
      <c r="O904" s="2">
        <v>1916</v>
      </c>
    </row>
    <row r="905" spans="1:15" x14ac:dyDescent="0.35">
      <c r="A905" s="2">
        <v>8583815059</v>
      </c>
      <c r="B905" s="3">
        <v>42479</v>
      </c>
      <c r="C905" s="2">
        <v>4.4400000569999998</v>
      </c>
      <c r="D905" s="2">
        <v>4.4400000569999998</v>
      </c>
      <c r="E905" s="2">
        <v>0</v>
      </c>
      <c r="F905" s="2">
        <v>0.52999997099999996</v>
      </c>
      <c r="G905" s="2">
        <v>0.47999998900000002</v>
      </c>
      <c r="H905" s="2">
        <v>3.4400000569999998</v>
      </c>
      <c r="I905" s="2">
        <v>0</v>
      </c>
      <c r="J905" s="2">
        <v>7</v>
      </c>
      <c r="K905" s="2">
        <v>10</v>
      </c>
      <c r="L905" s="2">
        <v>166</v>
      </c>
      <c r="M905" s="2">
        <v>1257</v>
      </c>
      <c r="N905" s="2">
        <v>5697</v>
      </c>
      <c r="O905" s="2">
        <v>2668</v>
      </c>
    </row>
    <row r="906" spans="1:15" x14ac:dyDescent="0.35">
      <c r="A906" s="2">
        <v>7086361926</v>
      </c>
      <c r="B906" s="3">
        <v>42482</v>
      </c>
      <c r="C906" s="2">
        <v>6.5300002099999999</v>
      </c>
      <c r="D906" s="2">
        <v>6.5300002099999999</v>
      </c>
      <c r="E906" s="2">
        <v>0</v>
      </c>
      <c r="F906" s="2">
        <v>2.869999886</v>
      </c>
      <c r="G906" s="2">
        <v>0.97000002900000004</v>
      </c>
      <c r="H906" s="2">
        <v>2.670000076</v>
      </c>
      <c r="I906" s="2">
        <v>0</v>
      </c>
      <c r="J906" s="2">
        <v>58</v>
      </c>
      <c r="K906" s="2">
        <v>59</v>
      </c>
      <c r="L906" s="2">
        <v>153</v>
      </c>
      <c r="M906" s="2">
        <v>762</v>
      </c>
      <c r="N906" s="2">
        <v>9753</v>
      </c>
      <c r="O906" s="2">
        <v>2846</v>
      </c>
    </row>
    <row r="907" spans="1:15" x14ac:dyDescent="0.35">
      <c r="A907" s="2">
        <v>2347167796</v>
      </c>
      <c r="B907" s="3">
        <v>42477</v>
      </c>
      <c r="C907" s="2">
        <v>3.619999886</v>
      </c>
      <c r="D907" s="2">
        <v>3.619999886</v>
      </c>
      <c r="E907" s="2">
        <v>0</v>
      </c>
      <c r="F907" s="2">
        <v>7.9999998000000003E-2</v>
      </c>
      <c r="G907" s="2">
        <v>0.280000001</v>
      </c>
      <c r="H907" s="2">
        <v>3.2599999899999998</v>
      </c>
      <c r="I907" s="2">
        <v>0</v>
      </c>
      <c r="J907" s="2">
        <v>1</v>
      </c>
      <c r="K907" s="2">
        <v>7</v>
      </c>
      <c r="L907" s="2">
        <v>249</v>
      </c>
      <c r="M907" s="2">
        <v>508</v>
      </c>
      <c r="N907" s="2">
        <v>5472</v>
      </c>
      <c r="O907" s="2">
        <v>1882</v>
      </c>
    </row>
    <row r="908" spans="1:15" x14ac:dyDescent="0.35">
      <c r="A908" s="2">
        <v>1503960366</v>
      </c>
      <c r="B908" s="3">
        <v>42434</v>
      </c>
      <c r="C908" s="2">
        <v>9.6599998469999999</v>
      </c>
      <c r="D908" s="2">
        <v>9.6599998469999999</v>
      </c>
      <c r="E908" s="2">
        <v>0</v>
      </c>
      <c r="F908" s="2">
        <v>3.7300000190000002</v>
      </c>
      <c r="G908" s="2">
        <v>1.0499999520000001</v>
      </c>
      <c r="H908" s="2">
        <v>4.8800001139999996</v>
      </c>
      <c r="I908" s="2">
        <v>0</v>
      </c>
      <c r="J908" s="2">
        <v>50</v>
      </c>
      <c r="K908" s="2">
        <v>24</v>
      </c>
      <c r="L908" s="2">
        <v>254</v>
      </c>
      <c r="M908" s="2">
        <v>816</v>
      </c>
      <c r="N908" s="2">
        <v>15103</v>
      </c>
      <c r="O908" s="2">
        <v>1990</v>
      </c>
    </row>
    <row r="909" spans="1:15" x14ac:dyDescent="0.35">
      <c r="A909" s="2">
        <v>3372868164</v>
      </c>
      <c r="B909" s="3">
        <v>42489</v>
      </c>
      <c r="C909" s="2">
        <v>6.2300000190000002</v>
      </c>
      <c r="D909" s="2">
        <v>6.2300000190000002</v>
      </c>
      <c r="E909" s="2">
        <v>0</v>
      </c>
      <c r="F909" s="2">
        <v>0</v>
      </c>
      <c r="G909" s="2">
        <v>0</v>
      </c>
      <c r="H909" s="2">
        <v>6.2199997900000001</v>
      </c>
      <c r="I909" s="2">
        <v>0.01</v>
      </c>
      <c r="J909" s="2">
        <v>0</v>
      </c>
      <c r="K909" s="2">
        <v>0</v>
      </c>
      <c r="L909" s="2">
        <v>402</v>
      </c>
      <c r="M909" s="2">
        <v>1038</v>
      </c>
      <c r="N909" s="2">
        <v>9135</v>
      </c>
      <c r="O909" s="2">
        <v>2044</v>
      </c>
    </row>
    <row r="910" spans="1:15" x14ac:dyDescent="0.35">
      <c r="A910" s="2">
        <v>4445114986</v>
      </c>
      <c r="B910" s="3">
        <v>42488</v>
      </c>
      <c r="C910" s="2">
        <v>3.0099999899999998</v>
      </c>
      <c r="D910" s="2">
        <v>3.0099999899999998</v>
      </c>
      <c r="E910" s="2">
        <v>0</v>
      </c>
      <c r="F910" s="2">
        <v>0</v>
      </c>
      <c r="G910" s="2">
        <v>0</v>
      </c>
      <c r="H910" s="2">
        <v>3.0099999899999998</v>
      </c>
      <c r="I910" s="2">
        <v>0</v>
      </c>
      <c r="J910" s="2">
        <v>0</v>
      </c>
      <c r="K910" s="2">
        <v>0</v>
      </c>
      <c r="L910" s="2">
        <v>236</v>
      </c>
      <c r="M910" s="2">
        <v>762</v>
      </c>
      <c r="N910" s="2">
        <v>4493</v>
      </c>
      <c r="O910" s="2">
        <v>2203</v>
      </c>
    </row>
    <row r="911" spans="1:15" x14ac:dyDescent="0.35">
      <c r="A911" s="2">
        <v>2022484408</v>
      </c>
      <c r="B911" s="3">
        <v>42478</v>
      </c>
      <c r="C911" s="2">
        <v>10.06999969</v>
      </c>
      <c r="D911" s="2">
        <v>10.06999969</v>
      </c>
      <c r="E911" s="2">
        <v>0</v>
      </c>
      <c r="F911" s="2">
        <v>3.6400001049999999</v>
      </c>
      <c r="G911" s="2">
        <v>0.119999997</v>
      </c>
      <c r="H911" s="2">
        <v>6.3000001909999996</v>
      </c>
      <c r="I911" s="2">
        <v>0</v>
      </c>
      <c r="J911" s="2">
        <v>48</v>
      </c>
      <c r="K911" s="2">
        <v>3</v>
      </c>
      <c r="L911" s="2">
        <v>311</v>
      </c>
      <c r="M911" s="2">
        <v>1078</v>
      </c>
      <c r="N911" s="2">
        <v>14131</v>
      </c>
      <c r="O911" s="2">
        <v>2770</v>
      </c>
    </row>
    <row r="912" spans="1:15" x14ac:dyDescent="0.35">
      <c r="A912" s="2">
        <v>2873212765</v>
      </c>
      <c r="B912" s="3">
        <v>42483</v>
      </c>
      <c r="C912" s="2">
        <v>6.3499999049999998</v>
      </c>
      <c r="D912" s="2">
        <v>6.3499999049999998</v>
      </c>
      <c r="E912" s="2">
        <v>0</v>
      </c>
      <c r="F912" s="2">
        <v>2.0899999139999998</v>
      </c>
      <c r="G912" s="2">
        <v>0.23000000400000001</v>
      </c>
      <c r="H912" s="2">
        <v>4.0199999809999998</v>
      </c>
      <c r="I912" s="2">
        <v>0.01</v>
      </c>
      <c r="J912" s="2">
        <v>28</v>
      </c>
      <c r="K912" s="2">
        <v>5</v>
      </c>
      <c r="L912" s="2">
        <v>330</v>
      </c>
      <c r="M912" s="2">
        <v>1077</v>
      </c>
      <c r="N912" s="2">
        <v>9317</v>
      </c>
      <c r="O912" s="2">
        <v>2021</v>
      </c>
    </row>
    <row r="913" spans="1:15" x14ac:dyDescent="0.35">
      <c r="A913" s="2">
        <v>2026352035</v>
      </c>
      <c r="B913" s="3">
        <v>42478</v>
      </c>
      <c r="C913" s="2">
        <v>2.0599999430000002</v>
      </c>
      <c r="D913" s="2">
        <v>2.0599999430000002</v>
      </c>
      <c r="E913" s="2">
        <v>0</v>
      </c>
      <c r="F913" s="2">
        <v>0</v>
      </c>
      <c r="G913" s="2">
        <v>0</v>
      </c>
      <c r="H913" s="2">
        <v>2.0599999430000002</v>
      </c>
      <c r="I913" s="2">
        <v>0</v>
      </c>
      <c r="J913" s="2">
        <v>0</v>
      </c>
      <c r="K913" s="2">
        <v>0</v>
      </c>
      <c r="L913" s="2">
        <v>182</v>
      </c>
      <c r="M913" s="2">
        <v>1062</v>
      </c>
      <c r="N913" s="2">
        <v>3325</v>
      </c>
      <c r="O913" s="2">
        <v>1419</v>
      </c>
    </row>
    <row r="914" spans="1:15" x14ac:dyDescent="0.35">
      <c r="A914" s="2">
        <v>4319703577</v>
      </c>
      <c r="B914" s="3">
        <v>42476</v>
      </c>
      <c r="C914" s="2">
        <v>3.1800000669999999</v>
      </c>
      <c r="D914" s="2">
        <v>3.1800000669999999</v>
      </c>
      <c r="E914" s="2">
        <v>0</v>
      </c>
      <c r="F914" s="2">
        <v>0</v>
      </c>
      <c r="G914" s="2">
        <v>0</v>
      </c>
      <c r="H914" s="2">
        <v>3.1800000669999999</v>
      </c>
      <c r="I914" s="2">
        <v>0</v>
      </c>
      <c r="J914" s="2">
        <v>0</v>
      </c>
      <c r="K914" s="2">
        <v>0</v>
      </c>
      <c r="L914" s="2">
        <v>194</v>
      </c>
      <c r="M914" s="2">
        <v>724</v>
      </c>
      <c r="N914" s="2">
        <v>4744</v>
      </c>
      <c r="O914" s="2">
        <v>1884</v>
      </c>
    </row>
    <row r="915" spans="1:15" x14ac:dyDescent="0.35">
      <c r="A915" s="2">
        <v>8253242879</v>
      </c>
      <c r="B915" s="3">
        <v>42478</v>
      </c>
      <c r="C915" s="2">
        <v>3.4800000190000002</v>
      </c>
      <c r="D915" s="2">
        <v>3.4800000190000002</v>
      </c>
      <c r="E915" s="2">
        <v>0</v>
      </c>
      <c r="F915" s="2">
        <v>1.039999962</v>
      </c>
      <c r="G915" s="2">
        <v>0.62999999500000003</v>
      </c>
      <c r="H915" s="2">
        <v>1.7999999520000001</v>
      </c>
      <c r="I915" s="2">
        <v>0</v>
      </c>
      <c r="J915" s="2">
        <v>16</v>
      </c>
      <c r="K915" s="2">
        <v>16</v>
      </c>
      <c r="L915" s="2">
        <v>130</v>
      </c>
      <c r="M915" s="2">
        <v>1278</v>
      </c>
      <c r="N915" s="2">
        <v>5151</v>
      </c>
      <c r="O915" s="2">
        <v>1829</v>
      </c>
    </row>
    <row r="916" spans="1:15" x14ac:dyDescent="0.35">
      <c r="A916" s="2">
        <v>4388161847</v>
      </c>
      <c r="B916" s="3">
        <v>42473</v>
      </c>
      <c r="C916" s="2">
        <v>8.4499998089999995</v>
      </c>
      <c r="D916" s="2">
        <v>8.4499998089999995</v>
      </c>
      <c r="E916" s="2">
        <v>0</v>
      </c>
      <c r="F916" s="2">
        <v>5.9999998999999998E-2</v>
      </c>
      <c r="G916" s="2">
        <v>0.62999999500000003</v>
      </c>
      <c r="H916" s="2">
        <v>3.880000114</v>
      </c>
      <c r="I916" s="2">
        <v>0</v>
      </c>
      <c r="J916" s="2">
        <v>1</v>
      </c>
      <c r="K916" s="2">
        <v>14</v>
      </c>
      <c r="L916" s="2">
        <v>150</v>
      </c>
      <c r="M916" s="2">
        <v>1275</v>
      </c>
      <c r="N916" s="2">
        <v>10993</v>
      </c>
      <c r="O916" s="2">
        <v>3092</v>
      </c>
    </row>
    <row r="917" spans="1:15" x14ac:dyDescent="0.35">
      <c r="A917" s="2">
        <v>4558609924</v>
      </c>
      <c r="B917" s="3">
        <v>42489</v>
      </c>
      <c r="C917" s="2">
        <v>5.1799998279999997</v>
      </c>
      <c r="D917" s="2">
        <v>5.1799998279999997</v>
      </c>
      <c r="E917" s="2">
        <v>0</v>
      </c>
      <c r="F917" s="2">
        <v>1.019999981</v>
      </c>
      <c r="G917" s="2">
        <v>1.8500000240000001</v>
      </c>
      <c r="H917" s="2">
        <v>2.3099999430000002</v>
      </c>
      <c r="I917" s="2">
        <v>0</v>
      </c>
      <c r="J917" s="2">
        <v>15</v>
      </c>
      <c r="K917" s="2">
        <v>29</v>
      </c>
      <c r="L917" s="2">
        <v>197</v>
      </c>
      <c r="M917" s="2">
        <v>1096</v>
      </c>
      <c r="N917" s="2">
        <v>7833</v>
      </c>
      <c r="O917" s="2">
        <v>1918</v>
      </c>
    </row>
    <row r="918" spans="1:15" x14ac:dyDescent="0.35">
      <c r="A918" s="2">
        <v>3977333714</v>
      </c>
      <c r="B918" s="3">
        <v>42618</v>
      </c>
      <c r="C918" s="2">
        <v>10.079999920000001</v>
      </c>
      <c r="D918" s="2">
        <v>10.079999920000001</v>
      </c>
      <c r="E918" s="2">
        <v>0</v>
      </c>
      <c r="F918" s="2">
        <v>0.769999981</v>
      </c>
      <c r="G918" s="2">
        <v>5.5999999049999998</v>
      </c>
      <c r="H918" s="2">
        <v>3.5499999519999998</v>
      </c>
      <c r="I918" s="2">
        <v>0</v>
      </c>
      <c r="J918" s="2">
        <v>8</v>
      </c>
      <c r="K918" s="2">
        <v>122</v>
      </c>
      <c r="L918" s="2">
        <v>151</v>
      </c>
      <c r="M918" s="2">
        <v>1159</v>
      </c>
      <c r="N918" s="2">
        <v>14687</v>
      </c>
      <c r="O918" s="2">
        <v>1667</v>
      </c>
    </row>
    <row r="919" spans="1:15" x14ac:dyDescent="0.35">
      <c r="A919" s="2">
        <v>8053475328</v>
      </c>
      <c r="B919" s="3">
        <v>42473</v>
      </c>
      <c r="C919" s="2">
        <v>13.350000380000001</v>
      </c>
      <c r="D919" s="2">
        <v>13.350000380000001</v>
      </c>
      <c r="E919" s="2">
        <v>0</v>
      </c>
      <c r="F919" s="2">
        <v>10.43000031</v>
      </c>
      <c r="G919" s="2">
        <v>0.469999999</v>
      </c>
      <c r="H919" s="2">
        <v>2.4500000480000002</v>
      </c>
      <c r="I919" s="2">
        <v>0</v>
      </c>
      <c r="J919" s="2">
        <v>95</v>
      </c>
      <c r="K919" s="2">
        <v>12</v>
      </c>
      <c r="L919" s="2">
        <v>156</v>
      </c>
      <c r="M919" s="2">
        <v>1177</v>
      </c>
      <c r="N919" s="2">
        <v>16433</v>
      </c>
      <c r="O919" s="2">
        <v>3140</v>
      </c>
    </row>
    <row r="920" spans="1:15" x14ac:dyDescent="0.35">
      <c r="A920" s="2">
        <v>3372868164</v>
      </c>
      <c r="B920" s="3">
        <v>42484</v>
      </c>
      <c r="C920" s="2">
        <v>4.5900001530000001</v>
      </c>
      <c r="D920" s="2">
        <v>4.5900001530000001</v>
      </c>
      <c r="E920" s="2">
        <v>0</v>
      </c>
      <c r="F920" s="2">
        <v>0.88999998599999997</v>
      </c>
      <c r="G920" s="2">
        <v>0.189999998</v>
      </c>
      <c r="H920" s="2">
        <v>3.4900000100000002</v>
      </c>
      <c r="I920" s="2">
        <v>0.02</v>
      </c>
      <c r="J920" s="2">
        <v>14</v>
      </c>
      <c r="K920" s="2">
        <v>7</v>
      </c>
      <c r="L920" s="2">
        <v>292</v>
      </c>
      <c r="M920" s="2">
        <v>1127</v>
      </c>
      <c r="N920" s="2">
        <v>6731</v>
      </c>
      <c r="O920" s="2">
        <v>1921</v>
      </c>
    </row>
    <row r="921" spans="1:15" x14ac:dyDescent="0.35">
      <c r="A921" s="2">
        <v>6775888955</v>
      </c>
      <c r="B921" s="3">
        <v>42479</v>
      </c>
      <c r="C921" s="2">
        <v>0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2">
        <v>0</v>
      </c>
      <c r="J921" s="2">
        <v>0</v>
      </c>
      <c r="K921" s="2">
        <v>0</v>
      </c>
      <c r="L921" s="2">
        <v>0</v>
      </c>
      <c r="M921" s="2">
        <v>1440</v>
      </c>
      <c r="N921" s="2">
        <v>0</v>
      </c>
      <c r="O921" s="2">
        <v>1841</v>
      </c>
    </row>
    <row r="922" spans="1:15" x14ac:dyDescent="0.35">
      <c r="A922" s="2">
        <v>1927972279</v>
      </c>
      <c r="B922" s="3">
        <v>42479</v>
      </c>
      <c r="C922" s="2">
        <v>0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2">
        <v>0</v>
      </c>
      <c r="J922" s="2">
        <v>0</v>
      </c>
      <c r="K922" s="2">
        <v>0</v>
      </c>
      <c r="L922" s="2">
        <v>0</v>
      </c>
      <c r="M922" s="2">
        <v>1440</v>
      </c>
      <c r="N922" s="2">
        <v>0</v>
      </c>
      <c r="O922" s="2">
        <v>2063</v>
      </c>
    </row>
    <row r="923" spans="1:15" x14ac:dyDescent="0.35">
      <c r="A923" s="2">
        <v>6775888955</v>
      </c>
      <c r="B923" s="3">
        <v>42481</v>
      </c>
      <c r="C923" s="2">
        <v>0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1440</v>
      </c>
      <c r="N923" s="2">
        <v>0</v>
      </c>
      <c r="O923" s="2">
        <v>1841</v>
      </c>
    </row>
    <row r="924" spans="1:15" x14ac:dyDescent="0.35">
      <c r="A924" s="2">
        <v>8583815059</v>
      </c>
      <c r="B924" s="3">
        <v>42465</v>
      </c>
      <c r="C924" s="2">
        <v>2.7999999519999998</v>
      </c>
      <c r="D924" s="2">
        <v>2.7999999519999998</v>
      </c>
      <c r="E924" s="2">
        <v>0</v>
      </c>
      <c r="F924" s="2">
        <v>0</v>
      </c>
      <c r="G924" s="2">
        <v>0</v>
      </c>
      <c r="H924" s="2">
        <v>0</v>
      </c>
      <c r="I924" s="2">
        <v>0</v>
      </c>
      <c r="J924" s="2">
        <v>0</v>
      </c>
      <c r="K924" s="2">
        <v>0</v>
      </c>
      <c r="L924" s="2">
        <v>0</v>
      </c>
      <c r="M924" s="2">
        <v>1440</v>
      </c>
      <c r="N924" s="2">
        <v>3588</v>
      </c>
      <c r="O924" s="2">
        <v>2516</v>
      </c>
    </row>
    <row r="925" spans="1:15" x14ac:dyDescent="0.35">
      <c r="A925" s="2">
        <v>1844505072</v>
      </c>
      <c r="B925" s="3">
        <v>42479</v>
      </c>
      <c r="C925" s="2">
        <v>0.12999999500000001</v>
      </c>
      <c r="D925" s="2">
        <v>0.12999999500000001</v>
      </c>
      <c r="E925" s="2">
        <v>0</v>
      </c>
      <c r="F925" s="2">
        <v>0</v>
      </c>
      <c r="G925" s="2">
        <v>0</v>
      </c>
      <c r="H925" s="2">
        <v>0.12999999500000001</v>
      </c>
      <c r="I925" s="2">
        <v>0</v>
      </c>
      <c r="J925" s="2">
        <v>0</v>
      </c>
      <c r="K925" s="2">
        <v>0</v>
      </c>
      <c r="L925" s="2">
        <v>10</v>
      </c>
      <c r="M925" s="2">
        <v>1430</v>
      </c>
      <c r="N925" s="2">
        <v>197</v>
      </c>
      <c r="O925" s="2">
        <v>1366</v>
      </c>
    </row>
    <row r="926" spans="1:15" x14ac:dyDescent="0.35">
      <c r="A926" s="2">
        <v>4020332650</v>
      </c>
      <c r="B926" s="3">
        <v>42587</v>
      </c>
      <c r="C926" s="2">
        <v>4.1999998090000004</v>
      </c>
      <c r="D926" s="2">
        <v>4.1999998090000004</v>
      </c>
      <c r="E926" s="2">
        <v>0</v>
      </c>
      <c r="F926" s="2">
        <v>0</v>
      </c>
      <c r="G926" s="2">
        <v>0</v>
      </c>
      <c r="H926" s="2">
        <v>4.1500000950000002</v>
      </c>
      <c r="I926" s="2">
        <v>0</v>
      </c>
      <c r="J926" s="2">
        <v>0</v>
      </c>
      <c r="K926" s="2">
        <v>0</v>
      </c>
      <c r="L926" s="2">
        <v>263</v>
      </c>
      <c r="M926" s="2">
        <v>775</v>
      </c>
      <c r="N926" s="2">
        <v>5862</v>
      </c>
      <c r="O926" s="2">
        <v>3089</v>
      </c>
    </row>
    <row r="927" spans="1:15" x14ac:dyDescent="0.35">
      <c r="A927" s="2">
        <v>1644430081</v>
      </c>
      <c r="B927" s="3">
        <v>42556</v>
      </c>
      <c r="C927" s="2">
        <v>9.7200002669999996</v>
      </c>
      <c r="D927" s="2">
        <v>9.7200002669999996</v>
      </c>
      <c r="E927" s="2">
        <v>0</v>
      </c>
      <c r="F927" s="2">
        <v>3.2599999899999998</v>
      </c>
      <c r="G927" s="2">
        <v>0.790000021</v>
      </c>
      <c r="H927" s="2">
        <v>5.670000076</v>
      </c>
      <c r="I927" s="2">
        <v>0.01</v>
      </c>
      <c r="J927" s="2">
        <v>41</v>
      </c>
      <c r="K927" s="2">
        <v>17</v>
      </c>
      <c r="L927" s="2">
        <v>243</v>
      </c>
      <c r="M927" s="2">
        <v>1139</v>
      </c>
      <c r="N927" s="2">
        <v>13372</v>
      </c>
      <c r="O927" s="2">
        <v>3404</v>
      </c>
    </row>
    <row r="928" spans="1:15" x14ac:dyDescent="0.35">
      <c r="A928" s="2">
        <v>4445114986</v>
      </c>
      <c r="B928" s="3">
        <v>42487</v>
      </c>
      <c r="C928" s="2">
        <v>5.0300002099999999</v>
      </c>
      <c r="D928" s="2">
        <v>5.0300002099999999</v>
      </c>
      <c r="E928" s="2">
        <v>0</v>
      </c>
      <c r="F928" s="2">
        <v>2.619999886</v>
      </c>
      <c r="G928" s="2">
        <v>2.9999998999999999E-2</v>
      </c>
      <c r="H928" s="2">
        <v>2.380000114</v>
      </c>
      <c r="I928" s="2">
        <v>0</v>
      </c>
      <c r="J928" s="2">
        <v>32</v>
      </c>
      <c r="K928" s="2">
        <v>1</v>
      </c>
      <c r="L928" s="2">
        <v>194</v>
      </c>
      <c r="M928" s="2">
        <v>839</v>
      </c>
      <c r="N928" s="2">
        <v>7243</v>
      </c>
      <c r="O928" s="2">
        <v>2361</v>
      </c>
    </row>
    <row r="929" spans="1:15" x14ac:dyDescent="0.35">
      <c r="A929" s="2">
        <v>3977333714</v>
      </c>
      <c r="B929" s="3">
        <v>42486</v>
      </c>
      <c r="C929" s="2">
        <v>7.6199998860000004</v>
      </c>
      <c r="D929" s="2">
        <v>7.6199998860000004</v>
      </c>
      <c r="E929" s="2">
        <v>0</v>
      </c>
      <c r="F929" s="2">
        <v>0.44999998800000002</v>
      </c>
      <c r="G929" s="2">
        <v>4.2199997900000001</v>
      </c>
      <c r="H929" s="2">
        <v>2.9500000480000002</v>
      </c>
      <c r="I929" s="2">
        <v>0</v>
      </c>
      <c r="J929" s="2">
        <v>7</v>
      </c>
      <c r="K929" s="2">
        <v>95</v>
      </c>
      <c r="L929" s="2">
        <v>170</v>
      </c>
      <c r="M929" s="2">
        <v>797</v>
      </c>
      <c r="N929" s="2">
        <v>11388</v>
      </c>
      <c r="O929" s="2">
        <v>1551</v>
      </c>
    </row>
    <row r="930" spans="1:15" x14ac:dyDescent="0.35">
      <c r="A930" s="2">
        <v>2026352035</v>
      </c>
      <c r="B930" s="3">
        <v>42679</v>
      </c>
      <c r="C930" s="2">
        <v>5.3200001720000003</v>
      </c>
      <c r="D930" s="2">
        <v>5.3200001720000003</v>
      </c>
      <c r="E930" s="2">
        <v>0</v>
      </c>
      <c r="F930" s="2">
        <v>0</v>
      </c>
      <c r="G930" s="2">
        <v>0</v>
      </c>
      <c r="H930" s="2">
        <v>5.3200001720000003</v>
      </c>
      <c r="I930" s="2">
        <v>0</v>
      </c>
      <c r="J930" s="2">
        <v>0</v>
      </c>
      <c r="K930" s="2">
        <v>0</v>
      </c>
      <c r="L930" s="2">
        <v>330</v>
      </c>
      <c r="M930" s="2">
        <v>569</v>
      </c>
      <c r="N930" s="2">
        <v>8580</v>
      </c>
      <c r="O930" s="2">
        <v>1698</v>
      </c>
    </row>
    <row r="931" spans="1:15" x14ac:dyDescent="0.35">
      <c r="A931" s="2">
        <v>4445114986</v>
      </c>
      <c r="B931" s="3">
        <v>42495</v>
      </c>
      <c r="C931" s="2">
        <v>2.5499999519999998</v>
      </c>
      <c r="D931" s="2">
        <v>2.5499999519999998</v>
      </c>
      <c r="E931" s="2">
        <v>0</v>
      </c>
      <c r="F931" s="2">
        <v>0.119999997</v>
      </c>
      <c r="G931" s="2">
        <v>0.23999999499999999</v>
      </c>
      <c r="H931" s="2">
        <v>2.1800000669999999</v>
      </c>
      <c r="I931" s="2">
        <v>0</v>
      </c>
      <c r="J931" s="2">
        <v>2</v>
      </c>
      <c r="K931" s="2">
        <v>6</v>
      </c>
      <c r="L931" s="2">
        <v>185</v>
      </c>
      <c r="M931" s="2">
        <v>734</v>
      </c>
      <c r="N931" s="2">
        <v>3800</v>
      </c>
      <c r="O931" s="2">
        <v>2120</v>
      </c>
    </row>
    <row r="932" spans="1:15" x14ac:dyDescent="0.35">
      <c r="A932" s="2">
        <v>1844505072</v>
      </c>
      <c r="B932" s="3">
        <v>42679</v>
      </c>
      <c r="C932" s="2">
        <v>0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2">
        <v>0</v>
      </c>
      <c r="J932" s="2">
        <v>0</v>
      </c>
      <c r="K932" s="2">
        <v>0</v>
      </c>
      <c r="L932" s="2">
        <v>0</v>
      </c>
      <c r="M932" s="2">
        <v>1440</v>
      </c>
      <c r="N932" s="2">
        <v>0</v>
      </c>
      <c r="O932" s="2">
        <v>1347</v>
      </c>
    </row>
    <row r="933" spans="1:15" x14ac:dyDescent="0.35">
      <c r="A933" s="2">
        <v>6117666160</v>
      </c>
      <c r="B933" s="3">
        <v>42489</v>
      </c>
      <c r="C933" s="2">
        <v>7.2399997709999999</v>
      </c>
      <c r="D933" s="2">
        <v>7.2399997709999999</v>
      </c>
      <c r="E933" s="2">
        <v>0</v>
      </c>
      <c r="F933" s="2">
        <v>0</v>
      </c>
      <c r="G933" s="2">
        <v>0</v>
      </c>
      <c r="H933" s="2">
        <v>7.2399997709999999</v>
      </c>
      <c r="I933" s="2">
        <v>0</v>
      </c>
      <c r="J933" s="2">
        <v>0</v>
      </c>
      <c r="K933" s="2">
        <v>0</v>
      </c>
      <c r="L933" s="2">
        <v>461</v>
      </c>
      <c r="M933" s="2">
        <v>479</v>
      </c>
      <c r="N933" s="2">
        <v>9592</v>
      </c>
      <c r="O933" s="2">
        <v>2560</v>
      </c>
    </row>
    <row r="934" spans="1:15" x14ac:dyDescent="0.35">
      <c r="A934" s="2">
        <v>1503960366</v>
      </c>
      <c r="B934" s="3">
        <v>42405</v>
      </c>
      <c r="C934" s="2">
        <v>9.7100000380000004</v>
      </c>
      <c r="D934" s="2">
        <v>9.7100000380000004</v>
      </c>
      <c r="E934" s="2">
        <v>0</v>
      </c>
      <c r="F934" s="2">
        <v>3.210000038</v>
      </c>
      <c r="G934" s="2">
        <v>0.56999999300000004</v>
      </c>
      <c r="H934" s="2">
        <v>5.920000076</v>
      </c>
      <c r="I934" s="2">
        <v>0</v>
      </c>
      <c r="J934" s="2">
        <v>41</v>
      </c>
      <c r="K934" s="2">
        <v>15</v>
      </c>
      <c r="L934" s="2">
        <v>277</v>
      </c>
      <c r="M934" s="2">
        <v>798</v>
      </c>
      <c r="N934" s="2">
        <v>14727</v>
      </c>
      <c r="O934" s="2">
        <v>2004</v>
      </c>
    </row>
    <row r="935" spans="1:15" x14ac:dyDescent="0.35">
      <c r="A935" s="2">
        <v>6962181067</v>
      </c>
      <c r="B935" s="3">
        <v>42405</v>
      </c>
      <c r="C935" s="2">
        <v>8.5399999619999996</v>
      </c>
      <c r="D935" s="2">
        <v>8.5399999619999996</v>
      </c>
      <c r="E935" s="2">
        <v>0</v>
      </c>
      <c r="F935" s="2">
        <v>1.2000000479999999</v>
      </c>
      <c r="G935" s="2">
        <v>2</v>
      </c>
      <c r="H935" s="2">
        <v>5.3400001530000001</v>
      </c>
      <c r="I935" s="2">
        <v>0</v>
      </c>
      <c r="J935" s="2">
        <v>18</v>
      </c>
      <c r="K935" s="2">
        <v>39</v>
      </c>
      <c r="L935" s="2">
        <v>313</v>
      </c>
      <c r="M935" s="2">
        <v>655</v>
      </c>
      <c r="N935" s="2">
        <v>12912</v>
      </c>
      <c r="O935" s="2">
        <v>2162</v>
      </c>
    </row>
    <row r="936" spans="1:15" x14ac:dyDescent="0.35">
      <c r="A936" s="2">
        <v>1644430081</v>
      </c>
      <c r="B936" s="3">
        <v>42481</v>
      </c>
      <c r="C936" s="2">
        <v>0.88999998599999997</v>
      </c>
      <c r="D936" s="2">
        <v>0.88999998599999997</v>
      </c>
      <c r="E936" s="2">
        <v>0</v>
      </c>
      <c r="F936" s="2">
        <v>0</v>
      </c>
      <c r="G936" s="2">
        <v>0</v>
      </c>
      <c r="H936" s="2">
        <v>0.87999999500000003</v>
      </c>
      <c r="I936" s="2">
        <v>0.01</v>
      </c>
      <c r="J936" s="2">
        <v>0</v>
      </c>
      <c r="K936" s="2">
        <v>0</v>
      </c>
      <c r="L936" s="2">
        <v>38</v>
      </c>
      <c r="M936" s="2">
        <v>1402</v>
      </c>
      <c r="N936" s="2">
        <v>1223</v>
      </c>
      <c r="O936" s="2">
        <v>2140</v>
      </c>
    </row>
    <row r="937" spans="1:15" x14ac:dyDescent="0.35">
      <c r="A937" s="2">
        <v>1844505072</v>
      </c>
      <c r="B937" s="3">
        <v>42486</v>
      </c>
      <c r="C937" s="2">
        <v>0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2">
        <v>0</v>
      </c>
      <c r="J937" s="2">
        <v>0</v>
      </c>
      <c r="K937" s="2">
        <v>0</v>
      </c>
      <c r="L937" s="2">
        <v>0</v>
      </c>
      <c r="M937" s="2">
        <v>1440</v>
      </c>
      <c r="N937" s="2">
        <v>0</v>
      </c>
      <c r="O937" s="2">
        <v>1347</v>
      </c>
    </row>
    <row r="938" spans="1:15" x14ac:dyDescent="0.35">
      <c r="A938" s="2">
        <v>2873212765</v>
      </c>
      <c r="B938" s="3">
        <v>42477</v>
      </c>
      <c r="C938" s="2">
        <v>1.7000000479999999</v>
      </c>
      <c r="D938" s="2">
        <v>1.7000000479999999</v>
      </c>
      <c r="E938" s="2">
        <v>0</v>
      </c>
      <c r="F938" s="2">
        <v>0</v>
      </c>
      <c r="G938" s="2">
        <v>0.34999999399999998</v>
      </c>
      <c r="H938" s="2">
        <v>1.3400000329999999</v>
      </c>
      <c r="I938" s="2">
        <v>0</v>
      </c>
      <c r="J938" s="2">
        <v>0</v>
      </c>
      <c r="K938" s="2">
        <v>8</v>
      </c>
      <c r="L938" s="2">
        <v>160</v>
      </c>
      <c r="M938" s="2">
        <v>1272</v>
      </c>
      <c r="N938" s="2">
        <v>2524</v>
      </c>
      <c r="O938" s="2">
        <v>1529</v>
      </c>
    </row>
    <row r="939" spans="1:15" x14ac:dyDescent="0.35">
      <c r="A939" s="2">
        <v>8583815059</v>
      </c>
      <c r="B939" s="3">
        <v>42483</v>
      </c>
      <c r="C939" s="2">
        <v>7.3499999049999998</v>
      </c>
      <c r="D939" s="2">
        <v>7.3499999049999998</v>
      </c>
      <c r="E939" s="2">
        <v>0</v>
      </c>
      <c r="F939" s="2">
        <v>0.52999997099999996</v>
      </c>
      <c r="G939" s="2">
        <v>2.0299999710000001</v>
      </c>
      <c r="H939" s="2">
        <v>4.75</v>
      </c>
      <c r="I939" s="2">
        <v>0</v>
      </c>
      <c r="J939" s="2">
        <v>7</v>
      </c>
      <c r="K939" s="2">
        <v>44</v>
      </c>
      <c r="L939" s="2">
        <v>238</v>
      </c>
      <c r="M939" s="2">
        <v>1151</v>
      </c>
      <c r="N939" s="2">
        <v>9423</v>
      </c>
      <c r="O939" s="2">
        <v>3012</v>
      </c>
    </row>
    <row r="940" spans="1:15" x14ac:dyDescent="0.35">
      <c r="A940" s="2">
        <v>4388161847</v>
      </c>
      <c r="B940" s="3">
        <v>42495</v>
      </c>
      <c r="C940" s="2">
        <v>7.3800001139999996</v>
      </c>
      <c r="D940" s="2">
        <v>7.3800001139999996</v>
      </c>
      <c r="E940" s="2">
        <v>0</v>
      </c>
      <c r="F940" s="2">
        <v>0.62999999500000003</v>
      </c>
      <c r="G940" s="2">
        <v>1.6699999569999999</v>
      </c>
      <c r="H940" s="2">
        <v>5.0900001530000001</v>
      </c>
      <c r="I940" s="2">
        <v>0</v>
      </c>
      <c r="J940" s="2">
        <v>12</v>
      </c>
      <c r="K940" s="2">
        <v>39</v>
      </c>
      <c r="L940" s="2">
        <v>199</v>
      </c>
      <c r="M940" s="2">
        <v>896</v>
      </c>
      <c r="N940" s="2">
        <v>9603</v>
      </c>
      <c r="O940" s="2">
        <v>2899</v>
      </c>
    </row>
    <row r="941" spans="1:15" x14ac:dyDescent="0.35">
      <c r="A941" s="2">
        <v>1844505072</v>
      </c>
      <c r="B941" s="3">
        <v>42482</v>
      </c>
      <c r="C941" s="2">
        <v>3.5499999519999998</v>
      </c>
      <c r="D941" s="2">
        <v>3.5499999519999998</v>
      </c>
      <c r="E941" s="2">
        <v>0</v>
      </c>
      <c r="F941" s="2">
        <v>0</v>
      </c>
      <c r="G941" s="2">
        <v>0</v>
      </c>
      <c r="H941" s="2">
        <v>3.5499999519999998</v>
      </c>
      <c r="I941" s="2">
        <v>0</v>
      </c>
      <c r="J941" s="2">
        <v>0</v>
      </c>
      <c r="K941" s="2">
        <v>0</v>
      </c>
      <c r="L941" s="2">
        <v>220</v>
      </c>
      <c r="M941" s="2">
        <v>1220</v>
      </c>
      <c r="N941" s="2">
        <v>5372</v>
      </c>
      <c r="O941" s="2">
        <v>1827</v>
      </c>
    </row>
  </sheetData>
  <autoFilter ref="A1:O941" xr:uid="{D8C7A0BA-A9E5-4222-8F26-0DA15A2CF67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ED8A3-9212-4F2A-8C7C-0201975EBFF1}">
  <dimension ref="A1:AC941"/>
  <sheetViews>
    <sheetView tabSelected="1" topLeftCell="L1" zoomScale="49" workbookViewId="0">
      <selection activeCell="X79" sqref="X79"/>
    </sheetView>
  </sheetViews>
  <sheetFormatPr defaultRowHeight="14.5" x14ac:dyDescent="0.35"/>
  <cols>
    <col min="1" max="3" width="14.81640625" customWidth="1"/>
    <col min="4" max="4" width="14.7265625" customWidth="1"/>
    <col min="5" max="5" width="25.90625" bestFit="1" customWidth="1"/>
    <col min="6" max="6" width="16.1796875" bestFit="1" customWidth="1"/>
    <col min="7" max="7" width="18.6328125" customWidth="1"/>
    <col min="8" max="8" width="11.81640625" style="8" customWidth="1"/>
    <col min="9" max="10" width="20.54296875" customWidth="1"/>
    <col min="11" max="11" width="14.453125" bestFit="1" customWidth="1"/>
    <col min="12" max="12" width="16.26953125" bestFit="1" customWidth="1"/>
    <col min="13" max="13" width="23.90625" bestFit="1" customWidth="1"/>
    <col min="14" max="14" width="19.7265625" bestFit="1" customWidth="1"/>
    <col min="15" max="15" width="25.1796875" bestFit="1" customWidth="1"/>
    <col min="16" max="16" width="19.90625" bestFit="1" customWidth="1"/>
    <col min="17" max="17" width="24" bestFit="1" customWidth="1"/>
    <col min="18" max="18" width="19.453125" bestFit="1" customWidth="1"/>
    <col min="19" max="19" width="20.08984375" bestFit="1" customWidth="1"/>
    <col min="20" max="20" width="20.90625" bestFit="1" customWidth="1"/>
    <col min="21" max="21" width="20.90625" customWidth="1"/>
    <col min="22" max="22" width="18" bestFit="1" customWidth="1"/>
    <col min="23" max="23" width="8.54296875" customWidth="1"/>
    <col min="24" max="24" width="16.26953125" bestFit="1" customWidth="1"/>
    <col min="25" max="25" width="15.7265625" bestFit="1" customWidth="1"/>
    <col min="26" max="26" width="23.36328125" bestFit="1" customWidth="1"/>
    <col min="27" max="28" width="23.36328125" customWidth="1"/>
    <col min="29" max="29" width="0" hidden="1" customWidth="1"/>
  </cols>
  <sheetData>
    <row r="1" spans="1:29" x14ac:dyDescent="0.35">
      <c r="A1" s="4" t="s">
        <v>0</v>
      </c>
      <c r="B1" s="4" t="s">
        <v>69</v>
      </c>
      <c r="C1" s="4" t="s">
        <v>3</v>
      </c>
      <c r="D1" s="4" t="s">
        <v>109</v>
      </c>
      <c r="E1" s="4" t="s">
        <v>4</v>
      </c>
      <c r="F1" s="4" t="s">
        <v>5</v>
      </c>
      <c r="G1" s="4" t="s">
        <v>70</v>
      </c>
      <c r="H1" s="6" t="s">
        <v>54</v>
      </c>
      <c r="I1" s="4" t="s">
        <v>105</v>
      </c>
      <c r="J1" s="4" t="s">
        <v>104</v>
      </c>
      <c r="K1" s="4" t="s">
        <v>55</v>
      </c>
      <c r="L1" s="4" t="s">
        <v>56</v>
      </c>
      <c r="M1" s="4" t="s">
        <v>57</v>
      </c>
      <c r="N1" s="4" t="s">
        <v>58</v>
      </c>
      <c r="O1" s="4" t="s">
        <v>59</v>
      </c>
      <c r="P1" s="4" t="s">
        <v>60</v>
      </c>
      <c r="Q1" s="4" t="s">
        <v>61</v>
      </c>
      <c r="R1" s="4" t="s">
        <v>62</v>
      </c>
      <c r="S1" s="4" t="s">
        <v>63</v>
      </c>
      <c r="T1" s="4" t="s">
        <v>64</v>
      </c>
      <c r="U1" s="4" t="s">
        <v>107</v>
      </c>
      <c r="V1" s="4" t="s">
        <v>65</v>
      </c>
      <c r="W1" s="4" t="s">
        <v>66</v>
      </c>
      <c r="X1" s="4" t="s">
        <v>108</v>
      </c>
      <c r="Y1" s="4" t="s">
        <v>67</v>
      </c>
      <c r="Z1" s="4" t="s">
        <v>103</v>
      </c>
      <c r="AA1" s="4" t="s">
        <v>106</v>
      </c>
      <c r="AB1" s="10"/>
    </row>
    <row r="2" spans="1:29" x14ac:dyDescent="0.35">
      <c r="A2" s="2">
        <v>4319703577</v>
      </c>
      <c r="B2" s="2" t="s">
        <v>77</v>
      </c>
      <c r="C2" s="2">
        <f>VLOOKUP(user_activity!A8,users_details!$A$1:$G$34,5,0)</f>
        <v>18</v>
      </c>
      <c r="D2" s="2" t="str" cm="1">
        <f t="array" ref="D2">_xlfn.IFS( AND(C2&gt;=18, C2&lt;=25), "Emerging Adults",  AND(C2&gt;=26, C2&lt;=35),  "Young Adults",  AND(C2&gt;=36, C2&lt;=45),  "Midlife Adults",  AND(C2&gt;=46, C2&lt;=55), "Mature Adults", C2&gt;=56,  "Older Adults", TRUE, "Age Not Mentioned")</f>
        <v>Emerging Adults</v>
      </c>
      <c r="E2" s="2" t="str">
        <f>VLOOKUP(user_activity!A8,users_details!$A$1:$G$34,6,0)</f>
        <v>Hell's Kitchen, Manhattan</v>
      </c>
      <c r="F2" s="2" t="str">
        <f>VLOOKUP(user_activity!A8,users_details!$A$1:$G$34,7,0)</f>
        <v>Hell's Kitchen</v>
      </c>
      <c r="G2" s="2" t="s">
        <v>72</v>
      </c>
      <c r="H2" s="7">
        <v>42473</v>
      </c>
      <c r="I2" s="9" t="str">
        <f t="shared" ref="I2:I65" si="0">TEXT(H2, "dddd")</f>
        <v>Wednesday</v>
      </c>
      <c r="J2" s="9" t="str">
        <f t="shared" ref="J2:J65" si="1">TEXT(H2, "mmmm")</f>
        <v>April</v>
      </c>
      <c r="K2" s="2">
        <v>5.5</v>
      </c>
      <c r="L2" s="2">
        <v>5.5</v>
      </c>
      <c r="M2" s="2">
        <v>0</v>
      </c>
      <c r="N2" s="2">
        <v>0.52999997099999996</v>
      </c>
      <c r="O2" s="2">
        <v>0.58999997400000004</v>
      </c>
      <c r="P2" s="2">
        <v>1.309999943</v>
      </c>
      <c r="Q2" s="2">
        <v>0</v>
      </c>
      <c r="R2" s="2">
        <v>8</v>
      </c>
      <c r="S2" s="2">
        <v>15</v>
      </c>
      <c r="T2" s="2">
        <v>96</v>
      </c>
      <c r="U2" s="2">
        <f t="shared" ref="U2:U65" si="2">R2+S2+T2</f>
        <v>119</v>
      </c>
      <c r="V2" s="2">
        <v>1234</v>
      </c>
      <c r="W2" s="2">
        <v>8204</v>
      </c>
      <c r="X2" s="2">
        <f t="shared" ref="X2:X65" si="3">IF(W2=0,MEDIAN($W$2:$W$941),W2)</f>
        <v>8204</v>
      </c>
      <c r="Y2" s="2">
        <v>2135</v>
      </c>
      <c r="Z2" t="str" cm="1">
        <f t="array" ref="Z2">_xlfn.IFS(OR(R2&gt;66, S2&gt;38), "High Engagement", OR(AND(R2&gt;32, R2&lt;=66), AND(S2&gt;19, S2&lt;=38)), "Medium-High Engagement", OR(AND(R2&gt;4, R2&lt;=32), AND(S2&gt;6, S2&lt;=19)),"Medium Engagement", TRUE, "Low Engagement"
)</f>
        <v>Medium Engagement</v>
      </c>
      <c r="AA2">
        <f>IF(W2&gt;0, Y2/W2, 0)</f>
        <v>0.26023890784982934</v>
      </c>
      <c r="AC2">
        <f>MEDIAN(W2:W941)</f>
        <v>7405.5</v>
      </c>
    </row>
    <row r="3" spans="1:29" x14ac:dyDescent="0.35">
      <c r="A3" s="2">
        <v>2320127002</v>
      </c>
      <c r="B3" s="2" t="s">
        <v>100</v>
      </c>
      <c r="C3" s="2">
        <f>VLOOKUP(user_activity!A79,users_details!$A$1:$G$34,5,0)</f>
        <v>21</v>
      </c>
      <c r="D3" s="2" t="str" cm="1">
        <f t="array" ref="D3">_xlfn.IFS( AND(C3&gt;=18, C3&lt;=25), "Emerging Adults",  AND(C3&gt;=26, C3&lt;=35),  "Young Adults",  AND(C3&gt;=36, C3&lt;=45),  "Midlife Adults",  AND(C3&gt;=46, C3&lt;=55), "Mature Adults", C3&gt;=56,  "Older Adults", TRUE, "Age Not Mentioned")</f>
        <v>Emerging Adults</v>
      </c>
      <c r="E3" s="2" t="str">
        <f>VLOOKUP(user_activity!A79,users_details!$A$1:$G$34,6,0)</f>
        <v>Bushwick, Brooklyn</v>
      </c>
      <c r="F3" s="2" t="str">
        <f>VLOOKUP(user_activity!A79,users_details!$A$1:$G$34,7,0)</f>
        <v>Bushwick</v>
      </c>
      <c r="G3" s="2" t="s">
        <v>72</v>
      </c>
      <c r="H3" s="7">
        <v>42495</v>
      </c>
      <c r="I3" s="9" t="str">
        <f t="shared" si="0"/>
        <v>Thursday</v>
      </c>
      <c r="J3" s="9" t="str">
        <f t="shared" si="1"/>
        <v>May</v>
      </c>
      <c r="K3" s="2">
        <v>3.5099999899999998</v>
      </c>
      <c r="L3" s="2">
        <v>3.5099999899999998</v>
      </c>
      <c r="M3" s="2">
        <v>0</v>
      </c>
      <c r="N3" s="2">
        <v>0</v>
      </c>
      <c r="O3" s="2">
        <v>0.38999998600000002</v>
      </c>
      <c r="P3" s="2">
        <v>3.1099998950000001</v>
      </c>
      <c r="Q3" s="2">
        <v>0</v>
      </c>
      <c r="R3" s="2">
        <v>0</v>
      </c>
      <c r="S3" s="2">
        <v>11</v>
      </c>
      <c r="T3" s="2">
        <v>223</v>
      </c>
      <c r="U3" s="2">
        <f t="shared" si="2"/>
        <v>234</v>
      </c>
      <c r="V3" s="2">
        <v>1206</v>
      </c>
      <c r="W3" s="2">
        <v>5202</v>
      </c>
      <c r="X3" s="2">
        <f t="shared" si="3"/>
        <v>5202</v>
      </c>
      <c r="Y3" s="2">
        <v>1780</v>
      </c>
      <c r="Z3" t="str" cm="1">
        <f t="array" ref="Z3">_xlfn.IFS(OR(R3&gt;66, S3&gt;38), "High Engagement", OR(AND(R3&gt;32, R3&lt;=66), AND(S3&gt;19, S3&lt;=38)), "Medium-High Engagement", OR(AND(R3&gt;4, R3&lt;=32), AND(S3&gt;6, S3&lt;=19)),"Medium Engagement", TRUE, "Low Engagement"
)</f>
        <v>Medium Engagement</v>
      </c>
      <c r="AA3">
        <f t="shared" ref="AA3:AA66" si="4">IF(W3&gt;0, Y3/W3, 0)</f>
        <v>0.34217608612072281</v>
      </c>
      <c r="AC3">
        <v>7405.5</v>
      </c>
    </row>
    <row r="4" spans="1:29" x14ac:dyDescent="0.35">
      <c r="A4" s="2">
        <v>2320127002</v>
      </c>
      <c r="B4" s="2" t="s">
        <v>100</v>
      </c>
      <c r="C4" s="2">
        <f>VLOOKUP(user_activity!A88,users_details!$A$1:$G$34,5,0)</f>
        <v>21</v>
      </c>
      <c r="D4" s="2" t="str" cm="1">
        <f t="array" ref="D4">_xlfn.IFS( AND(C4&gt;=18, C4&lt;=25), "Emerging Adults",  AND(C4&gt;=26, C4&lt;=35),  "Young Adults",  AND(C4&gt;=36, C4&lt;=45),  "Midlife Adults",  AND(C4&gt;=46, C4&lt;=55), "Mature Adults", C4&gt;=56,  "Older Adults", TRUE, "Age Not Mentioned")</f>
        <v>Emerging Adults</v>
      </c>
      <c r="E4" s="2" t="str">
        <f>VLOOKUP(user_activity!A88,users_details!$A$1:$G$34,6,0)</f>
        <v>Bushwick, Brooklyn</v>
      </c>
      <c r="F4" s="2" t="str">
        <f>VLOOKUP(user_activity!A88,users_details!$A$1:$G$34,7,0)</f>
        <v>Bushwick</v>
      </c>
      <c r="G4" s="2" t="s">
        <v>72</v>
      </c>
      <c r="H4" s="7">
        <v>42374</v>
      </c>
      <c r="I4" s="9" t="str">
        <f t="shared" si="0"/>
        <v>Tuesday</v>
      </c>
      <c r="J4" s="9" t="str">
        <f t="shared" si="1"/>
        <v>January</v>
      </c>
      <c r="K4" s="2">
        <v>0.519999981</v>
      </c>
      <c r="L4" s="2">
        <v>0.519999981</v>
      </c>
      <c r="M4" s="2">
        <v>0</v>
      </c>
      <c r="N4" s="2">
        <v>0</v>
      </c>
      <c r="O4" s="2">
        <v>0</v>
      </c>
      <c r="P4" s="2">
        <v>0.519999981</v>
      </c>
      <c r="Q4" s="2">
        <v>0</v>
      </c>
      <c r="R4" s="2">
        <v>0</v>
      </c>
      <c r="S4" s="2">
        <v>0</v>
      </c>
      <c r="T4" s="2">
        <v>40</v>
      </c>
      <c r="U4" s="2">
        <f t="shared" si="2"/>
        <v>40</v>
      </c>
      <c r="V4" s="2">
        <v>1400</v>
      </c>
      <c r="W4" s="2">
        <v>772</v>
      </c>
      <c r="X4" s="2">
        <f t="shared" si="3"/>
        <v>772</v>
      </c>
      <c r="Y4" s="2">
        <v>1403</v>
      </c>
      <c r="Z4" t="str" cm="1">
        <f t="array" ref="Z4">_xlfn.IFS(OR(R4&gt;66, S4&gt;38), "High Engagement", OR(AND(R4&gt;32, R4&lt;=66), AND(S4&gt;19, S4&lt;=38)), "Medium-High Engagement", OR(AND(R4&gt;4, R4&lt;=32), AND(S4&gt;6, S4&lt;=19)),"Medium Engagement", TRUE, "Low Engagement"
)</f>
        <v>Low Engagement</v>
      </c>
      <c r="AA4">
        <f t="shared" si="4"/>
        <v>1.8173575129533679</v>
      </c>
    </row>
    <row r="5" spans="1:29" x14ac:dyDescent="0.35">
      <c r="A5" s="2">
        <v>2320127002</v>
      </c>
      <c r="B5" s="2" t="s">
        <v>100</v>
      </c>
      <c r="C5" s="2">
        <f>VLOOKUP(user_activity!A96,users_details!$A$1:$G$34,5,0)</f>
        <v>22</v>
      </c>
      <c r="D5" s="2" t="str" cm="1">
        <f t="array" ref="D5">_xlfn.IFS( AND(C5&gt;=18, C5&lt;=25), "Emerging Adults",  AND(C5&gt;=26, C5&lt;=35),  "Young Adults",  AND(C5&gt;=36, C5&lt;=45),  "Midlife Adults",  AND(C5&gt;=46, C5&lt;=55), "Mature Adults", C5&gt;=56,  "Older Adults", TRUE, "Age Not Mentioned")</f>
        <v>Emerging Adults</v>
      </c>
      <c r="E5" s="2" t="str">
        <f>VLOOKUP(user_activity!A96,users_details!$A$1:$G$34,6,0)</f>
        <v>Upper East Side, Manhattan</v>
      </c>
      <c r="F5" s="2" t="str">
        <f>VLOOKUP(user_activity!A96,users_details!$A$1:$G$34,7,0)</f>
        <v>Upper East Side</v>
      </c>
      <c r="G5" s="2" t="s">
        <v>72</v>
      </c>
      <c r="H5" s="7">
        <v>42648</v>
      </c>
      <c r="I5" s="9" t="str">
        <f t="shared" si="0"/>
        <v>Wednesday</v>
      </c>
      <c r="J5" s="9" t="str">
        <f t="shared" si="1"/>
        <v>October</v>
      </c>
      <c r="K5" s="2">
        <v>4.1999998090000004</v>
      </c>
      <c r="L5" s="2">
        <v>4.1999998090000004</v>
      </c>
      <c r="M5" s="2">
        <v>0</v>
      </c>
      <c r="N5" s="2">
        <v>0</v>
      </c>
      <c r="O5" s="2">
        <v>0</v>
      </c>
      <c r="P5" s="2">
        <v>4.1999998090000004</v>
      </c>
      <c r="Q5" s="2">
        <v>0</v>
      </c>
      <c r="R5" s="2">
        <v>0</v>
      </c>
      <c r="S5" s="2">
        <v>0</v>
      </c>
      <c r="T5" s="2">
        <v>290</v>
      </c>
      <c r="U5" s="2">
        <f t="shared" si="2"/>
        <v>290</v>
      </c>
      <c r="V5" s="2">
        <v>1150</v>
      </c>
      <c r="W5" s="2">
        <v>6227</v>
      </c>
      <c r="X5" s="2">
        <f t="shared" si="3"/>
        <v>6227</v>
      </c>
      <c r="Y5" s="2">
        <v>1899</v>
      </c>
      <c r="Z5" t="str" cm="1">
        <f t="array" ref="Z5">_xlfn.IFS(OR(R5&gt;66, S5&gt;38), "High Engagement", OR(AND(R5&gt;32, R5&lt;=66), AND(S5&gt;19, S5&lt;=38)), "Medium-High Engagement", OR(AND(R5&gt;4, R5&lt;=32), AND(S5&gt;6, S5&lt;=19)),"Medium Engagement", TRUE, "Low Engagement"
)</f>
        <v>Low Engagement</v>
      </c>
      <c r="AA5">
        <f t="shared" si="4"/>
        <v>0.304962261120925</v>
      </c>
    </row>
    <row r="6" spans="1:29" x14ac:dyDescent="0.35">
      <c r="A6" s="2">
        <v>4319703577</v>
      </c>
      <c r="B6" s="2" t="s">
        <v>77</v>
      </c>
      <c r="C6" s="2">
        <f>VLOOKUP(user_activity!A117,users_details!$A$1:$G$34,5,0)</f>
        <v>22</v>
      </c>
      <c r="D6" s="2" t="str" cm="1">
        <f t="array" ref="D6">_xlfn.IFS( AND(C6&gt;=18, C6&lt;=25), "Emerging Adults",  AND(C6&gt;=26, C6&lt;=35),  "Young Adults",  AND(C6&gt;=36, C6&lt;=45),  "Midlife Adults",  AND(C6&gt;=46, C6&lt;=55), "Mature Adults", C6&gt;=56,  "Older Adults", TRUE, "Age Not Mentioned")</f>
        <v>Emerging Adults</v>
      </c>
      <c r="E6" s="2" t="str">
        <f>VLOOKUP(user_activity!A117,users_details!$A$1:$G$34,6,0)</f>
        <v>Upper East Side, Manhattan</v>
      </c>
      <c r="F6" s="2" t="str">
        <f>VLOOKUP(user_activity!A117,users_details!$A$1:$G$34,7,0)</f>
        <v>Upper East Side</v>
      </c>
      <c r="G6" s="2" t="s">
        <v>72</v>
      </c>
      <c r="H6" s="7">
        <v>42495</v>
      </c>
      <c r="I6" s="9" t="str">
        <f t="shared" si="0"/>
        <v>Thursday</v>
      </c>
      <c r="J6" s="9" t="str">
        <f t="shared" si="1"/>
        <v>May</v>
      </c>
      <c r="K6" s="2">
        <v>9.4899997710000008</v>
      </c>
      <c r="L6" s="2">
        <v>9.4899997710000008</v>
      </c>
      <c r="M6" s="2">
        <v>0</v>
      </c>
      <c r="N6" s="2">
        <v>2.630000114</v>
      </c>
      <c r="O6" s="2">
        <v>1.4099999670000001</v>
      </c>
      <c r="P6" s="2">
        <v>5.4499998090000004</v>
      </c>
      <c r="Q6" s="2">
        <v>0</v>
      </c>
      <c r="R6" s="2">
        <v>27</v>
      </c>
      <c r="S6" s="2">
        <v>34</v>
      </c>
      <c r="T6" s="2">
        <v>328</v>
      </c>
      <c r="U6" s="2">
        <f t="shared" si="2"/>
        <v>389</v>
      </c>
      <c r="V6" s="2">
        <v>957</v>
      </c>
      <c r="W6" s="2">
        <v>13658</v>
      </c>
      <c r="X6" s="2">
        <f t="shared" si="3"/>
        <v>13658</v>
      </c>
      <c r="Y6" s="2">
        <v>2530</v>
      </c>
      <c r="Z6" t="str" cm="1">
        <f t="array" ref="Z6">_xlfn.IFS(OR(R6&gt;66, S6&gt;38), "High Engagement", OR(AND(R6&gt;32, R6&lt;=66), AND(S6&gt;19, S6&lt;=38)), "Medium-High Engagement", OR(AND(R6&gt;4, R6&lt;=32), AND(S6&gt;6, S6&lt;=19)),"Medium Engagement", TRUE, "Low Engagement"
)</f>
        <v>Medium-High Engagement</v>
      </c>
      <c r="AA6">
        <f t="shared" si="4"/>
        <v>0.18523942012007616</v>
      </c>
    </row>
    <row r="7" spans="1:29" x14ac:dyDescent="0.35">
      <c r="A7" s="2">
        <v>4319703577</v>
      </c>
      <c r="B7" s="2" t="s">
        <v>77</v>
      </c>
      <c r="C7" s="2">
        <f>VLOOKUP(user_activity!A144,users_details!$A$1:$G$34,5,0)</f>
        <v>22</v>
      </c>
      <c r="D7" s="2" t="str" cm="1">
        <f t="array" ref="D7">_xlfn.IFS( AND(C7&gt;=18, C7&lt;=25), "Emerging Adults",  AND(C7&gt;=26, C7&lt;=35),  "Young Adults",  AND(C7&gt;=36, C7&lt;=45),  "Midlife Adults",  AND(C7&gt;=46, C7&lt;=55), "Mature Adults", C7&gt;=56,  "Older Adults", TRUE, "Age Not Mentioned")</f>
        <v>Emerging Adults</v>
      </c>
      <c r="E7" s="2" t="str">
        <f>VLOOKUP(user_activity!A144,users_details!$A$1:$G$34,6,0)</f>
        <v>Washington Heights, Manhattan</v>
      </c>
      <c r="F7" s="2" t="str">
        <f>VLOOKUP(user_activity!A144,users_details!$A$1:$G$34,7,0)</f>
        <v>Washington Heights</v>
      </c>
      <c r="G7" s="2" t="s">
        <v>72</v>
      </c>
      <c r="H7" s="7">
        <v>42485</v>
      </c>
      <c r="I7" s="9" t="str">
        <f t="shared" si="0"/>
        <v>Monday</v>
      </c>
      <c r="J7" s="9" t="str">
        <f t="shared" si="1"/>
        <v>April</v>
      </c>
      <c r="K7" s="2">
        <v>6.2100000380000004</v>
      </c>
      <c r="L7" s="2">
        <v>6.2100000380000004</v>
      </c>
      <c r="M7" s="2">
        <v>0</v>
      </c>
      <c r="N7" s="2">
        <v>0</v>
      </c>
      <c r="O7" s="2">
        <v>0.280000001</v>
      </c>
      <c r="P7" s="2">
        <v>5.9299998279999997</v>
      </c>
      <c r="Q7" s="2">
        <v>0</v>
      </c>
      <c r="R7" s="2">
        <v>0</v>
      </c>
      <c r="S7" s="2">
        <v>8</v>
      </c>
      <c r="T7" s="2">
        <v>390</v>
      </c>
      <c r="U7" s="2">
        <f t="shared" si="2"/>
        <v>398</v>
      </c>
      <c r="V7" s="2">
        <v>544</v>
      </c>
      <c r="W7" s="2">
        <v>9259</v>
      </c>
      <c r="X7" s="2">
        <f t="shared" si="3"/>
        <v>9259</v>
      </c>
      <c r="Y7" s="2">
        <v>2314</v>
      </c>
      <c r="Z7" t="str" cm="1">
        <f t="array" ref="Z7">_xlfn.IFS(OR(R7&gt;66, S7&gt;38), "High Engagement", OR(AND(R7&gt;32, R7&lt;=66), AND(S7&gt;19, S7&lt;=38)), "Medium-High Engagement", OR(AND(R7&gt;4, R7&lt;=32), AND(S7&gt;6, S7&lt;=19)),"Medium Engagement", TRUE, "Low Engagement"
)</f>
        <v>Medium Engagement</v>
      </c>
      <c r="AA7">
        <f t="shared" si="4"/>
        <v>0.24991899773193649</v>
      </c>
    </row>
    <row r="8" spans="1:29" x14ac:dyDescent="0.35">
      <c r="A8" s="2">
        <v>2320127002</v>
      </c>
      <c r="B8" s="2" t="s">
        <v>100</v>
      </c>
      <c r="C8" s="2">
        <f>VLOOKUP(user_activity!A152,users_details!$A$1:$G$34,5,0)</f>
        <v>23</v>
      </c>
      <c r="D8" s="2" t="str" cm="1">
        <f t="array" ref="D8">_xlfn.IFS( AND(C8&gt;=18, C8&lt;=25), "Emerging Adults",  AND(C8&gt;=26, C8&lt;=35),  "Young Adults",  AND(C8&gt;=36, C8&lt;=45),  "Midlife Adults",  AND(C8&gt;=46, C8&lt;=55), "Mature Adults", C8&gt;=56,  "Older Adults", TRUE, "Age Not Mentioned")</f>
        <v>Emerging Adults</v>
      </c>
      <c r="E8" s="2" t="str">
        <f>VLOOKUP(user_activity!A152,users_details!$A$1:$G$34,6,0)</f>
        <v>Washington Heights, Manhattan</v>
      </c>
      <c r="F8" s="2" t="str">
        <f>VLOOKUP(user_activity!A152,users_details!$A$1:$G$34,7,0)</f>
        <v>Washington Heights</v>
      </c>
      <c r="G8" s="2" t="s">
        <v>72</v>
      </c>
      <c r="H8" s="7">
        <v>42487</v>
      </c>
      <c r="I8" s="9" t="str">
        <f t="shared" si="0"/>
        <v>Wednesday</v>
      </c>
      <c r="J8" s="9" t="str">
        <f t="shared" si="1"/>
        <v>April</v>
      </c>
      <c r="K8" s="2">
        <v>1.1599999670000001</v>
      </c>
      <c r="L8" s="2">
        <v>1.1599999670000001</v>
      </c>
      <c r="M8" s="2">
        <v>0</v>
      </c>
      <c r="N8" s="2">
        <v>0</v>
      </c>
      <c r="O8" s="2">
        <v>0</v>
      </c>
      <c r="P8" s="2">
        <v>1.1599999670000001</v>
      </c>
      <c r="Q8" s="2">
        <v>0</v>
      </c>
      <c r="R8" s="2">
        <v>0</v>
      </c>
      <c r="S8" s="2">
        <v>0</v>
      </c>
      <c r="T8" s="2">
        <v>82</v>
      </c>
      <c r="U8" s="2">
        <f t="shared" si="2"/>
        <v>82</v>
      </c>
      <c r="V8" s="2">
        <v>1358</v>
      </c>
      <c r="W8" s="2">
        <v>1715</v>
      </c>
      <c r="X8" s="2">
        <f t="shared" si="3"/>
        <v>1715</v>
      </c>
      <c r="Y8" s="2">
        <v>1481</v>
      </c>
      <c r="Z8" t="str" cm="1">
        <f t="array" ref="Z8">_xlfn.IFS(OR(R8&gt;66, S8&gt;38), "High Engagement", OR(AND(R8&gt;32, R8&lt;=66), AND(S8&gt;19, S8&lt;=38)), "Medium-High Engagement", OR(AND(R8&gt;4, R8&lt;=32), AND(S8&gt;6, S8&lt;=19)),"Medium Engagement", TRUE, "Low Engagement"
)</f>
        <v>Low Engagement</v>
      </c>
      <c r="AA8">
        <f t="shared" si="4"/>
        <v>0.86355685131195337</v>
      </c>
    </row>
    <row r="9" spans="1:29" x14ac:dyDescent="0.35">
      <c r="A9" s="2">
        <v>4319703577</v>
      </c>
      <c r="B9" s="2" t="s">
        <v>77</v>
      </c>
      <c r="C9" s="2">
        <f>VLOOKUP(user_activity!A166,users_details!$A$1:$G$34,5,0)</f>
        <v>23</v>
      </c>
      <c r="D9" s="2" t="str" cm="1">
        <f t="array" ref="D9">_xlfn.IFS( AND(C9&gt;=18, C9&lt;=25), "Emerging Adults",  AND(C9&gt;=26, C9&lt;=35),  "Young Adults",  AND(C9&gt;=36, C9&lt;=45),  "Midlife Adults",  AND(C9&gt;=46, C9&lt;=55), "Mature Adults", C9&gt;=56,  "Older Adults", TRUE, "Age Not Mentioned")</f>
        <v>Emerging Adults</v>
      </c>
      <c r="E9" s="2" t="str">
        <f>VLOOKUP(user_activity!A166,users_details!$A$1:$G$34,6,0)</f>
        <v>Crown Heights, Brooklyn</v>
      </c>
      <c r="F9" s="2" t="str">
        <f>VLOOKUP(user_activity!A166,users_details!$A$1:$G$34,7,0)</f>
        <v>Crown Heights</v>
      </c>
      <c r="G9" s="2" t="s">
        <v>72</v>
      </c>
      <c r="H9" s="7">
        <v>42489</v>
      </c>
      <c r="I9" s="9" t="str">
        <f t="shared" si="0"/>
        <v>Friday</v>
      </c>
      <c r="J9" s="9" t="str">
        <f t="shared" si="1"/>
        <v>April</v>
      </c>
      <c r="K9" s="2">
        <v>5.3600001339999999</v>
      </c>
      <c r="L9" s="2">
        <v>5.3600001339999999</v>
      </c>
      <c r="M9" s="2">
        <v>0</v>
      </c>
      <c r="N9" s="2">
        <v>0.44999998800000002</v>
      </c>
      <c r="O9" s="2">
        <v>0.790000021</v>
      </c>
      <c r="P9" s="2">
        <v>4.1199998860000004</v>
      </c>
      <c r="Q9" s="2">
        <v>0</v>
      </c>
      <c r="R9" s="2">
        <v>6</v>
      </c>
      <c r="S9" s="2">
        <v>18</v>
      </c>
      <c r="T9" s="2">
        <v>289</v>
      </c>
      <c r="U9" s="2">
        <f t="shared" si="2"/>
        <v>313</v>
      </c>
      <c r="V9" s="2">
        <v>624</v>
      </c>
      <c r="W9" s="2">
        <v>7990</v>
      </c>
      <c r="X9" s="2">
        <f t="shared" si="3"/>
        <v>7990</v>
      </c>
      <c r="Y9" s="2">
        <v>2175</v>
      </c>
      <c r="Z9" t="str" cm="1">
        <f t="array" ref="Z9">_xlfn.IFS(OR(R9&gt;66, S9&gt;38), "High Engagement", OR(AND(R9&gt;32, R9&lt;=66), AND(S9&gt;19, S9&lt;=38)), "Medium-High Engagement", OR(AND(R9&gt;4, R9&lt;=32), AND(S9&gt;6, S9&lt;=19)),"Medium Engagement", TRUE, "Low Engagement"
)</f>
        <v>Medium Engagement</v>
      </c>
      <c r="AA9">
        <f t="shared" si="4"/>
        <v>0.27221526908635796</v>
      </c>
    </row>
    <row r="10" spans="1:29" x14ac:dyDescent="0.35">
      <c r="A10" s="2">
        <v>2320127002</v>
      </c>
      <c r="B10" s="2" t="s">
        <v>100</v>
      </c>
      <c r="C10" s="2">
        <f>VLOOKUP(user_activity!A172,users_details!$A$1:$G$34,5,0)</f>
        <v>23</v>
      </c>
      <c r="D10" s="2" t="str" cm="1">
        <f t="array" ref="D10">_xlfn.IFS( AND(C10&gt;=18, C10&lt;=25), "Emerging Adults",  AND(C10&gt;=26, C10&lt;=35),  "Young Adults",  AND(C10&gt;=36, C10&lt;=45),  "Midlife Adults",  AND(C10&gt;=46, C10&lt;=55), "Mature Adults", C10&gt;=56,  "Older Adults", TRUE, "Age Not Mentioned")</f>
        <v>Emerging Adults</v>
      </c>
      <c r="E10" s="2" t="str">
        <f>VLOOKUP(user_activity!A172,users_details!$A$1:$G$34,6,0)</f>
        <v>Washington Heights, Manhattan</v>
      </c>
      <c r="F10" s="2" t="str">
        <f>VLOOKUP(user_activity!A172,users_details!$A$1:$G$34,7,0)</f>
        <v>Washington Heights</v>
      </c>
      <c r="G10" s="2" t="s">
        <v>72</v>
      </c>
      <c r="H10" s="7">
        <v>42474</v>
      </c>
      <c r="I10" s="9" t="str">
        <f t="shared" si="0"/>
        <v>Thursday</v>
      </c>
      <c r="J10" s="9" t="str">
        <f t="shared" si="1"/>
        <v>April</v>
      </c>
      <c r="K10" s="2">
        <v>2.6800000669999999</v>
      </c>
      <c r="L10" s="2">
        <v>2.6800000669999999</v>
      </c>
      <c r="M10" s="2">
        <v>0</v>
      </c>
      <c r="N10" s="2">
        <v>0</v>
      </c>
      <c r="O10" s="2">
        <v>0</v>
      </c>
      <c r="P10" s="2">
        <v>2.6800000669999999</v>
      </c>
      <c r="Q10" s="2">
        <v>0</v>
      </c>
      <c r="R10" s="2">
        <v>0</v>
      </c>
      <c r="S10" s="2">
        <v>0</v>
      </c>
      <c r="T10" s="2">
        <v>191</v>
      </c>
      <c r="U10" s="2">
        <f t="shared" si="2"/>
        <v>191</v>
      </c>
      <c r="V10" s="2">
        <v>1249</v>
      </c>
      <c r="W10" s="2">
        <v>3973</v>
      </c>
      <c r="X10" s="2">
        <f t="shared" si="3"/>
        <v>3973</v>
      </c>
      <c r="Y10" s="2">
        <v>1696</v>
      </c>
      <c r="Z10" t="str" cm="1">
        <f t="array" ref="Z10">_xlfn.IFS(OR(R10&gt;66, S10&gt;38), "High Engagement", OR(AND(R10&gt;32, R10&lt;=66), AND(S10&gt;19, S10&lt;=38)), "Medium-High Engagement", OR(AND(R10&gt;4, R10&lt;=32), AND(S10&gt;6, S10&lt;=19)),"Medium Engagement", TRUE, "Low Engagement"
)</f>
        <v>Low Engagement</v>
      </c>
      <c r="AA10">
        <f t="shared" si="4"/>
        <v>0.42688144978605586</v>
      </c>
    </row>
    <row r="11" spans="1:29" x14ac:dyDescent="0.35">
      <c r="A11" s="2">
        <v>4319703577</v>
      </c>
      <c r="B11" s="2" t="s">
        <v>77</v>
      </c>
      <c r="C11" s="2">
        <f>VLOOKUP(user_activity!A235,users_details!$A$1:$G$34,5,0)</f>
        <v>24</v>
      </c>
      <c r="D11" s="2" t="str" cm="1">
        <f t="array" ref="D11">_xlfn.IFS( AND(C11&gt;=18, C11&lt;=25), "Emerging Adults",  AND(C11&gt;=26, C11&lt;=35),  "Young Adults",  AND(C11&gt;=36, C11&lt;=45),  "Midlife Adults",  AND(C11&gt;=46, C11&lt;=55), "Mature Adults", C11&gt;=56,  "Older Adults", TRUE, "Age Not Mentioned")</f>
        <v>Emerging Adults</v>
      </c>
      <c r="E11" s="2" t="str">
        <f>VLOOKUP(user_activity!A235,users_details!$A$1:$G$34,6,0)</f>
        <v>East Village, Manhattan</v>
      </c>
      <c r="F11" s="2" t="str">
        <f>VLOOKUP(user_activity!A235,users_details!$A$1:$G$34,7,0)</f>
        <v>East Village</v>
      </c>
      <c r="G11" s="2" t="s">
        <v>72</v>
      </c>
      <c r="H11" s="7">
        <v>42618</v>
      </c>
      <c r="I11" s="9" t="str">
        <f t="shared" si="0"/>
        <v>Monday</v>
      </c>
      <c r="J11" s="9" t="str">
        <f t="shared" si="1"/>
        <v>September</v>
      </c>
      <c r="K11" s="2">
        <v>6.9600000380000004</v>
      </c>
      <c r="L11" s="2">
        <v>6.9600000380000004</v>
      </c>
      <c r="M11" s="2">
        <v>0</v>
      </c>
      <c r="N11" s="2">
        <v>0.14000000100000001</v>
      </c>
      <c r="O11" s="2">
        <v>0.560000002</v>
      </c>
      <c r="P11" s="2">
        <v>6.25</v>
      </c>
      <c r="Q11" s="2">
        <v>0</v>
      </c>
      <c r="R11" s="2">
        <v>2</v>
      </c>
      <c r="S11" s="2">
        <v>14</v>
      </c>
      <c r="T11" s="2">
        <v>374</v>
      </c>
      <c r="U11" s="2">
        <f t="shared" si="2"/>
        <v>390</v>
      </c>
      <c r="V11" s="2">
        <v>490</v>
      </c>
      <c r="W11" s="2">
        <v>10378</v>
      </c>
      <c r="X11" s="2">
        <f t="shared" si="3"/>
        <v>10378</v>
      </c>
      <c r="Y11" s="2">
        <v>2345</v>
      </c>
      <c r="Z11" t="str" cm="1">
        <f t="array" ref="Z11">_xlfn.IFS(OR(R11&gt;66, S11&gt;38), "High Engagement", OR(AND(R11&gt;32, R11&lt;=66), AND(S11&gt;19, S11&lt;=38)), "Medium-High Engagement", OR(AND(R11&gt;4, R11&lt;=32), AND(S11&gt;6, S11&lt;=19)),"Medium Engagement", TRUE, "Low Engagement"
)</f>
        <v>Medium Engagement</v>
      </c>
      <c r="AA11">
        <f t="shared" si="4"/>
        <v>0.22595875891308537</v>
      </c>
    </row>
    <row r="12" spans="1:29" x14ac:dyDescent="0.35">
      <c r="A12" s="2">
        <v>4319703577</v>
      </c>
      <c r="B12" s="2" t="s">
        <v>77</v>
      </c>
      <c r="C12" s="2">
        <f>VLOOKUP(user_activity!A247,users_details!$A$1:$G$34,5,0)</f>
        <v>29</v>
      </c>
      <c r="D12" s="2" t="str" cm="1">
        <f t="array" ref="D12">_xlfn.IFS( AND(C12&gt;=18, C12&lt;=25), "Emerging Adults",  AND(C12&gt;=26, C12&lt;=35),  "Young Adults",  AND(C12&gt;=36, C12&lt;=45),  "Midlife Adults",  AND(C12&gt;=46, C12&lt;=55), "Mature Adults", C12&gt;=56,  "Older Adults", TRUE, "Age Not Mentioned")</f>
        <v>Young Adults</v>
      </c>
      <c r="E12" s="2" t="str">
        <f>VLOOKUP(user_activity!A247,users_details!$A$1:$G$34,6,0)</f>
        <v>East Village, Manhattan</v>
      </c>
      <c r="F12" s="2" t="str">
        <f>VLOOKUP(user_activity!A247,users_details!$A$1:$G$34,7,0)</f>
        <v>East Village</v>
      </c>
      <c r="G12" s="2" t="s">
        <v>72</v>
      </c>
      <c r="H12" s="7">
        <v>42479</v>
      </c>
      <c r="I12" s="9" t="str">
        <f t="shared" si="0"/>
        <v>Tuesday</v>
      </c>
      <c r="J12" s="9" t="str">
        <f t="shared" si="1"/>
        <v>April</v>
      </c>
      <c r="K12" s="2">
        <v>5.9899997709999999</v>
      </c>
      <c r="L12" s="2">
        <v>5.9899997709999999</v>
      </c>
      <c r="M12" s="2">
        <v>0</v>
      </c>
      <c r="N12" s="2">
        <v>0</v>
      </c>
      <c r="O12" s="2">
        <v>0</v>
      </c>
      <c r="P12" s="2">
        <v>5.9899997709999999</v>
      </c>
      <c r="Q12" s="2">
        <v>0</v>
      </c>
      <c r="R12" s="2">
        <v>0</v>
      </c>
      <c r="S12" s="2">
        <v>0</v>
      </c>
      <c r="T12" s="2">
        <v>311</v>
      </c>
      <c r="U12" s="2">
        <f t="shared" si="2"/>
        <v>311</v>
      </c>
      <c r="V12" s="2">
        <v>604</v>
      </c>
      <c r="W12" s="2">
        <v>8925</v>
      </c>
      <c r="X12" s="2">
        <f t="shared" si="3"/>
        <v>8925</v>
      </c>
      <c r="Y12" s="2">
        <v>2200</v>
      </c>
      <c r="Z12" t="str" cm="1">
        <f t="array" ref="Z12">_xlfn.IFS(OR(R12&gt;66, S12&gt;38), "High Engagement", OR(AND(R12&gt;32, R12&lt;=66), AND(S12&gt;19, S12&lt;=38)), "Medium-High Engagement", OR(AND(R12&gt;4, R12&lt;=32), AND(S12&gt;6, S12&lt;=19)),"Medium Engagement", TRUE, "Low Engagement"
)</f>
        <v>Low Engagement</v>
      </c>
      <c r="AA12">
        <f t="shared" si="4"/>
        <v>0.24649859943977592</v>
      </c>
    </row>
    <row r="13" spans="1:29" x14ac:dyDescent="0.35">
      <c r="A13" s="2">
        <v>2320127002</v>
      </c>
      <c r="B13" s="2" t="s">
        <v>100</v>
      </c>
      <c r="C13" s="2">
        <f>VLOOKUP(user_activity!A248,users_details!$A$1:$G$34,5,0)</f>
        <v>29</v>
      </c>
      <c r="D13" s="2" t="str" cm="1">
        <f t="array" ref="D13">_xlfn.IFS( AND(C13&gt;=18, C13&lt;=25), "Emerging Adults",  AND(C13&gt;=26, C13&lt;=35),  "Young Adults",  AND(C13&gt;=36, C13&lt;=45),  "Midlife Adults",  AND(C13&gt;=46, C13&lt;=55), "Mature Adults", C13&gt;=56,  "Older Adults", TRUE, "Age Not Mentioned")</f>
        <v>Young Adults</v>
      </c>
      <c r="E13" s="2" t="str">
        <f>VLOOKUP(user_activity!A248,users_details!$A$1:$G$34,6,0)</f>
        <v>Crown Heights, Brooklyn</v>
      </c>
      <c r="F13" s="2" t="str">
        <f>VLOOKUP(user_activity!A248,users_details!$A$1:$G$34,7,0)</f>
        <v>Crown Heights</v>
      </c>
      <c r="G13" s="2" t="s">
        <v>72</v>
      </c>
      <c r="H13" s="7">
        <v>42483</v>
      </c>
      <c r="I13" s="9" t="str">
        <f t="shared" si="0"/>
        <v>Saturday</v>
      </c>
      <c r="J13" s="9" t="str">
        <f t="shared" si="1"/>
        <v>April</v>
      </c>
      <c r="K13" s="2">
        <v>3.420000076</v>
      </c>
      <c r="L13" s="2">
        <v>3.420000076</v>
      </c>
      <c r="M13" s="2">
        <v>0</v>
      </c>
      <c r="N13" s="2">
        <v>0</v>
      </c>
      <c r="O13" s="2">
        <v>0</v>
      </c>
      <c r="P13" s="2">
        <v>3.420000076</v>
      </c>
      <c r="Q13" s="2">
        <v>0</v>
      </c>
      <c r="R13" s="2">
        <v>0</v>
      </c>
      <c r="S13" s="2">
        <v>0</v>
      </c>
      <c r="T13" s="2">
        <v>242</v>
      </c>
      <c r="U13" s="2">
        <f t="shared" si="2"/>
        <v>242</v>
      </c>
      <c r="V13" s="2">
        <v>1129</v>
      </c>
      <c r="W13" s="2">
        <v>5079</v>
      </c>
      <c r="X13" s="2">
        <f t="shared" si="3"/>
        <v>5079</v>
      </c>
      <c r="Y13" s="2">
        <v>1804</v>
      </c>
      <c r="Z13" t="str" cm="1">
        <f t="array" ref="Z13">_xlfn.IFS(OR(R13&gt;66, S13&gt;38), "High Engagement", OR(AND(R13&gt;32, R13&lt;=66), AND(S13&gt;19, S13&lt;=38)), "Medium-High Engagement", OR(AND(R13&gt;4, R13&lt;=32), AND(S13&gt;6, S13&lt;=19)),"Medium Engagement", TRUE, "Low Engagement"
)</f>
        <v>Low Engagement</v>
      </c>
      <c r="AA13">
        <f t="shared" si="4"/>
        <v>0.35518802913959441</v>
      </c>
    </row>
    <row r="14" spans="1:29" x14ac:dyDescent="0.35">
      <c r="A14" s="2">
        <v>2320127002</v>
      </c>
      <c r="B14" s="2" t="s">
        <v>100</v>
      </c>
      <c r="C14" s="2">
        <f>VLOOKUP(user_activity!A276,users_details!$A$1:$G$34,5,0)</f>
        <v>29</v>
      </c>
      <c r="D14" s="2" t="str" cm="1">
        <f t="array" ref="D14">_xlfn.IFS( AND(C14&gt;=18, C14&lt;=25), "Emerging Adults",  AND(C14&gt;=26, C14&lt;=35),  "Young Adults",  AND(C14&gt;=36, C14&lt;=45),  "Midlife Adults",  AND(C14&gt;=46, C14&lt;=55), "Mature Adults", C14&gt;=56,  "Older Adults", TRUE, "Age Not Mentioned")</f>
        <v>Young Adults</v>
      </c>
      <c r="E14" s="2" t="str">
        <f>VLOOKUP(user_activity!A276,users_details!$A$1:$G$34,6,0)</f>
        <v>Crown Heights, Brooklyn</v>
      </c>
      <c r="F14" s="2" t="str">
        <f>VLOOKUP(user_activity!A276,users_details!$A$1:$G$34,7,0)</f>
        <v>Crown Heights</v>
      </c>
      <c r="G14" s="2" t="s">
        <v>72</v>
      </c>
      <c r="H14" s="7">
        <v>42484</v>
      </c>
      <c r="I14" s="9" t="str">
        <f t="shared" si="0"/>
        <v>Sunday</v>
      </c>
      <c r="J14" s="9" t="str">
        <f t="shared" si="1"/>
        <v>April</v>
      </c>
      <c r="K14" s="2">
        <v>2.8099999430000002</v>
      </c>
      <c r="L14" s="2">
        <v>2.8099999430000002</v>
      </c>
      <c r="M14" s="2">
        <v>0</v>
      </c>
      <c r="N14" s="2">
        <v>0</v>
      </c>
      <c r="O14" s="2">
        <v>0</v>
      </c>
      <c r="P14" s="2">
        <v>2.7999999519999998</v>
      </c>
      <c r="Q14" s="2">
        <v>0</v>
      </c>
      <c r="R14" s="2">
        <v>0</v>
      </c>
      <c r="S14" s="2">
        <v>0</v>
      </c>
      <c r="T14" s="2">
        <v>204</v>
      </c>
      <c r="U14" s="2">
        <f t="shared" si="2"/>
        <v>204</v>
      </c>
      <c r="V14" s="2">
        <v>1236</v>
      </c>
      <c r="W14" s="2">
        <v>4165</v>
      </c>
      <c r="X14" s="2">
        <f t="shared" si="3"/>
        <v>4165</v>
      </c>
      <c r="Y14" s="2">
        <v>1725</v>
      </c>
      <c r="Z14" t="str" cm="1">
        <f t="array" ref="Z14">_xlfn.IFS(OR(R14&gt;66, S14&gt;38), "High Engagement", OR(AND(R14&gt;32, R14&lt;=66), AND(S14&gt;19, S14&lt;=38)), "Medium-High Engagement", OR(AND(R14&gt;4, R14&lt;=32), AND(S14&gt;6, S14&lt;=19)),"Medium Engagement", TRUE, "Low Engagement"
)</f>
        <v>Low Engagement</v>
      </c>
      <c r="AA14">
        <f t="shared" si="4"/>
        <v>0.41416566626650658</v>
      </c>
    </row>
    <row r="15" spans="1:29" x14ac:dyDescent="0.35">
      <c r="A15" s="2">
        <v>4319703577</v>
      </c>
      <c r="B15" s="2" t="s">
        <v>77</v>
      </c>
      <c r="C15" s="2">
        <f>VLOOKUP(user_activity!A296,users_details!$A$1:$G$34,5,0)</f>
        <v>29</v>
      </c>
      <c r="D15" s="2" t="str" cm="1">
        <f t="array" ref="D15">_xlfn.IFS( AND(C15&gt;=18, C15&lt;=25), "Emerging Adults",  AND(C15&gt;=26, C15&lt;=35),  "Young Adults",  AND(C15&gt;=36, C15&lt;=45),  "Midlife Adults",  AND(C15&gt;=46, C15&lt;=55), "Mature Adults", C15&gt;=56,  "Older Adults", TRUE, "Age Not Mentioned")</f>
        <v>Young Adults</v>
      </c>
      <c r="E15" s="2" t="str">
        <f>VLOOKUP(user_activity!A296,users_details!$A$1:$G$34,6,0)</f>
        <v>East Village, Manhattan</v>
      </c>
      <c r="F15" s="2" t="str">
        <f>VLOOKUP(user_activity!A296,users_details!$A$1:$G$34,7,0)</f>
        <v>East Village</v>
      </c>
      <c r="G15" s="2" t="s">
        <v>72</v>
      </c>
      <c r="H15" s="7">
        <v>42648</v>
      </c>
      <c r="I15" s="9" t="str">
        <f t="shared" si="0"/>
        <v>Wednesday</v>
      </c>
      <c r="J15" s="9" t="str">
        <f t="shared" si="1"/>
        <v>October</v>
      </c>
      <c r="K15" s="2">
        <v>6.3699998860000004</v>
      </c>
      <c r="L15" s="2">
        <v>6.3699998860000004</v>
      </c>
      <c r="M15" s="2">
        <v>0</v>
      </c>
      <c r="N15" s="2">
        <v>0.209999993</v>
      </c>
      <c r="O15" s="2">
        <v>0.46000000800000002</v>
      </c>
      <c r="P15" s="2">
        <v>5.6999998090000004</v>
      </c>
      <c r="Q15" s="2">
        <v>0</v>
      </c>
      <c r="R15" s="2">
        <v>3</v>
      </c>
      <c r="S15" s="2">
        <v>12</v>
      </c>
      <c r="T15" s="2">
        <v>329</v>
      </c>
      <c r="U15" s="2">
        <f t="shared" si="2"/>
        <v>344</v>
      </c>
      <c r="V15" s="2">
        <v>555</v>
      </c>
      <c r="W15" s="2">
        <v>9487</v>
      </c>
      <c r="X15" s="2">
        <f t="shared" si="3"/>
        <v>9487</v>
      </c>
      <c r="Y15" s="2">
        <v>2260</v>
      </c>
      <c r="Z15" t="str" cm="1">
        <f t="array" ref="Z15">_xlfn.IFS(OR(R15&gt;66, S15&gt;38), "High Engagement", OR(AND(R15&gt;32, R15&lt;=66), AND(S15&gt;19, S15&lt;=38)), "Medium-High Engagement", OR(AND(R15&gt;4, R15&lt;=32), AND(S15&gt;6, S15&lt;=19)),"Medium Engagement", TRUE, "Low Engagement"
)</f>
        <v>Medium Engagement</v>
      </c>
      <c r="AA15">
        <f t="shared" si="4"/>
        <v>0.23822072309476125</v>
      </c>
    </row>
    <row r="16" spans="1:29" x14ac:dyDescent="0.35">
      <c r="A16" s="2">
        <v>2320127002</v>
      </c>
      <c r="B16" s="2" t="s">
        <v>100</v>
      </c>
      <c r="C16" s="2">
        <f>VLOOKUP(user_activity!A334,users_details!$A$1:$G$34,5,0)</f>
        <v>30</v>
      </c>
      <c r="D16" s="2" t="str" cm="1">
        <f t="array" ref="D16">_xlfn.IFS( AND(C16&gt;=18, C16&lt;=25), "Emerging Adults",  AND(C16&gt;=26, C16&lt;=35),  "Young Adults",  AND(C16&gt;=36, C16&lt;=45),  "Midlife Adults",  AND(C16&gt;=46, C16&lt;=55), "Mature Adults", C16&gt;=56,  "Older Adults", TRUE, "Age Not Mentioned")</f>
        <v>Young Adults</v>
      </c>
      <c r="E16" s="2" t="str">
        <f>VLOOKUP(user_activity!A334,users_details!$A$1:$G$34,6,0)</f>
        <v>Midtown, Manhattan</v>
      </c>
      <c r="F16" s="2" t="str">
        <f>VLOOKUP(user_activity!A334,users_details!$A$1:$G$34,7,0)</f>
        <v>Midtown</v>
      </c>
      <c r="G16" s="2" t="s">
        <v>72</v>
      </c>
      <c r="H16" s="7">
        <v>42490</v>
      </c>
      <c r="I16" s="9" t="str">
        <f t="shared" si="0"/>
        <v>Saturday</v>
      </c>
      <c r="J16" s="9" t="str">
        <f t="shared" si="1"/>
        <v>April</v>
      </c>
      <c r="K16" s="2">
        <v>3.079999924</v>
      </c>
      <c r="L16" s="2">
        <v>3.079999924</v>
      </c>
      <c r="M16" s="2">
        <v>0</v>
      </c>
      <c r="N16" s="2">
        <v>0</v>
      </c>
      <c r="O16" s="2">
        <v>0</v>
      </c>
      <c r="P16" s="2">
        <v>3.0699999330000001</v>
      </c>
      <c r="Q16" s="2">
        <v>0</v>
      </c>
      <c r="R16" s="2">
        <v>0</v>
      </c>
      <c r="S16" s="2">
        <v>0</v>
      </c>
      <c r="T16" s="2">
        <v>234</v>
      </c>
      <c r="U16" s="2">
        <f t="shared" si="2"/>
        <v>234</v>
      </c>
      <c r="V16" s="2">
        <v>1206</v>
      </c>
      <c r="W16" s="2">
        <v>4571</v>
      </c>
      <c r="X16" s="2">
        <f t="shared" si="3"/>
        <v>4571</v>
      </c>
      <c r="Y16" s="2">
        <v>1779</v>
      </c>
      <c r="Z16" t="str" cm="1">
        <f t="array" ref="Z16">_xlfn.IFS(OR(R16&gt;66, S16&gt;38), "High Engagement", OR(AND(R16&gt;32, R16&lt;=66), AND(S16&gt;19, S16&lt;=38)), "Medium-High Engagement", OR(AND(R16&gt;4, R16&lt;=32), AND(S16&gt;6, S16&lt;=19)),"Medium Engagement", TRUE, "Low Engagement"
)</f>
        <v>Low Engagement</v>
      </c>
      <c r="AA16">
        <f t="shared" si="4"/>
        <v>0.38919273681907679</v>
      </c>
    </row>
    <row r="17" spans="1:27" x14ac:dyDescent="0.35">
      <c r="A17" s="2">
        <v>2320127002</v>
      </c>
      <c r="B17" s="2" t="s">
        <v>100</v>
      </c>
      <c r="C17" s="2">
        <f>VLOOKUP(user_activity!A335,users_details!$A$1:$G$34,5,0)</f>
        <v>30</v>
      </c>
      <c r="D17" s="2" t="str" cm="1">
        <f t="array" ref="D17">_xlfn.IFS( AND(C17&gt;=18, C17&lt;=25), "Emerging Adults",  AND(C17&gt;=26, C17&lt;=35),  "Young Adults",  AND(C17&gt;=36, C17&lt;=45),  "Midlife Adults",  AND(C17&gt;=46, C17&lt;=55), "Mature Adults", C17&gt;=56,  "Older Adults", TRUE, "Age Not Mentioned")</f>
        <v>Young Adults</v>
      </c>
      <c r="E17" s="2" t="str">
        <f>VLOOKUP(user_activity!A335,users_details!$A$1:$G$34,6,0)</f>
        <v>Midtown, Manhattan</v>
      </c>
      <c r="F17" s="2" t="str">
        <f>VLOOKUP(user_activity!A335,users_details!$A$1:$G$34,7,0)</f>
        <v>Midtown</v>
      </c>
      <c r="G17" s="2" t="s">
        <v>72</v>
      </c>
      <c r="H17" s="7">
        <v>42476</v>
      </c>
      <c r="I17" s="9" t="str">
        <f t="shared" si="0"/>
        <v>Saturday</v>
      </c>
      <c r="J17" s="9" t="str">
        <f t="shared" si="1"/>
        <v>April</v>
      </c>
      <c r="K17" s="2">
        <v>3.4100000860000002</v>
      </c>
      <c r="L17" s="2">
        <v>3.4100000860000002</v>
      </c>
      <c r="M17" s="2">
        <v>0</v>
      </c>
      <c r="N17" s="2">
        <v>0</v>
      </c>
      <c r="O17" s="2">
        <v>0</v>
      </c>
      <c r="P17" s="2">
        <v>3.4000000950000002</v>
      </c>
      <c r="Q17" s="2">
        <v>0</v>
      </c>
      <c r="R17" s="2">
        <v>0</v>
      </c>
      <c r="S17" s="2">
        <v>0</v>
      </c>
      <c r="T17" s="2">
        <v>195</v>
      </c>
      <c r="U17" s="2">
        <f t="shared" si="2"/>
        <v>195</v>
      </c>
      <c r="V17" s="2">
        <v>1245</v>
      </c>
      <c r="W17" s="2">
        <v>5057</v>
      </c>
      <c r="X17" s="2">
        <f t="shared" si="3"/>
        <v>5057</v>
      </c>
      <c r="Y17" s="2">
        <v>1724</v>
      </c>
      <c r="Z17" t="str" cm="1">
        <f t="array" ref="Z17">_xlfn.IFS(OR(R17&gt;66, S17&gt;38), "High Engagement", OR(AND(R17&gt;32, R17&lt;=66), AND(S17&gt;19, S17&lt;=38)), "Medium-High Engagement", OR(AND(R17&gt;4, R17&lt;=32), AND(S17&gt;6, S17&lt;=19)),"Medium Engagement", TRUE, "Low Engagement"
)</f>
        <v>Low Engagement</v>
      </c>
      <c r="AA17">
        <f t="shared" si="4"/>
        <v>0.34091358512952341</v>
      </c>
    </row>
    <row r="18" spans="1:27" x14ac:dyDescent="0.35">
      <c r="A18" s="2">
        <v>4319703577</v>
      </c>
      <c r="B18" s="2" t="s">
        <v>77</v>
      </c>
      <c r="C18" s="2">
        <f>VLOOKUP(user_activity!A348,users_details!$A$1:$G$34,5,0)</f>
        <v>31</v>
      </c>
      <c r="D18" s="2" t="str" cm="1">
        <f t="array" ref="D18">_xlfn.IFS( AND(C18&gt;=18, C18&lt;=25), "Emerging Adults",  AND(C18&gt;=26, C18&lt;=35),  "Young Adults",  AND(C18&gt;=36, C18&lt;=45),  "Midlife Adults",  AND(C18&gt;=46, C18&lt;=55), "Mature Adults", C18&gt;=56,  "Older Adults", TRUE, "Age Not Mentioned")</f>
        <v>Young Adults</v>
      </c>
      <c r="E18" s="2" t="str">
        <f>VLOOKUP(user_activity!A348,users_details!$A$1:$G$34,6,0)</f>
        <v>Midtown, Manhattan</v>
      </c>
      <c r="F18" s="2" t="str">
        <f>VLOOKUP(user_activity!A348,users_details!$A$1:$G$34,7,0)</f>
        <v>Midtown</v>
      </c>
      <c r="G18" s="2" t="s">
        <v>72</v>
      </c>
      <c r="H18" s="7">
        <v>42708</v>
      </c>
      <c r="I18" s="9" t="str">
        <f t="shared" si="0"/>
        <v>Sunday</v>
      </c>
      <c r="J18" s="9" t="str">
        <f t="shared" si="1"/>
        <v>December</v>
      </c>
      <c r="K18" s="2">
        <v>5.1999998090000004</v>
      </c>
      <c r="L18" s="2">
        <v>5.1999998090000004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f t="shared" si="2"/>
        <v>0</v>
      </c>
      <c r="V18" s="2">
        <v>1440</v>
      </c>
      <c r="W18" s="2">
        <v>7753</v>
      </c>
      <c r="X18" s="2">
        <f t="shared" si="3"/>
        <v>7753</v>
      </c>
      <c r="Y18" s="2">
        <v>2115</v>
      </c>
      <c r="Z18" t="str" cm="1">
        <f t="array" ref="Z18">_xlfn.IFS(OR(R18&gt;66, S18&gt;38), "High Engagement", OR(AND(R18&gt;32, R18&lt;=66), AND(S18&gt;19, S18&lt;=38)), "Medium-High Engagement", OR(AND(R18&gt;4, R18&lt;=32), AND(S18&gt;6, S18&lt;=19)),"Medium Engagement", TRUE, "Low Engagement"
)</f>
        <v>Low Engagement</v>
      </c>
      <c r="AA18">
        <f t="shared" si="4"/>
        <v>0.27279762672513863</v>
      </c>
    </row>
    <row r="19" spans="1:27" x14ac:dyDescent="0.35">
      <c r="A19" s="2">
        <v>4319703577</v>
      </c>
      <c r="B19" s="2" t="s">
        <v>77</v>
      </c>
      <c r="C19" s="2">
        <f>VLOOKUP(user_activity!A351,users_details!$A$1:$G$34,5,0)</f>
        <v>31</v>
      </c>
      <c r="D19" s="2" t="str" cm="1">
        <f t="array" ref="D19">_xlfn.IFS( AND(C19&gt;=18, C19&lt;=25), "Emerging Adults",  AND(C19&gt;=26, C19&lt;=35),  "Young Adults",  AND(C19&gt;=36, C19&lt;=45),  "Midlife Adults",  AND(C19&gt;=46, C19&lt;=55), "Mature Adults", C19&gt;=56,  "Older Adults", TRUE, "Age Not Mentioned")</f>
        <v>Young Adults</v>
      </c>
      <c r="E19" s="2" t="str">
        <f>VLOOKUP(user_activity!A351,users_details!$A$1:$G$34,6,0)</f>
        <v>Midtown, Manhattan</v>
      </c>
      <c r="F19" s="2" t="str">
        <f>VLOOKUP(user_activity!A351,users_details!$A$1:$G$34,7,0)</f>
        <v>Midtown</v>
      </c>
      <c r="G19" s="2" t="s">
        <v>72</v>
      </c>
      <c r="H19" s="7">
        <v>42709</v>
      </c>
      <c r="I19" s="9" t="str">
        <f t="shared" si="0"/>
        <v>Monday</v>
      </c>
      <c r="J19" s="9" t="str">
        <f t="shared" si="1"/>
        <v>December</v>
      </c>
      <c r="K19" s="2">
        <v>0.01</v>
      </c>
      <c r="L19" s="2">
        <v>0.01</v>
      </c>
      <c r="M19" s="2">
        <v>0</v>
      </c>
      <c r="N19" s="2">
        <v>0</v>
      </c>
      <c r="O19" s="2">
        <v>0</v>
      </c>
      <c r="P19" s="2">
        <v>0.01</v>
      </c>
      <c r="Q19" s="2">
        <v>0</v>
      </c>
      <c r="R19" s="2">
        <v>0</v>
      </c>
      <c r="S19" s="2">
        <v>0</v>
      </c>
      <c r="T19" s="2">
        <v>2</v>
      </c>
      <c r="U19" s="2">
        <f t="shared" si="2"/>
        <v>2</v>
      </c>
      <c r="V19" s="2">
        <v>0</v>
      </c>
      <c r="W19" s="2">
        <v>17</v>
      </c>
      <c r="X19" s="2">
        <f t="shared" si="3"/>
        <v>17</v>
      </c>
      <c r="Y19" s="2">
        <v>257</v>
      </c>
      <c r="Z19" t="str" cm="1">
        <f t="array" ref="Z19">_xlfn.IFS(OR(R19&gt;66, S19&gt;38), "High Engagement", OR(AND(R19&gt;32, R19&lt;=66), AND(S19&gt;19, S19&lt;=38)), "Medium-High Engagement", OR(AND(R19&gt;4, R19&lt;=32), AND(S19&gt;6, S19&lt;=19)),"Medium Engagement", TRUE, "Low Engagement"
)</f>
        <v>Low Engagement</v>
      </c>
      <c r="AA19">
        <v>0</v>
      </c>
    </row>
    <row r="20" spans="1:27" x14ac:dyDescent="0.35">
      <c r="A20" s="2">
        <v>2320127002</v>
      </c>
      <c r="B20" s="2" t="s">
        <v>100</v>
      </c>
      <c r="C20" s="2">
        <f>VLOOKUP(user_activity!A381,users_details!$A$1:$G$34,5,0)</f>
        <v>32</v>
      </c>
      <c r="D20" s="2" t="str" cm="1">
        <f t="array" ref="D20">_xlfn.IFS( AND(C20&gt;=18, C20&lt;=25), "Emerging Adults",  AND(C20&gt;=26, C20&lt;=35),  "Young Adults",  AND(C20&gt;=36, C20&lt;=45),  "Midlife Adults",  AND(C20&gt;=46, C20&lt;=55), "Mature Adults", C20&gt;=56,  "Older Adults", TRUE, "Age Not Mentioned")</f>
        <v>Young Adults</v>
      </c>
      <c r="E20" s="2" t="str">
        <f>VLOOKUP(user_activity!A381,users_details!$A$1:$G$34,6,0)</f>
        <v>Greenpoint, Brooklyn</v>
      </c>
      <c r="F20" s="2" t="str">
        <f>VLOOKUP(user_activity!A381,users_details!$A$1:$G$34,7,0)</f>
        <v>Greenpoint</v>
      </c>
      <c r="G20" s="2" t="s">
        <v>72</v>
      </c>
      <c r="H20" s="7">
        <v>42479</v>
      </c>
      <c r="I20" s="9" t="str">
        <f t="shared" si="0"/>
        <v>Tuesday</v>
      </c>
      <c r="J20" s="9" t="str">
        <f t="shared" si="1"/>
        <v>April</v>
      </c>
      <c r="K20" s="2">
        <v>4.0399999619999996</v>
      </c>
      <c r="L20" s="2">
        <v>4.0399999619999996</v>
      </c>
      <c r="M20" s="2">
        <v>0</v>
      </c>
      <c r="N20" s="2">
        <v>0</v>
      </c>
      <c r="O20" s="2">
        <v>0.37999999499999998</v>
      </c>
      <c r="P20" s="2">
        <v>3.6600000860000002</v>
      </c>
      <c r="Q20" s="2">
        <v>0</v>
      </c>
      <c r="R20" s="2">
        <v>0</v>
      </c>
      <c r="S20" s="2">
        <v>11</v>
      </c>
      <c r="T20" s="2">
        <v>228</v>
      </c>
      <c r="U20" s="2">
        <f t="shared" si="2"/>
        <v>239</v>
      </c>
      <c r="V20" s="2">
        <v>1201</v>
      </c>
      <c r="W20" s="2">
        <v>5997</v>
      </c>
      <c r="X20" s="2">
        <f t="shared" si="3"/>
        <v>5997</v>
      </c>
      <c r="Y20" s="2">
        <v>1811</v>
      </c>
      <c r="Z20" t="str" cm="1">
        <f t="array" ref="Z20">_xlfn.IFS(OR(R20&gt;66, S20&gt;38), "High Engagement", OR(AND(R20&gt;32, R20&lt;=66), AND(S20&gt;19, S20&lt;=38)), "Medium-High Engagement", OR(AND(R20&gt;4, R20&lt;=32), AND(S20&gt;6, S20&lt;=19)),"Medium Engagement", TRUE, "Low Engagement"
)</f>
        <v>Medium Engagement</v>
      </c>
      <c r="AA20">
        <f t="shared" si="4"/>
        <v>0.3019843254960814</v>
      </c>
    </row>
    <row r="21" spans="1:27" x14ac:dyDescent="0.35">
      <c r="A21" s="2">
        <v>4319703577</v>
      </c>
      <c r="B21" s="2" t="s">
        <v>77</v>
      </c>
      <c r="C21" s="2">
        <f>VLOOKUP(user_activity!A401,users_details!$A$1:$G$34,5,0)</f>
        <v>32</v>
      </c>
      <c r="D21" s="2" t="str" cm="1">
        <f t="array" ref="D21">_xlfn.IFS( AND(C21&gt;=18, C21&lt;=25), "Emerging Adults",  AND(C21&gt;=26, C21&lt;=35),  "Young Adults",  AND(C21&gt;=36, C21&lt;=45),  "Midlife Adults",  AND(C21&gt;=46, C21&lt;=55), "Mature Adults", C21&gt;=56,  "Older Adults", TRUE, "Age Not Mentioned")</f>
        <v>Young Adults</v>
      </c>
      <c r="E21" s="2" t="str">
        <f>VLOOKUP(user_activity!A401,users_details!$A$1:$G$34,6,0)</f>
        <v>East Harlem, Manhattan</v>
      </c>
      <c r="F21" s="2" t="str">
        <f>VLOOKUP(user_activity!A401,users_details!$A$1:$G$34,7,0)</f>
        <v>East Harlem</v>
      </c>
      <c r="G21" s="2" t="s">
        <v>72</v>
      </c>
      <c r="H21" s="7">
        <v>42481</v>
      </c>
      <c r="I21" s="9" t="str">
        <f t="shared" si="0"/>
        <v>Thursday</v>
      </c>
      <c r="J21" s="9" t="str">
        <f t="shared" si="1"/>
        <v>April</v>
      </c>
      <c r="K21" s="2">
        <v>2.4800000190000002</v>
      </c>
      <c r="L21" s="2">
        <v>2.4800000190000002</v>
      </c>
      <c r="M21" s="2">
        <v>0</v>
      </c>
      <c r="N21" s="2">
        <v>0</v>
      </c>
      <c r="O21" s="2">
        <v>0</v>
      </c>
      <c r="P21" s="2">
        <v>0.34999999399999998</v>
      </c>
      <c r="Q21" s="2">
        <v>0</v>
      </c>
      <c r="R21" s="2">
        <v>0</v>
      </c>
      <c r="S21" s="2">
        <v>0</v>
      </c>
      <c r="T21" s="2">
        <v>34</v>
      </c>
      <c r="U21" s="2">
        <f t="shared" si="2"/>
        <v>34</v>
      </c>
      <c r="V21" s="2">
        <v>1265</v>
      </c>
      <c r="W21" s="2">
        <v>3702</v>
      </c>
      <c r="X21" s="2">
        <f t="shared" si="3"/>
        <v>3702</v>
      </c>
      <c r="Y21" s="2">
        <v>1792</v>
      </c>
      <c r="Z21" t="str" cm="1">
        <f t="array" ref="Z21">_xlfn.IFS(OR(R21&gt;66, S21&gt;38), "High Engagement", OR(AND(R21&gt;32, R21&lt;=66), AND(S21&gt;19, S21&lt;=38)), "Medium-High Engagement", OR(AND(R21&gt;4, R21&lt;=32), AND(S21&gt;6, S21&lt;=19)),"Medium Engagement", TRUE, "Low Engagement"
)</f>
        <v>Low Engagement</v>
      </c>
      <c r="AA21">
        <f t="shared" si="4"/>
        <v>0.48406266882766075</v>
      </c>
    </row>
    <row r="22" spans="1:27" x14ac:dyDescent="0.35">
      <c r="A22" s="2">
        <v>4319703577</v>
      </c>
      <c r="B22" s="2" t="s">
        <v>77</v>
      </c>
      <c r="C22" s="2">
        <f>VLOOKUP(user_activity!A404,users_details!$A$1:$G$34,5,0)</f>
        <v>32</v>
      </c>
      <c r="D22" s="2" t="str" cm="1">
        <f t="array" ref="D22">_xlfn.IFS( AND(C22&gt;=18, C22&lt;=25), "Emerging Adults",  AND(C22&gt;=26, C22&lt;=35),  "Young Adults",  AND(C22&gt;=36, C22&lt;=45),  "Midlife Adults",  AND(C22&gt;=46, C22&lt;=55), "Mature Adults", C22&gt;=56,  "Older Adults", TRUE, "Age Not Mentioned")</f>
        <v>Young Adults</v>
      </c>
      <c r="E22" s="2" t="str">
        <f>VLOOKUP(user_activity!A404,users_details!$A$1:$G$34,6,0)</f>
        <v>Greenpoint, Brooklyn</v>
      </c>
      <c r="F22" s="2" t="str">
        <f>VLOOKUP(user_activity!A404,users_details!$A$1:$G$34,7,0)</f>
        <v>Greenpoint</v>
      </c>
      <c r="G22" s="2" t="s">
        <v>72</v>
      </c>
      <c r="H22" s="7">
        <v>42526</v>
      </c>
      <c r="I22" s="9" t="str">
        <f t="shared" si="0"/>
        <v>Sunday</v>
      </c>
      <c r="J22" s="9" t="str">
        <f t="shared" si="1"/>
        <v>June</v>
      </c>
      <c r="K22" s="2">
        <v>6.420000076</v>
      </c>
      <c r="L22" s="2">
        <v>6.420000076</v>
      </c>
      <c r="M22" s="2">
        <v>0</v>
      </c>
      <c r="N22" s="2">
        <v>0.40999999599999998</v>
      </c>
      <c r="O22" s="2">
        <v>0.469999999</v>
      </c>
      <c r="P22" s="2">
        <v>5.4600000380000004</v>
      </c>
      <c r="Q22" s="2">
        <v>0</v>
      </c>
      <c r="R22" s="2">
        <v>6</v>
      </c>
      <c r="S22" s="2">
        <v>11</v>
      </c>
      <c r="T22" s="2">
        <v>314</v>
      </c>
      <c r="U22" s="2">
        <f t="shared" si="2"/>
        <v>331</v>
      </c>
      <c r="V22" s="2">
        <v>692</v>
      </c>
      <c r="W22" s="2">
        <v>9524</v>
      </c>
      <c r="X22" s="2">
        <f t="shared" si="3"/>
        <v>9524</v>
      </c>
      <c r="Y22" s="2">
        <v>2266</v>
      </c>
      <c r="Z22" t="str" cm="1">
        <f t="array" ref="Z22">_xlfn.IFS(OR(R22&gt;66, S22&gt;38), "High Engagement", OR(AND(R22&gt;32, R22&lt;=66), AND(S22&gt;19, S22&lt;=38)), "Medium-High Engagement", OR(AND(R22&gt;4, R22&lt;=32), AND(S22&gt;6, S22&lt;=19)),"Medium Engagement", TRUE, "Low Engagement"
)</f>
        <v>Medium Engagement</v>
      </c>
      <c r="AA22">
        <f t="shared" si="4"/>
        <v>0.23792524149517011</v>
      </c>
    </row>
    <row r="23" spans="1:27" x14ac:dyDescent="0.35">
      <c r="A23" s="2">
        <v>4319703577</v>
      </c>
      <c r="B23" s="2" t="s">
        <v>77</v>
      </c>
      <c r="C23" s="2">
        <f>VLOOKUP(user_activity!A417,users_details!$A$1:$G$34,5,0)</f>
        <v>32</v>
      </c>
      <c r="D23" s="2" t="str" cm="1">
        <f t="array" ref="D23">_xlfn.IFS( AND(C23&gt;=18, C23&lt;=25), "Emerging Adults",  AND(C23&gt;=26, C23&lt;=35),  "Young Adults",  AND(C23&gt;=36, C23&lt;=45),  "Midlife Adults",  AND(C23&gt;=46, C23&lt;=55), "Mature Adults", C23&gt;=56,  "Older Adults", TRUE, "Age Not Mentioned")</f>
        <v>Young Adults</v>
      </c>
      <c r="E23" s="2" t="str">
        <f>VLOOKUP(user_activity!A417,users_details!$A$1:$G$34,6,0)</f>
        <v>East Harlem, Manhattan</v>
      </c>
      <c r="F23" s="2" t="str">
        <f>VLOOKUP(user_activity!A417,users_details!$A$1:$G$34,7,0)</f>
        <v>East Harlem</v>
      </c>
      <c r="G23" s="2" t="s">
        <v>72</v>
      </c>
      <c r="H23" s="7">
        <v>42487</v>
      </c>
      <c r="I23" s="9" t="str">
        <f t="shared" si="0"/>
        <v>Wednesday</v>
      </c>
      <c r="J23" s="9" t="str">
        <f t="shared" si="1"/>
        <v>April</v>
      </c>
      <c r="K23" s="2">
        <v>7.2300000190000002</v>
      </c>
      <c r="L23" s="2">
        <v>7.2300000190000002</v>
      </c>
      <c r="M23" s="2">
        <v>0</v>
      </c>
      <c r="N23" s="2">
        <v>0.40999999599999998</v>
      </c>
      <c r="O23" s="2">
        <v>1.9199999569999999</v>
      </c>
      <c r="P23" s="2">
        <v>4.9099998469999999</v>
      </c>
      <c r="Q23" s="2">
        <v>0</v>
      </c>
      <c r="R23" s="2">
        <v>6</v>
      </c>
      <c r="S23" s="2">
        <v>47</v>
      </c>
      <c r="T23" s="2">
        <v>300</v>
      </c>
      <c r="U23" s="2">
        <f t="shared" si="2"/>
        <v>353</v>
      </c>
      <c r="V23" s="2">
        <v>680</v>
      </c>
      <c r="W23" s="2">
        <v>10780</v>
      </c>
      <c r="X23" s="2">
        <f t="shared" si="3"/>
        <v>10780</v>
      </c>
      <c r="Y23" s="2">
        <v>2324</v>
      </c>
      <c r="Z23" t="str" cm="1">
        <f t="array" ref="Z23">_xlfn.IFS(OR(R23&gt;66, S23&gt;38), "High Engagement", OR(AND(R23&gt;32, R23&lt;=66), AND(S23&gt;19, S23&lt;=38)), "Medium-High Engagement", OR(AND(R23&gt;4, R23&lt;=32), AND(S23&gt;6, S23&lt;=19)),"Medium Engagement", TRUE, "Low Engagement"
)</f>
        <v>High Engagement</v>
      </c>
      <c r="AA23">
        <f t="shared" si="4"/>
        <v>0.21558441558441557</v>
      </c>
    </row>
    <row r="24" spans="1:27" x14ac:dyDescent="0.35">
      <c r="A24" s="2">
        <v>4319703577</v>
      </c>
      <c r="B24" s="2" t="s">
        <v>77</v>
      </c>
      <c r="C24" s="2">
        <f>VLOOKUP(user_activity!A438,users_details!$A$1:$G$34,5,0)</f>
        <v>32</v>
      </c>
      <c r="D24" s="2" t="str" cm="1">
        <f t="array" ref="D24">_xlfn.IFS( AND(C24&gt;=18, C24&lt;=25), "Emerging Adults",  AND(C24&gt;=26, C24&lt;=35),  "Young Adults",  AND(C24&gt;=36, C24&lt;=45),  "Midlife Adults",  AND(C24&gt;=46, C24&lt;=55), "Mature Adults", C24&gt;=56,  "Older Adults", TRUE, "Age Not Mentioned")</f>
        <v>Young Adults</v>
      </c>
      <c r="E24" s="2" t="str">
        <f>VLOOKUP(user_activity!A438,users_details!$A$1:$G$34,6,0)</f>
        <v>Greenpoint, Brooklyn</v>
      </c>
      <c r="F24" s="2" t="str">
        <f>VLOOKUP(user_activity!A438,users_details!$A$1:$G$34,7,0)</f>
        <v>Greenpoint</v>
      </c>
      <c r="G24" s="2" t="s">
        <v>72</v>
      </c>
      <c r="H24" s="7">
        <v>42474</v>
      </c>
      <c r="I24" s="9" t="str">
        <f t="shared" si="0"/>
        <v>Thursday</v>
      </c>
      <c r="J24" s="9" t="str">
        <f t="shared" si="1"/>
        <v>April</v>
      </c>
      <c r="K24" s="2">
        <v>6.8800001139999996</v>
      </c>
      <c r="L24" s="2">
        <v>6.8800001139999996</v>
      </c>
      <c r="M24" s="2">
        <v>0</v>
      </c>
      <c r="N24" s="2">
        <v>0.109999999</v>
      </c>
      <c r="O24" s="2">
        <v>0.33000001299999998</v>
      </c>
      <c r="P24" s="2">
        <v>6.4400000569999998</v>
      </c>
      <c r="Q24" s="2">
        <v>0</v>
      </c>
      <c r="R24" s="2">
        <v>1</v>
      </c>
      <c r="S24" s="2">
        <v>9</v>
      </c>
      <c r="T24" s="2">
        <v>339</v>
      </c>
      <c r="U24" s="2">
        <f t="shared" si="2"/>
        <v>349</v>
      </c>
      <c r="V24" s="2">
        <v>589</v>
      </c>
      <c r="W24" s="2">
        <v>10210</v>
      </c>
      <c r="X24" s="2">
        <f t="shared" si="3"/>
        <v>10210</v>
      </c>
      <c r="Y24" s="2">
        <v>2302</v>
      </c>
      <c r="Z24" t="str" cm="1">
        <f t="array" ref="Z24">_xlfn.IFS(OR(R24&gt;66, S24&gt;38), "High Engagement", OR(AND(R24&gt;32, R24&lt;=66), AND(S24&gt;19, S24&lt;=38)), "Medium-High Engagement", OR(AND(R24&gt;4, R24&lt;=32), AND(S24&gt;6, S24&lt;=19)),"Medium Engagement", TRUE, "Low Engagement"
)</f>
        <v>Medium Engagement</v>
      </c>
      <c r="AA24">
        <f t="shared" si="4"/>
        <v>0.22546523016650344</v>
      </c>
    </row>
    <row r="25" spans="1:27" x14ac:dyDescent="0.35">
      <c r="A25" s="2">
        <v>4319703577</v>
      </c>
      <c r="B25" s="2" t="s">
        <v>77</v>
      </c>
      <c r="C25" s="2">
        <f>VLOOKUP(user_activity!A451,users_details!$A$1:$G$34,5,0)</f>
        <v>33</v>
      </c>
      <c r="D25" s="2" t="str" cm="1">
        <f t="array" ref="D25">_xlfn.IFS( AND(C25&gt;=18, C25&lt;=25), "Emerging Adults",  AND(C25&gt;=26, C25&lt;=35),  "Young Adults",  AND(C25&gt;=36, C25&lt;=45),  "Midlife Adults",  AND(C25&gt;=46, C25&lt;=55), "Mature Adults", C25&gt;=56,  "Older Adults", TRUE, "Age Not Mentioned")</f>
        <v>Young Adults</v>
      </c>
      <c r="E25" s="2" t="str">
        <f>VLOOKUP(user_activity!A451,users_details!$A$1:$G$34,6,0)</f>
        <v>Harlem, Manhattan</v>
      </c>
      <c r="F25" s="2" t="str">
        <f>VLOOKUP(user_activity!A451,users_details!$A$1:$G$34,7,0)</f>
        <v>Harlem</v>
      </c>
      <c r="G25" s="2" t="s">
        <v>72</v>
      </c>
      <c r="H25" s="7">
        <v>42484</v>
      </c>
      <c r="I25" s="9" t="str">
        <f t="shared" si="0"/>
        <v>Sunday</v>
      </c>
      <c r="J25" s="9" t="str">
        <f t="shared" si="1"/>
        <v>April</v>
      </c>
      <c r="K25" s="2">
        <v>2.7400000100000002</v>
      </c>
      <c r="L25" s="2">
        <v>2.7400000100000002</v>
      </c>
      <c r="M25" s="2">
        <v>0</v>
      </c>
      <c r="N25" s="2">
        <v>5.9999998999999998E-2</v>
      </c>
      <c r="O25" s="2">
        <v>0.20000000300000001</v>
      </c>
      <c r="P25" s="2">
        <v>2.4700000289999999</v>
      </c>
      <c r="Q25" s="2">
        <v>0</v>
      </c>
      <c r="R25" s="2">
        <v>1</v>
      </c>
      <c r="S25" s="2">
        <v>5</v>
      </c>
      <c r="T25" s="2">
        <v>191</v>
      </c>
      <c r="U25" s="2">
        <f t="shared" si="2"/>
        <v>197</v>
      </c>
      <c r="V25" s="2">
        <v>692</v>
      </c>
      <c r="W25" s="2">
        <v>4081</v>
      </c>
      <c r="X25" s="2">
        <f t="shared" si="3"/>
        <v>4081</v>
      </c>
      <c r="Y25" s="2">
        <v>1880</v>
      </c>
      <c r="Z25" t="str" cm="1">
        <f t="array" ref="Z25">_xlfn.IFS(OR(R25&gt;66, S25&gt;38), "High Engagement", OR(AND(R25&gt;32, R25&lt;=66), AND(S25&gt;19, S25&lt;=38)), "Medium-High Engagement", OR(AND(R25&gt;4, R25&lt;=32), AND(S25&gt;6, S25&lt;=19)),"Medium Engagement", TRUE, "Low Engagement"
)</f>
        <v>Low Engagement</v>
      </c>
      <c r="AA25">
        <f t="shared" si="4"/>
        <v>0.46067140406763046</v>
      </c>
    </row>
    <row r="26" spans="1:27" x14ac:dyDescent="0.35">
      <c r="A26" s="2">
        <v>2320127002</v>
      </c>
      <c r="B26" s="2" t="s">
        <v>100</v>
      </c>
      <c r="C26" s="2">
        <f>VLOOKUP(user_activity!A452,users_details!$A$1:$G$34,5,0)</f>
        <v>33</v>
      </c>
      <c r="D26" s="2" t="str" cm="1">
        <f t="array" ref="D26">_xlfn.IFS( AND(C26&gt;=18, C26&lt;=25), "Emerging Adults",  AND(C26&gt;=26, C26&lt;=35),  "Young Adults",  AND(C26&gt;=36, C26&lt;=45),  "Midlife Adults",  AND(C26&gt;=46, C26&lt;=55), "Mature Adults", C26&gt;=56,  "Older Adults", TRUE, "Age Not Mentioned")</f>
        <v>Young Adults</v>
      </c>
      <c r="E26" s="2" t="str">
        <f>VLOOKUP(user_activity!A452,users_details!$A$1:$G$34,6,0)</f>
        <v>Harlem, Manhattan</v>
      </c>
      <c r="F26" s="2" t="str">
        <f>VLOOKUP(user_activity!A452,users_details!$A$1:$G$34,7,0)</f>
        <v>Harlem</v>
      </c>
      <c r="G26" s="2" t="s">
        <v>72</v>
      </c>
      <c r="H26" s="7">
        <v>42478</v>
      </c>
      <c r="I26" s="9" t="str">
        <f t="shared" si="0"/>
        <v>Monday</v>
      </c>
      <c r="J26" s="9" t="str">
        <f t="shared" si="1"/>
        <v>April</v>
      </c>
      <c r="K26" s="2">
        <v>4.420000076</v>
      </c>
      <c r="L26" s="2">
        <v>4.420000076</v>
      </c>
      <c r="M26" s="2">
        <v>0</v>
      </c>
      <c r="N26" s="2">
        <v>0</v>
      </c>
      <c r="O26" s="2">
        <v>0.25999999000000001</v>
      </c>
      <c r="P26" s="2">
        <v>4.1399998660000001</v>
      </c>
      <c r="Q26" s="2">
        <v>0</v>
      </c>
      <c r="R26" s="2">
        <v>0</v>
      </c>
      <c r="S26" s="2">
        <v>7</v>
      </c>
      <c r="T26" s="2">
        <v>260</v>
      </c>
      <c r="U26" s="2">
        <f t="shared" si="2"/>
        <v>267</v>
      </c>
      <c r="V26" s="2">
        <v>1173</v>
      </c>
      <c r="W26" s="2">
        <v>6559</v>
      </c>
      <c r="X26" s="2">
        <f t="shared" si="3"/>
        <v>6559</v>
      </c>
      <c r="Y26" s="2">
        <v>1905</v>
      </c>
      <c r="Z26" t="str" cm="1">
        <f t="array" ref="Z26">_xlfn.IFS(OR(R26&gt;66, S26&gt;38), "High Engagement", OR(AND(R26&gt;32, R26&lt;=66), AND(S26&gt;19, S26&lt;=38)), "Medium-High Engagement", OR(AND(R26&gt;4, R26&lt;=32), AND(S26&gt;6, S26&lt;=19)),"Medium Engagement", TRUE, "Low Engagement"
)</f>
        <v>Medium Engagement</v>
      </c>
      <c r="AA26">
        <f t="shared" si="4"/>
        <v>0.29044061594755299</v>
      </c>
    </row>
    <row r="27" spans="1:27" x14ac:dyDescent="0.35">
      <c r="A27" s="2">
        <v>2320127002</v>
      </c>
      <c r="B27" s="2" t="s">
        <v>100</v>
      </c>
      <c r="C27" s="2">
        <f>VLOOKUP(user_activity!A462,users_details!$A$1:$G$34,5,0)</f>
        <v>33</v>
      </c>
      <c r="D27" s="2" t="str" cm="1">
        <f t="array" ref="D27">_xlfn.IFS( AND(C27&gt;=18, C27&lt;=25), "Emerging Adults",  AND(C27&gt;=26, C27&lt;=35),  "Young Adults",  AND(C27&gt;=36, C27&lt;=45),  "Midlife Adults",  AND(C27&gt;=46, C27&lt;=55), "Mature Adults", C27&gt;=56,  "Older Adults", TRUE, "Age Not Mentioned")</f>
        <v>Young Adults</v>
      </c>
      <c r="E27" s="2" t="str">
        <f>VLOOKUP(user_activity!A462,users_details!$A$1:$G$34,6,0)</f>
        <v>Harlem, Manhattan</v>
      </c>
      <c r="F27" s="2" t="str">
        <f>VLOOKUP(user_activity!A462,users_details!$A$1:$G$34,7,0)</f>
        <v>Harlem</v>
      </c>
      <c r="G27" s="2" t="s">
        <v>72</v>
      </c>
      <c r="H27" s="7">
        <v>42477</v>
      </c>
      <c r="I27" s="9" t="str">
        <f t="shared" si="0"/>
        <v>Sunday</v>
      </c>
      <c r="J27" s="9" t="str">
        <f t="shared" si="1"/>
        <v>April</v>
      </c>
      <c r="K27" s="2">
        <v>4.1799998279999997</v>
      </c>
      <c r="L27" s="2">
        <v>4.1799998279999997</v>
      </c>
      <c r="M27" s="2">
        <v>0</v>
      </c>
      <c r="N27" s="2">
        <v>0</v>
      </c>
      <c r="O27" s="2">
        <v>0</v>
      </c>
      <c r="P27" s="2">
        <v>4.1799998279999997</v>
      </c>
      <c r="Q27" s="2">
        <v>0</v>
      </c>
      <c r="R27" s="2">
        <v>0</v>
      </c>
      <c r="S27" s="2">
        <v>0</v>
      </c>
      <c r="T27" s="2">
        <v>249</v>
      </c>
      <c r="U27" s="2">
        <f t="shared" si="2"/>
        <v>249</v>
      </c>
      <c r="V27" s="2">
        <v>1191</v>
      </c>
      <c r="W27" s="2">
        <v>6198</v>
      </c>
      <c r="X27" s="2">
        <f t="shared" si="3"/>
        <v>6198</v>
      </c>
      <c r="Y27" s="2">
        <v>1852</v>
      </c>
      <c r="Z27" t="str" cm="1">
        <f t="array" ref="Z27">_xlfn.IFS(OR(R27&gt;66, S27&gt;38), "High Engagement", OR(AND(R27&gt;32, R27&lt;=66), AND(S27&gt;19, S27&lt;=38)), "Medium-High Engagement", OR(AND(R27&gt;4, R27&lt;=32), AND(S27&gt;6, S27&lt;=19)),"Medium Engagement", TRUE, "Low Engagement"
)</f>
        <v>Low Engagement</v>
      </c>
      <c r="AA27">
        <f t="shared" si="4"/>
        <v>0.2988060664730558</v>
      </c>
    </row>
    <row r="28" spans="1:27" x14ac:dyDescent="0.35">
      <c r="A28" s="2">
        <v>2320127002</v>
      </c>
      <c r="B28" s="2" t="s">
        <v>100</v>
      </c>
      <c r="C28" s="2">
        <f>VLOOKUP(user_activity!A474,users_details!$A$1:$G$34,5,0)</f>
        <v>33</v>
      </c>
      <c r="D28" s="2" t="str" cm="1">
        <f t="array" ref="D28">_xlfn.IFS( AND(C28&gt;=18, C28&lt;=25), "Emerging Adults",  AND(C28&gt;=26, C28&lt;=35),  "Young Adults",  AND(C28&gt;=36, C28&lt;=45),  "Midlife Adults",  AND(C28&gt;=46, C28&lt;=55), "Mature Adults", C28&gt;=56,  "Older Adults", TRUE, "Age Not Mentioned")</f>
        <v>Young Adults</v>
      </c>
      <c r="E28" s="2" t="str">
        <f>VLOOKUP(user_activity!A474,users_details!$A$1:$G$34,6,0)</f>
        <v>Greenpoint, Brooklyn</v>
      </c>
      <c r="F28" s="2" t="str">
        <f>VLOOKUP(user_activity!A474,users_details!$A$1:$G$34,7,0)</f>
        <v>Greenpoint</v>
      </c>
      <c r="G28" s="2" t="s">
        <v>72</v>
      </c>
      <c r="H28" s="7">
        <v>42434</v>
      </c>
      <c r="I28" s="9" t="str">
        <f t="shared" si="0"/>
        <v>Saturday</v>
      </c>
      <c r="J28" s="9" t="str">
        <f t="shared" si="1"/>
        <v>March</v>
      </c>
      <c r="K28" s="2">
        <v>5.0199999809999998</v>
      </c>
      <c r="L28" s="2">
        <v>5.0199999809999998</v>
      </c>
      <c r="M28" s="2">
        <v>0</v>
      </c>
      <c r="N28" s="2">
        <v>1.4900000099999999</v>
      </c>
      <c r="O28" s="2">
        <v>0.37000000500000002</v>
      </c>
      <c r="P28" s="2">
        <v>3.1600000860000002</v>
      </c>
      <c r="Q28" s="2">
        <v>0</v>
      </c>
      <c r="R28" s="2">
        <v>20</v>
      </c>
      <c r="S28" s="2">
        <v>10</v>
      </c>
      <c r="T28" s="2">
        <v>206</v>
      </c>
      <c r="U28" s="2">
        <f t="shared" si="2"/>
        <v>236</v>
      </c>
      <c r="V28" s="2">
        <v>1204</v>
      </c>
      <c r="W28" s="2">
        <v>7443</v>
      </c>
      <c r="X28" s="2">
        <f t="shared" si="3"/>
        <v>7443</v>
      </c>
      <c r="Y28" s="2">
        <v>1878</v>
      </c>
      <c r="Z28" t="str" cm="1">
        <f t="array" ref="Z28">_xlfn.IFS(OR(R28&gt;66, S28&gt;38), "High Engagement", OR(AND(R28&gt;32, R28&lt;=66), AND(S28&gt;19, S28&lt;=38)), "Medium-High Engagement", OR(AND(R28&gt;4, R28&lt;=32), AND(S28&gt;6, S28&lt;=19)),"Medium Engagement", TRUE, "Low Engagement"
)</f>
        <v>Medium Engagement</v>
      </c>
      <c r="AA28">
        <f t="shared" si="4"/>
        <v>0.25231761386537688</v>
      </c>
    </row>
    <row r="29" spans="1:27" x14ac:dyDescent="0.35">
      <c r="A29" s="2">
        <v>2320127002</v>
      </c>
      <c r="B29" s="2" t="s">
        <v>100</v>
      </c>
      <c r="C29" s="2">
        <f>VLOOKUP(user_activity!A499,users_details!$A$1:$G$34,5,0)</f>
        <v>36</v>
      </c>
      <c r="D29" s="2" t="str" cm="1">
        <f t="array" ref="D29">_xlfn.IFS( AND(C29&gt;=18, C29&lt;=25), "Emerging Adults",  AND(C29&gt;=26, C29&lt;=35),  "Young Adults",  AND(C29&gt;=36, C29&lt;=45),  "Midlife Adults",  AND(C29&gt;=46, C29&lt;=55), "Mature Adults", C29&gt;=56,  "Older Adults", TRUE, "Age Not Mentioned")</f>
        <v>Midlife Adults</v>
      </c>
      <c r="E29" s="2" t="str">
        <f>VLOOKUP(user_activity!A499,users_details!$A$1:$G$34,6,0)</f>
        <v>Williamsburg, Brooklyn</v>
      </c>
      <c r="F29" s="2" t="str">
        <f>VLOOKUP(user_activity!A499,users_details!$A$1:$G$34,7,0)</f>
        <v>Williamsburg</v>
      </c>
      <c r="G29" s="2" t="s">
        <v>72</v>
      </c>
      <c r="H29" s="7">
        <v>42405</v>
      </c>
      <c r="I29" s="9" t="str">
        <f t="shared" si="0"/>
        <v>Friday</v>
      </c>
      <c r="J29" s="9" t="str">
        <f t="shared" si="1"/>
        <v>February</v>
      </c>
      <c r="K29" s="2">
        <v>2.4500000480000002</v>
      </c>
      <c r="L29" s="2">
        <v>2.4500000480000002</v>
      </c>
      <c r="M29" s="2">
        <v>0</v>
      </c>
      <c r="N29" s="2">
        <v>0.36000001399999998</v>
      </c>
      <c r="O29" s="2">
        <v>0.209999993</v>
      </c>
      <c r="P29" s="2">
        <v>1.8799999949999999</v>
      </c>
      <c r="Q29" s="2">
        <v>0</v>
      </c>
      <c r="R29" s="2">
        <v>5</v>
      </c>
      <c r="S29" s="2">
        <v>6</v>
      </c>
      <c r="T29" s="2">
        <v>123</v>
      </c>
      <c r="U29" s="2">
        <f t="shared" si="2"/>
        <v>134</v>
      </c>
      <c r="V29" s="2">
        <v>1306</v>
      </c>
      <c r="W29" s="2">
        <v>3634</v>
      </c>
      <c r="X29" s="2">
        <f t="shared" si="3"/>
        <v>3634</v>
      </c>
      <c r="Y29" s="2">
        <v>1613</v>
      </c>
      <c r="Z29" t="str" cm="1">
        <f t="array" ref="Z29">_xlfn.IFS(OR(R29&gt;66, S29&gt;38), "High Engagement", OR(AND(R29&gt;32, R29&lt;=66), AND(S29&gt;19, S29&lt;=38)), "Medium-High Engagement", OR(AND(R29&gt;4, R29&lt;=32), AND(S29&gt;6, S29&lt;=19)),"Medium Engagement", TRUE, "Low Engagement"
)</f>
        <v>Medium Engagement</v>
      </c>
      <c r="AA29">
        <f t="shared" si="4"/>
        <v>0.44386351128233353</v>
      </c>
    </row>
    <row r="30" spans="1:27" x14ac:dyDescent="0.35">
      <c r="A30" s="2">
        <v>2320127002</v>
      </c>
      <c r="B30" s="2" t="s">
        <v>100</v>
      </c>
      <c r="C30" s="2">
        <f>VLOOKUP(user_activity!A507,users_details!$A$1:$G$34,5,0)</f>
        <v>36</v>
      </c>
      <c r="D30" s="2" t="str" cm="1">
        <f t="array" ref="D30">_xlfn.IFS( AND(C30&gt;=18, C30&lt;=25), "Emerging Adults",  AND(C30&gt;=26, C30&lt;=35),  "Young Adults",  AND(C30&gt;=36, C30&lt;=45),  "Midlife Adults",  AND(C30&gt;=46, C30&lt;=55), "Mature Adults", C30&gt;=56,  "Older Adults", TRUE, "Age Not Mentioned")</f>
        <v>Midlife Adults</v>
      </c>
      <c r="E30" s="2" t="str">
        <f>VLOOKUP(user_activity!A507,users_details!$A$1:$G$34,6,0)</f>
        <v>Williamsburg, Brooklyn</v>
      </c>
      <c r="F30" s="2" t="str">
        <f>VLOOKUP(user_activity!A507,users_details!$A$1:$G$34,7,0)</f>
        <v>Williamsburg</v>
      </c>
      <c r="G30" s="2" t="s">
        <v>72</v>
      </c>
      <c r="H30" s="7">
        <v>42465</v>
      </c>
      <c r="I30" s="9" t="str">
        <f t="shared" si="0"/>
        <v>Tuesday</v>
      </c>
      <c r="J30" s="9" t="str">
        <f t="shared" si="1"/>
        <v>April</v>
      </c>
      <c r="K30" s="2">
        <v>0.810000002</v>
      </c>
      <c r="L30" s="2">
        <v>0.810000002</v>
      </c>
      <c r="M30" s="2">
        <v>0</v>
      </c>
      <c r="N30" s="2">
        <v>0</v>
      </c>
      <c r="O30" s="2">
        <v>0</v>
      </c>
      <c r="P30" s="2">
        <v>0.810000002</v>
      </c>
      <c r="Q30" s="2">
        <v>0</v>
      </c>
      <c r="R30" s="2">
        <v>0</v>
      </c>
      <c r="S30" s="2">
        <v>0</v>
      </c>
      <c r="T30" s="2">
        <v>52</v>
      </c>
      <c r="U30" s="2">
        <f t="shared" si="2"/>
        <v>52</v>
      </c>
      <c r="V30" s="2">
        <v>1388</v>
      </c>
      <c r="W30" s="2">
        <v>1201</v>
      </c>
      <c r="X30" s="2">
        <f t="shared" si="3"/>
        <v>1201</v>
      </c>
      <c r="Y30" s="2">
        <v>1426</v>
      </c>
      <c r="Z30" t="str" cm="1">
        <f t="array" ref="Z30">_xlfn.IFS(OR(R30&gt;66, S30&gt;38), "High Engagement", OR(AND(R30&gt;32, R30&lt;=66), AND(S30&gt;19, S30&lt;=38)), "Medium-High Engagement", OR(AND(R30&gt;4, R30&lt;=32), AND(S30&gt;6, S30&lt;=19)),"Medium Engagement", TRUE, "Low Engagement"
)</f>
        <v>Low Engagement</v>
      </c>
      <c r="AA30">
        <f t="shared" si="4"/>
        <v>1.1873438800999168</v>
      </c>
    </row>
    <row r="31" spans="1:27" x14ac:dyDescent="0.35">
      <c r="A31" s="2">
        <v>4319703577</v>
      </c>
      <c r="B31" s="2" t="s">
        <v>77</v>
      </c>
      <c r="C31" s="2">
        <f>VLOOKUP(user_activity!A513,users_details!$A$1:$G$34,5,0)</f>
        <v>36</v>
      </c>
      <c r="D31" s="2" t="str" cm="1">
        <f t="array" ref="D31">_xlfn.IFS( AND(C31&gt;=18, C31&lt;=25), "Emerging Adults",  AND(C31&gt;=26, C31&lt;=35),  "Young Adults",  AND(C31&gt;=36, C31&lt;=45),  "Midlife Adults",  AND(C31&gt;=46, C31&lt;=55), "Mature Adults", C31&gt;=56,  "Older Adults", TRUE, "Age Not Mentioned")</f>
        <v>Midlife Adults</v>
      </c>
      <c r="E31" s="2" t="str">
        <f>VLOOKUP(user_activity!A513,users_details!$A$1:$G$34,6,0)</f>
        <v>Williamsburg, Brooklyn</v>
      </c>
      <c r="F31" s="2" t="str">
        <f>VLOOKUP(user_activity!A513,users_details!$A$1:$G$34,7,0)</f>
        <v>Williamsburg</v>
      </c>
      <c r="G31" s="2" t="s">
        <v>72</v>
      </c>
      <c r="H31" s="7">
        <v>42486</v>
      </c>
      <c r="I31" s="9" t="str">
        <f t="shared" si="0"/>
        <v>Tuesday</v>
      </c>
      <c r="J31" s="9" t="str">
        <f t="shared" si="1"/>
        <v>April</v>
      </c>
      <c r="K31" s="2">
        <v>6.6399998660000001</v>
      </c>
      <c r="L31" s="2">
        <v>6.6399998660000001</v>
      </c>
      <c r="M31" s="2">
        <v>0</v>
      </c>
      <c r="N31" s="2">
        <v>0.56999999300000004</v>
      </c>
      <c r="O31" s="2">
        <v>0.920000017</v>
      </c>
      <c r="P31" s="2">
        <v>5.1500000950000002</v>
      </c>
      <c r="Q31" s="2">
        <v>0</v>
      </c>
      <c r="R31" s="2">
        <v>8</v>
      </c>
      <c r="S31" s="2">
        <v>21</v>
      </c>
      <c r="T31" s="2">
        <v>288</v>
      </c>
      <c r="U31" s="2">
        <f t="shared" si="2"/>
        <v>317</v>
      </c>
      <c r="V31" s="2">
        <v>649</v>
      </c>
      <c r="W31" s="2">
        <v>9899</v>
      </c>
      <c r="X31" s="2">
        <f t="shared" si="3"/>
        <v>9899</v>
      </c>
      <c r="Y31" s="2">
        <v>2236</v>
      </c>
      <c r="Z31" t="str" cm="1">
        <f t="array" ref="Z31">_xlfn.IFS(OR(R31&gt;66, S31&gt;38), "High Engagement", OR(AND(R31&gt;32, R31&lt;=66), AND(S31&gt;19, S31&lt;=38)), "Medium-High Engagement", OR(AND(R31&gt;4, R31&lt;=32), AND(S31&gt;6, S31&lt;=19)),"Medium Engagement", TRUE, "Low Engagement"
)</f>
        <v>Medium-High Engagement</v>
      </c>
      <c r="AA31">
        <f t="shared" si="4"/>
        <v>0.22588140216183453</v>
      </c>
    </row>
    <row r="32" spans="1:27" x14ac:dyDescent="0.35">
      <c r="A32" s="2">
        <v>4319703577</v>
      </c>
      <c r="B32" s="2" t="s">
        <v>77</v>
      </c>
      <c r="C32" s="2">
        <f>VLOOKUP(user_activity!A544,users_details!$A$1:$G$34,5,0)</f>
        <v>38</v>
      </c>
      <c r="D32" s="2" t="str" cm="1">
        <f t="array" ref="D32">_xlfn.IFS( AND(C32&gt;=18, C32&lt;=25), "Emerging Adults",  AND(C32&gt;=26, C32&lt;=35),  "Young Adults",  AND(C32&gt;=36, C32&lt;=45),  "Midlife Adults",  AND(C32&gt;=46, C32&lt;=55), "Mature Adults", C32&gt;=56,  "Older Adults", TRUE, "Age Not Mentioned")</f>
        <v>Midlife Adults</v>
      </c>
      <c r="E32" s="2" t="str">
        <f>VLOOKUP(user_activity!A544,users_details!$A$1:$G$34,6,0)</f>
        <v>Midtown, Manhattan</v>
      </c>
      <c r="F32" s="2" t="str">
        <f>VLOOKUP(user_activity!A544,users_details!$A$1:$G$34,7,0)</f>
        <v>Midtown</v>
      </c>
      <c r="G32" s="2" t="s">
        <v>72</v>
      </c>
      <c r="H32" s="7">
        <v>42490</v>
      </c>
      <c r="I32" s="9" t="str">
        <f t="shared" si="0"/>
        <v>Saturday</v>
      </c>
      <c r="J32" s="9" t="str">
        <f t="shared" si="1"/>
        <v>April</v>
      </c>
      <c r="K32" s="2">
        <v>5.5199999809999998</v>
      </c>
      <c r="L32" s="2">
        <v>5.5199999809999998</v>
      </c>
      <c r="M32" s="2">
        <v>0</v>
      </c>
      <c r="N32" s="2">
        <v>0.40000000600000002</v>
      </c>
      <c r="O32" s="2">
        <v>1.6100000139999999</v>
      </c>
      <c r="P32" s="2">
        <v>3.5099999899999998</v>
      </c>
      <c r="Q32" s="2">
        <v>0</v>
      </c>
      <c r="R32" s="2">
        <v>6</v>
      </c>
      <c r="S32" s="2">
        <v>38</v>
      </c>
      <c r="T32" s="2">
        <v>196</v>
      </c>
      <c r="U32" s="2">
        <f t="shared" si="2"/>
        <v>240</v>
      </c>
      <c r="V32" s="2">
        <v>695</v>
      </c>
      <c r="W32" s="2">
        <v>8221</v>
      </c>
      <c r="X32" s="2">
        <f t="shared" si="3"/>
        <v>8221</v>
      </c>
      <c r="Y32" s="2">
        <v>2092</v>
      </c>
      <c r="Z32" t="str" cm="1">
        <f t="array" ref="Z32">_xlfn.IFS(OR(R32&gt;66, S32&gt;38), "High Engagement", OR(AND(R32&gt;32, R32&lt;=66), AND(S32&gt;19, S32&lt;=38)), "Medium-High Engagement", OR(AND(R32&gt;4, R32&lt;=32), AND(S32&gt;6, S32&lt;=19)),"Medium Engagement", TRUE, "Low Engagement"
)</f>
        <v>Medium-High Engagement</v>
      </c>
      <c r="AA32">
        <f t="shared" si="4"/>
        <v>0.25447025909256782</v>
      </c>
    </row>
    <row r="33" spans="1:27" x14ac:dyDescent="0.35">
      <c r="A33" s="2">
        <v>4319703577</v>
      </c>
      <c r="B33" s="2" t="s">
        <v>77</v>
      </c>
      <c r="C33" s="2">
        <f>VLOOKUP(user_activity!A551,users_details!$A$1:$G$34,5,0)</f>
        <v>38</v>
      </c>
      <c r="D33" s="2" t="str" cm="1">
        <f t="array" ref="D33">_xlfn.IFS( AND(C33&gt;=18, C33&lt;=25), "Emerging Adults",  AND(C33&gt;=26, C33&lt;=35),  "Young Adults",  AND(C33&gt;=36, C33&lt;=45),  "Midlife Adults",  AND(C33&gt;=46, C33&lt;=55), "Mature Adults", C33&gt;=56,  "Older Adults", TRUE, "Age Not Mentioned")</f>
        <v>Midlife Adults</v>
      </c>
      <c r="E33" s="2" t="str">
        <f>VLOOKUP(user_activity!A551,users_details!$A$1:$G$34,6,0)</f>
        <v>East Harlem, Manhattan</v>
      </c>
      <c r="F33" s="2" t="str">
        <f>VLOOKUP(user_activity!A551,users_details!$A$1:$G$34,7,0)</f>
        <v>East Harlem</v>
      </c>
      <c r="G33" s="2" t="s">
        <v>72</v>
      </c>
      <c r="H33" s="7">
        <v>42587</v>
      </c>
      <c r="I33" s="9" t="str">
        <f t="shared" si="0"/>
        <v>Friday</v>
      </c>
      <c r="J33" s="9" t="str">
        <f t="shared" si="1"/>
        <v>August</v>
      </c>
      <c r="K33" s="2">
        <v>2.460000038</v>
      </c>
      <c r="L33" s="2">
        <v>2.460000038</v>
      </c>
      <c r="M33" s="2">
        <v>0</v>
      </c>
      <c r="N33" s="2">
        <v>0</v>
      </c>
      <c r="O33" s="2">
        <v>0</v>
      </c>
      <c r="P33" s="2">
        <v>2.460000038</v>
      </c>
      <c r="Q33" s="2">
        <v>0</v>
      </c>
      <c r="R33" s="2">
        <v>0</v>
      </c>
      <c r="S33" s="2">
        <v>0</v>
      </c>
      <c r="T33" s="2">
        <v>153</v>
      </c>
      <c r="U33" s="2">
        <f t="shared" si="2"/>
        <v>153</v>
      </c>
      <c r="V33" s="2">
        <v>603</v>
      </c>
      <c r="W33" s="2">
        <v>3672</v>
      </c>
      <c r="X33" s="2">
        <f t="shared" si="3"/>
        <v>3672</v>
      </c>
      <c r="Y33" s="2">
        <v>1792</v>
      </c>
      <c r="Z33" t="str" cm="1">
        <f t="array" ref="Z33">_xlfn.IFS(OR(R33&gt;66, S33&gt;38), "High Engagement", OR(AND(R33&gt;32, R33&lt;=66), AND(S33&gt;19, S33&lt;=38)), "Medium-High Engagement", OR(AND(R33&gt;4, R33&lt;=32), AND(S33&gt;6, S33&lt;=19)),"Medium Engagement", TRUE, "Low Engagement"
)</f>
        <v>Low Engagement</v>
      </c>
      <c r="AA33">
        <f t="shared" si="4"/>
        <v>0.48801742919389979</v>
      </c>
    </row>
    <row r="34" spans="1:27" x14ac:dyDescent="0.35">
      <c r="A34" s="2">
        <v>2320127002</v>
      </c>
      <c r="B34" s="2" t="s">
        <v>100</v>
      </c>
      <c r="C34" s="2">
        <f>VLOOKUP(user_activity!A556,users_details!$A$1:$G$34,5,0)</f>
        <v>38</v>
      </c>
      <c r="D34" s="2" t="str" cm="1">
        <f t="array" ref="D34">_xlfn.IFS( AND(C34&gt;=18, C34&lt;=25), "Emerging Adults",  AND(C34&gt;=26, C34&lt;=35),  "Young Adults",  AND(C34&gt;=36, C34&lt;=45),  "Midlife Adults",  AND(C34&gt;=46, C34&lt;=55), "Mature Adults", C34&gt;=56,  "Older Adults", TRUE, "Age Not Mentioned")</f>
        <v>Midlife Adults</v>
      </c>
      <c r="E34" s="2" t="str">
        <f>VLOOKUP(user_activity!A556,users_details!$A$1:$G$34,6,0)</f>
        <v>Midtown, Manhattan</v>
      </c>
      <c r="F34" s="2" t="str">
        <f>VLOOKUP(user_activity!A556,users_details!$A$1:$G$34,7,0)</f>
        <v>Midtown</v>
      </c>
      <c r="G34" s="2" t="s">
        <v>72</v>
      </c>
      <c r="H34" s="7">
        <v>42679</v>
      </c>
      <c r="I34" s="9" t="str">
        <f t="shared" si="0"/>
        <v>Saturday</v>
      </c>
      <c r="J34" s="9" t="str">
        <f t="shared" si="1"/>
        <v>November</v>
      </c>
      <c r="K34" s="2">
        <v>4.329999924</v>
      </c>
      <c r="L34" s="2">
        <v>4.329999924</v>
      </c>
      <c r="M34" s="2">
        <v>0</v>
      </c>
      <c r="N34" s="2">
        <v>0</v>
      </c>
      <c r="O34" s="2">
        <v>0</v>
      </c>
      <c r="P34" s="2">
        <v>4.329999924</v>
      </c>
      <c r="Q34" s="2">
        <v>0</v>
      </c>
      <c r="R34" s="2">
        <v>0</v>
      </c>
      <c r="S34" s="2">
        <v>0</v>
      </c>
      <c r="T34" s="2">
        <v>300</v>
      </c>
      <c r="U34" s="2">
        <f t="shared" si="2"/>
        <v>300</v>
      </c>
      <c r="V34" s="2">
        <v>1140</v>
      </c>
      <c r="W34" s="2">
        <v>6424</v>
      </c>
      <c r="X34" s="2">
        <f t="shared" si="3"/>
        <v>6424</v>
      </c>
      <c r="Y34" s="2">
        <v>1903</v>
      </c>
      <c r="Z34" t="str" cm="1">
        <f t="array" ref="Z34">_xlfn.IFS(OR(R34&gt;66, S34&gt;38), "High Engagement", OR(AND(R34&gt;32, R34&lt;=66), AND(S34&gt;19, S34&lt;=38)), "Medium-High Engagement", OR(AND(R34&gt;4, R34&lt;=32), AND(S34&gt;6, S34&lt;=19)),"Medium Engagement", TRUE, "Low Engagement"
)</f>
        <v>Low Engagement</v>
      </c>
      <c r="AA34">
        <f t="shared" si="4"/>
        <v>0.29623287671232879</v>
      </c>
    </row>
    <row r="35" spans="1:27" x14ac:dyDescent="0.35">
      <c r="A35" s="2">
        <v>2320127002</v>
      </c>
      <c r="B35" s="2" t="s">
        <v>100</v>
      </c>
      <c r="C35" s="2">
        <f>VLOOKUP(user_activity!A597,users_details!$A$1:$G$34,5,0)</f>
        <v>39</v>
      </c>
      <c r="D35" s="2" t="str" cm="1">
        <f t="array" ref="D35">_xlfn.IFS( AND(C35&gt;=18, C35&lt;=25), "Emerging Adults",  AND(C35&gt;=26, C35&lt;=35),  "Young Adults",  AND(C35&gt;=36, C35&lt;=45),  "Midlife Adults",  AND(C35&gt;=46, C35&lt;=55), "Mature Adults", C35&gt;=56,  "Older Adults", TRUE, "Age Not Mentioned")</f>
        <v>Midlife Adults</v>
      </c>
      <c r="E35" s="2" t="str">
        <f>VLOOKUP(user_activity!A597,users_details!$A$1:$G$34,6,0)</f>
        <v>East Village, Manhattan</v>
      </c>
      <c r="F35" s="2" t="str">
        <f>VLOOKUP(user_activity!A597,users_details!$A$1:$G$34,7,0)</f>
        <v>East Village</v>
      </c>
      <c r="G35" s="2" t="s">
        <v>72</v>
      </c>
      <c r="H35" s="7">
        <v>42481</v>
      </c>
      <c r="I35" s="9" t="str">
        <f t="shared" si="0"/>
        <v>Thursday</v>
      </c>
      <c r="J35" s="9" t="str">
        <f t="shared" si="1"/>
        <v>April</v>
      </c>
      <c r="K35" s="2">
        <v>2.289999962</v>
      </c>
      <c r="L35" s="2">
        <v>2.289999962</v>
      </c>
      <c r="M35" s="2">
        <v>0</v>
      </c>
      <c r="N35" s="2">
        <v>5.9999998999999998E-2</v>
      </c>
      <c r="O35" s="2">
        <v>0.41999998700000002</v>
      </c>
      <c r="P35" s="2">
        <v>1.809999943</v>
      </c>
      <c r="Q35" s="2">
        <v>0</v>
      </c>
      <c r="R35" s="2">
        <v>1</v>
      </c>
      <c r="S35" s="2">
        <v>10</v>
      </c>
      <c r="T35" s="2">
        <v>127</v>
      </c>
      <c r="U35" s="2">
        <f t="shared" si="2"/>
        <v>138</v>
      </c>
      <c r="V35" s="2">
        <v>1302</v>
      </c>
      <c r="W35" s="2">
        <v>3404</v>
      </c>
      <c r="X35" s="2">
        <f t="shared" si="3"/>
        <v>3404</v>
      </c>
      <c r="Y35" s="2">
        <v>1610</v>
      </c>
      <c r="Z35" t="str" cm="1">
        <f t="array" ref="Z35">_xlfn.IFS(OR(R35&gt;66, S35&gt;38), "High Engagement", OR(AND(R35&gt;32, R35&lt;=66), AND(S35&gt;19, S35&lt;=38)), "Medium-High Engagement", OR(AND(R35&gt;4, R35&lt;=32), AND(S35&gt;6, S35&lt;=19)),"Medium Engagement", TRUE, "Low Engagement"
)</f>
        <v>Medium Engagement</v>
      </c>
      <c r="AA35">
        <f t="shared" si="4"/>
        <v>0.47297297297297297</v>
      </c>
    </row>
    <row r="36" spans="1:27" x14ac:dyDescent="0.35">
      <c r="A36" s="2">
        <v>2320127002</v>
      </c>
      <c r="B36" s="2" t="s">
        <v>100</v>
      </c>
      <c r="C36" s="2">
        <f>VLOOKUP(user_activity!A603,users_details!$A$1:$G$34,5,0)</f>
        <v>39</v>
      </c>
      <c r="D36" s="2" t="str" cm="1">
        <f t="array" ref="D36">_xlfn.IFS( AND(C36&gt;=18, C36&lt;=25), "Emerging Adults",  AND(C36&gt;=26, C36&lt;=35),  "Young Adults",  AND(C36&gt;=36, C36&lt;=45),  "Midlife Adults",  AND(C36&gt;=46, C36&lt;=55), "Mature Adults", C36&gt;=56,  "Older Adults", TRUE, "Age Not Mentioned")</f>
        <v>Midlife Adults</v>
      </c>
      <c r="E36" s="2" t="str">
        <f>VLOOKUP(user_activity!A603,users_details!$A$1:$G$34,6,0)</f>
        <v>East Village, Manhattan</v>
      </c>
      <c r="F36" s="2" t="str">
        <f>VLOOKUP(user_activity!A603,users_details!$A$1:$G$34,7,0)</f>
        <v>East Village</v>
      </c>
      <c r="G36" s="2" t="s">
        <v>72</v>
      </c>
      <c r="H36" s="7">
        <v>42485</v>
      </c>
      <c r="I36" s="9" t="str">
        <f t="shared" si="0"/>
        <v>Monday</v>
      </c>
      <c r="J36" s="9" t="str">
        <f t="shared" si="1"/>
        <v>April</v>
      </c>
      <c r="K36" s="2">
        <v>2.420000076</v>
      </c>
      <c r="L36" s="2">
        <v>2.420000076</v>
      </c>
      <c r="M36" s="2">
        <v>0</v>
      </c>
      <c r="N36" s="2">
        <v>0.23000000400000001</v>
      </c>
      <c r="O36" s="2">
        <v>0.20000000300000001</v>
      </c>
      <c r="P36" s="2">
        <v>1.9900000099999999</v>
      </c>
      <c r="Q36" s="2">
        <v>0</v>
      </c>
      <c r="R36" s="2">
        <v>3</v>
      </c>
      <c r="S36" s="2">
        <v>5</v>
      </c>
      <c r="T36" s="2">
        <v>152</v>
      </c>
      <c r="U36" s="2">
        <f t="shared" si="2"/>
        <v>160</v>
      </c>
      <c r="V36" s="2">
        <v>1280</v>
      </c>
      <c r="W36" s="2">
        <v>3588</v>
      </c>
      <c r="X36" s="2">
        <f t="shared" si="3"/>
        <v>3588</v>
      </c>
      <c r="Y36" s="2">
        <v>1654</v>
      </c>
      <c r="Z36" t="str" cm="1">
        <f t="array" ref="Z36">_xlfn.IFS(OR(R36&gt;66, S36&gt;38), "High Engagement", OR(AND(R36&gt;32, R36&lt;=66), AND(S36&gt;19, S36&lt;=38)), "Medium-High Engagement", OR(AND(R36&gt;4, R36&lt;=32), AND(S36&gt;6, S36&lt;=19)),"Medium Engagement", TRUE, "Low Engagement"
)</f>
        <v>Low Engagement</v>
      </c>
      <c r="AA36">
        <f t="shared" si="4"/>
        <v>0.46098104793756967</v>
      </c>
    </row>
    <row r="37" spans="1:27" x14ac:dyDescent="0.35">
      <c r="A37" s="2">
        <v>2320127002</v>
      </c>
      <c r="B37" s="2" t="s">
        <v>100</v>
      </c>
      <c r="C37" s="2">
        <f>VLOOKUP(user_activity!A626,users_details!$A$1:$G$34,5,0)</f>
        <v>41</v>
      </c>
      <c r="D37" s="2" t="str" cm="1">
        <f t="array" ref="D37">_xlfn.IFS( AND(C37&gt;=18, C37&lt;=25), "Emerging Adults",  AND(C37&gt;=26, C37&lt;=35),  "Young Adults",  AND(C37&gt;=36, C37&lt;=45),  "Midlife Adults",  AND(C37&gt;=46, C37&lt;=55), "Mature Adults", C37&gt;=56,  "Older Adults", TRUE, "Age Not Mentioned")</f>
        <v>Midlife Adults</v>
      </c>
      <c r="E37" s="2" t="str">
        <f>VLOOKUP(user_activity!A626,users_details!$A$1:$G$34,6,0)</f>
        <v>East Harlem, Manhattan</v>
      </c>
      <c r="F37" s="2" t="str">
        <f>VLOOKUP(user_activity!A626,users_details!$A$1:$G$34,7,0)</f>
        <v>East Harlem</v>
      </c>
      <c r="G37" s="2" t="s">
        <v>72</v>
      </c>
      <c r="H37" s="7">
        <v>42482</v>
      </c>
      <c r="I37" s="9" t="str">
        <f t="shared" si="0"/>
        <v>Friday</v>
      </c>
      <c r="J37" s="9" t="str">
        <f t="shared" si="1"/>
        <v>April</v>
      </c>
      <c r="K37" s="2">
        <v>3.7599999899999998</v>
      </c>
      <c r="L37" s="2">
        <v>3.7599999899999998</v>
      </c>
      <c r="M37" s="2">
        <v>0</v>
      </c>
      <c r="N37" s="2">
        <v>0</v>
      </c>
      <c r="O37" s="2">
        <v>0</v>
      </c>
      <c r="P37" s="2">
        <v>3.7599999899999998</v>
      </c>
      <c r="Q37" s="2">
        <v>0</v>
      </c>
      <c r="R37" s="2">
        <v>0</v>
      </c>
      <c r="S37" s="2">
        <v>0</v>
      </c>
      <c r="T37" s="2">
        <v>266</v>
      </c>
      <c r="U37" s="2">
        <f t="shared" si="2"/>
        <v>266</v>
      </c>
      <c r="V37" s="2">
        <v>1174</v>
      </c>
      <c r="W37" s="2">
        <v>5583</v>
      </c>
      <c r="X37" s="2">
        <f t="shared" si="3"/>
        <v>5583</v>
      </c>
      <c r="Y37" s="2">
        <v>1851</v>
      </c>
      <c r="Z37" t="str" cm="1">
        <f t="array" ref="Z37">_xlfn.IFS(OR(R37&gt;66, S37&gt;38), "High Engagement", OR(AND(R37&gt;32, R37&lt;=66), AND(S37&gt;19, S37&lt;=38)), "Medium-High Engagement", OR(AND(R37&gt;4, R37&lt;=32), AND(S37&gt;6, S37&lt;=19)),"Medium Engagement", TRUE, "Low Engagement"
)</f>
        <v>Low Engagement</v>
      </c>
      <c r="AA37">
        <f t="shared" si="4"/>
        <v>0.33154218162278343</v>
      </c>
    </row>
    <row r="38" spans="1:27" x14ac:dyDescent="0.35">
      <c r="A38" s="2">
        <v>4319703577</v>
      </c>
      <c r="B38" s="2" t="s">
        <v>77</v>
      </c>
      <c r="C38" s="2">
        <f>VLOOKUP(user_activity!A637,users_details!$A$1:$G$34,5,0)</f>
        <v>41</v>
      </c>
      <c r="D38" s="2" t="str" cm="1">
        <f t="array" ref="D38">_xlfn.IFS( AND(C38&gt;=18, C38&lt;=25), "Emerging Adults",  AND(C38&gt;=26, C38&lt;=35),  "Young Adults",  AND(C38&gt;=36, C38&lt;=45),  "Midlife Adults",  AND(C38&gt;=46, C38&lt;=55), "Mature Adults", C38&gt;=56,  "Older Adults", TRUE, "Age Not Mentioned")</f>
        <v>Midlife Adults</v>
      </c>
      <c r="E38" s="2" t="str">
        <f>VLOOKUP(user_activity!A637,users_details!$A$1:$G$34,6,0)</f>
        <v>East Harlem, Manhattan</v>
      </c>
      <c r="F38" s="2" t="str">
        <f>VLOOKUP(user_activity!A637,users_details!$A$1:$G$34,7,0)</f>
        <v>East Harlem</v>
      </c>
      <c r="G38" s="2" t="s">
        <v>72</v>
      </c>
      <c r="H38" s="7">
        <v>42465</v>
      </c>
      <c r="I38" s="9" t="str">
        <f t="shared" si="0"/>
        <v>Tuesday</v>
      </c>
      <c r="J38" s="9" t="str">
        <f t="shared" si="1"/>
        <v>April</v>
      </c>
      <c r="K38" s="2">
        <v>7.0199999809999998</v>
      </c>
      <c r="L38" s="2">
        <v>7.0199999809999998</v>
      </c>
      <c r="M38" s="2">
        <v>0</v>
      </c>
      <c r="N38" s="2">
        <v>0.58999997400000004</v>
      </c>
      <c r="O38" s="2">
        <v>0.579999983</v>
      </c>
      <c r="P38" s="2">
        <v>5.8499999049999998</v>
      </c>
      <c r="Q38" s="2">
        <v>0</v>
      </c>
      <c r="R38" s="2">
        <v>8</v>
      </c>
      <c r="S38" s="2">
        <v>13</v>
      </c>
      <c r="T38" s="2">
        <v>313</v>
      </c>
      <c r="U38" s="2">
        <f t="shared" si="2"/>
        <v>334</v>
      </c>
      <c r="V38" s="2">
        <v>1106</v>
      </c>
      <c r="W38" s="2">
        <v>10429</v>
      </c>
      <c r="X38" s="2">
        <f t="shared" si="3"/>
        <v>10429</v>
      </c>
      <c r="Y38" s="2">
        <v>2282</v>
      </c>
      <c r="Z38" t="str" cm="1">
        <f t="array" ref="Z38">_xlfn.IFS(OR(R38&gt;66, S38&gt;38), "High Engagement", OR(AND(R38&gt;32, R38&lt;=66), AND(S38&gt;19, S38&lt;=38)), "Medium-High Engagement", OR(AND(R38&gt;4, R38&lt;=32), AND(S38&gt;6, S38&lt;=19)),"Medium Engagement", TRUE, "Low Engagement"
)</f>
        <v>Medium Engagement</v>
      </c>
      <c r="AA38">
        <f t="shared" si="4"/>
        <v>0.21881292549621248</v>
      </c>
    </row>
    <row r="39" spans="1:27" x14ac:dyDescent="0.35">
      <c r="A39" s="2">
        <v>4319703577</v>
      </c>
      <c r="B39" s="2" t="s">
        <v>77</v>
      </c>
      <c r="C39" s="2">
        <f>VLOOKUP(user_activity!A683,users_details!$A$1:$G$34,5,0)</f>
        <v>49</v>
      </c>
      <c r="D39" s="2" t="str" cm="1">
        <f t="array" ref="D39">_xlfn.IFS( AND(C39&gt;=18, C39&lt;=25), "Emerging Adults",  AND(C39&gt;=26, C39&lt;=35),  "Young Adults",  AND(C39&gt;=36, C39&lt;=45),  "Midlife Adults",  AND(C39&gt;=46, C39&lt;=55), "Mature Adults", C39&gt;=56,  "Older Adults", TRUE, "Age Not Mentioned")</f>
        <v>Mature Adults</v>
      </c>
      <c r="E39" s="2" t="str">
        <f>VLOOKUP(user_activity!A683,users_details!$A$1:$G$34,6,0)</f>
        <v>Upper West Side, Manhattan</v>
      </c>
      <c r="F39" s="2" t="str">
        <f>VLOOKUP(user_activity!A683,users_details!$A$1:$G$34,7,0)</f>
        <v>Upper West Side</v>
      </c>
      <c r="G39" s="2" t="s">
        <v>72</v>
      </c>
      <c r="H39" s="7">
        <v>42374</v>
      </c>
      <c r="I39" s="9" t="str">
        <f t="shared" si="0"/>
        <v>Tuesday</v>
      </c>
      <c r="J39" s="9" t="str">
        <f t="shared" si="1"/>
        <v>January</v>
      </c>
      <c r="K39" s="2">
        <v>0.83999997400000004</v>
      </c>
      <c r="L39" s="2">
        <v>0.83999997400000004</v>
      </c>
      <c r="M39" s="2">
        <v>0</v>
      </c>
      <c r="N39" s="2">
        <v>0</v>
      </c>
      <c r="O39" s="2">
        <v>0</v>
      </c>
      <c r="P39" s="2">
        <v>0.83999997400000004</v>
      </c>
      <c r="Q39" s="2">
        <v>0</v>
      </c>
      <c r="R39" s="2">
        <v>0</v>
      </c>
      <c r="S39" s="2">
        <v>0</v>
      </c>
      <c r="T39" s="2">
        <v>67</v>
      </c>
      <c r="U39" s="2">
        <f t="shared" si="2"/>
        <v>67</v>
      </c>
      <c r="V39" s="2">
        <v>836</v>
      </c>
      <c r="W39" s="2">
        <v>1251</v>
      </c>
      <c r="X39" s="2">
        <f t="shared" si="3"/>
        <v>1251</v>
      </c>
      <c r="Y39" s="2">
        <v>1593</v>
      </c>
      <c r="Z39" t="str" cm="1">
        <f t="array" ref="Z39">_xlfn.IFS(OR(R39&gt;66, S39&gt;38), "High Engagement", OR(AND(R39&gt;32, R39&lt;=66), AND(S39&gt;19, S39&lt;=38)), "Medium-High Engagement", OR(AND(R39&gt;4, R39&lt;=32), AND(S39&gt;6, S39&lt;=19)),"Medium Engagement", TRUE, "Low Engagement"
)</f>
        <v>Low Engagement</v>
      </c>
      <c r="AA39">
        <f t="shared" si="4"/>
        <v>1.2733812949640289</v>
      </c>
    </row>
    <row r="40" spans="1:27" x14ac:dyDescent="0.35">
      <c r="A40" s="2">
        <v>2320127002</v>
      </c>
      <c r="B40" s="2" t="s">
        <v>100</v>
      </c>
      <c r="C40" s="2">
        <f>VLOOKUP(user_activity!A688,users_details!$A$1:$G$34,5,0)</f>
        <v>49</v>
      </c>
      <c r="D40" s="2" t="str" cm="1">
        <f t="array" ref="D40">_xlfn.IFS( AND(C40&gt;=18, C40&lt;=25), "Emerging Adults",  AND(C40&gt;=26, C40&lt;=35),  "Young Adults",  AND(C40&gt;=36, C40&lt;=45),  "Midlife Adults",  AND(C40&gt;=46, C40&lt;=55), "Mature Adults", C40&gt;=56,  "Older Adults", TRUE, "Age Not Mentioned")</f>
        <v>Mature Adults</v>
      </c>
      <c r="E40" s="2" t="str">
        <f>VLOOKUP(user_activity!A688,users_details!$A$1:$G$34,6,0)</f>
        <v>Upper West Side, Manhattan</v>
      </c>
      <c r="F40" s="2" t="str">
        <f>VLOOKUP(user_activity!A688,users_details!$A$1:$G$34,7,0)</f>
        <v>Upper West Side</v>
      </c>
      <c r="G40" s="2" t="s">
        <v>72</v>
      </c>
      <c r="H40" s="7">
        <v>42709</v>
      </c>
      <c r="I40" s="9" t="str">
        <f t="shared" si="0"/>
        <v>Monday</v>
      </c>
      <c r="J40" s="9" t="str">
        <f t="shared" si="1"/>
        <v>December</v>
      </c>
      <c r="K40" s="2">
        <v>1.789999962</v>
      </c>
      <c r="L40" s="2">
        <v>1.789999962</v>
      </c>
      <c r="M40" s="2">
        <v>0</v>
      </c>
      <c r="N40" s="2">
        <v>0</v>
      </c>
      <c r="O40" s="2">
        <v>0</v>
      </c>
      <c r="P40" s="2">
        <v>1.789999962</v>
      </c>
      <c r="Q40" s="2">
        <v>0</v>
      </c>
      <c r="R40" s="2">
        <v>0</v>
      </c>
      <c r="S40" s="2">
        <v>0</v>
      </c>
      <c r="T40" s="2">
        <v>128</v>
      </c>
      <c r="U40" s="2">
        <f t="shared" si="2"/>
        <v>128</v>
      </c>
      <c r="V40" s="2">
        <v>830</v>
      </c>
      <c r="W40" s="2">
        <v>2661</v>
      </c>
      <c r="X40" s="2">
        <f t="shared" si="3"/>
        <v>2661</v>
      </c>
      <c r="Y40" s="2">
        <v>1125</v>
      </c>
      <c r="Z40" t="str" cm="1">
        <f t="array" ref="Z40">_xlfn.IFS(OR(R40&gt;66, S40&gt;38), "High Engagement", OR(AND(R40&gt;32, R40&lt;=66), AND(S40&gt;19, S40&lt;=38)), "Medium-High Engagement", OR(AND(R40&gt;4, R40&lt;=32), AND(S40&gt;6, S40&lt;=19)),"Medium Engagement", TRUE, "Low Engagement"
)</f>
        <v>Low Engagement</v>
      </c>
      <c r="AA40">
        <f t="shared" si="4"/>
        <v>0.42277339346110487</v>
      </c>
    </row>
    <row r="41" spans="1:27" x14ac:dyDescent="0.35">
      <c r="A41" s="2">
        <v>4319703577</v>
      </c>
      <c r="B41" s="2" t="s">
        <v>77</v>
      </c>
      <c r="C41" s="2">
        <f>VLOOKUP(user_activity!A695,users_details!$A$1:$G$34,5,0)</f>
        <v>49</v>
      </c>
      <c r="D41" s="2" t="str" cm="1">
        <f t="array" ref="D41">_xlfn.IFS( AND(C41&gt;=18, C41&lt;=25), "Emerging Adults",  AND(C41&gt;=26, C41&lt;=35),  "Young Adults",  AND(C41&gt;=36, C41&lt;=45),  "Midlife Adults",  AND(C41&gt;=46, C41&lt;=55), "Mature Adults", C41&gt;=56,  "Older Adults", TRUE, "Age Not Mentioned")</f>
        <v>Mature Adults</v>
      </c>
      <c r="E41" s="2" t="str">
        <f>VLOOKUP(user_activity!A695,users_details!$A$1:$G$34,6,0)</f>
        <v>Upper West Side, Manhattan</v>
      </c>
      <c r="F41" s="2" t="str">
        <f>VLOOKUP(user_activity!A695,users_details!$A$1:$G$34,7,0)</f>
        <v>Upper West Side</v>
      </c>
      <c r="G41" s="2" t="s">
        <v>72</v>
      </c>
      <c r="H41" s="7">
        <v>42434</v>
      </c>
      <c r="I41" s="9" t="str">
        <f t="shared" si="0"/>
        <v>Saturday</v>
      </c>
      <c r="J41" s="9" t="str">
        <f t="shared" si="1"/>
        <v>March</v>
      </c>
      <c r="K41" s="2">
        <v>6.4699997900000001</v>
      </c>
      <c r="L41" s="2">
        <v>6.4699997900000001</v>
      </c>
      <c r="M41" s="2">
        <v>0</v>
      </c>
      <c r="N41" s="2">
        <v>0.579999983</v>
      </c>
      <c r="O41" s="2">
        <v>1.0700000519999999</v>
      </c>
      <c r="P41" s="2">
        <v>4.829999924</v>
      </c>
      <c r="Q41" s="2">
        <v>0</v>
      </c>
      <c r="R41" s="2">
        <v>8</v>
      </c>
      <c r="S41" s="2">
        <v>26</v>
      </c>
      <c r="T41" s="2">
        <v>287</v>
      </c>
      <c r="U41" s="2">
        <f t="shared" si="2"/>
        <v>321</v>
      </c>
      <c r="V41" s="2">
        <v>669</v>
      </c>
      <c r="W41" s="2">
        <v>9648</v>
      </c>
      <c r="X41" s="2">
        <f t="shared" si="3"/>
        <v>9648</v>
      </c>
      <c r="Y41" s="2">
        <v>2235</v>
      </c>
      <c r="Z41" t="str" cm="1">
        <f t="array" ref="Z41">_xlfn.IFS(OR(R41&gt;66, S41&gt;38), "High Engagement", OR(AND(R41&gt;32, R41&lt;=66), AND(S41&gt;19, S41&lt;=38)), "Medium-High Engagement", OR(AND(R41&gt;4, R41&lt;=32), AND(S41&gt;6, S41&lt;=19)),"Medium Engagement", TRUE, "Low Engagement"
)</f>
        <v>Medium-High Engagement</v>
      </c>
      <c r="AA41">
        <f t="shared" si="4"/>
        <v>0.2316542288557214</v>
      </c>
    </row>
    <row r="42" spans="1:27" x14ac:dyDescent="0.35">
      <c r="A42" s="2">
        <v>2320127002</v>
      </c>
      <c r="B42" s="2" t="s">
        <v>100</v>
      </c>
      <c r="C42" s="2">
        <f>VLOOKUP(user_activity!A699,users_details!$A$1:$G$34,5,0)</f>
        <v>53</v>
      </c>
      <c r="D42" s="2" t="str" cm="1">
        <f t="array" ref="D42">_xlfn.IFS( AND(C42&gt;=18, C42&lt;=25), "Emerging Adults",  AND(C42&gt;=26, C42&lt;=35),  "Young Adults",  AND(C42&gt;=36, C42&lt;=45),  "Midlife Adults",  AND(C42&gt;=46, C42&lt;=55), "Mature Adults", C42&gt;=56,  "Older Adults", TRUE, "Age Not Mentioned")</f>
        <v>Mature Adults</v>
      </c>
      <c r="E42" s="2" t="str">
        <f>VLOOKUP(user_activity!A699,users_details!$A$1:$G$34,6,0)</f>
        <v>Harlem, Manhattan</v>
      </c>
      <c r="F42" s="2" t="str">
        <f>VLOOKUP(user_activity!A699,users_details!$A$1:$G$34,7,0)</f>
        <v>Harlem</v>
      </c>
      <c r="G42" s="2" t="s">
        <v>72</v>
      </c>
      <c r="H42" s="7">
        <v>42475</v>
      </c>
      <c r="I42" s="9" t="str">
        <f t="shared" si="0"/>
        <v>Friday</v>
      </c>
      <c r="J42" s="9" t="str">
        <f t="shared" si="1"/>
        <v>April</v>
      </c>
      <c r="K42" s="2">
        <v>3.5099999899999998</v>
      </c>
      <c r="L42" s="2">
        <v>3.5099999899999998</v>
      </c>
      <c r="M42" s="2">
        <v>0</v>
      </c>
      <c r="N42" s="2">
        <v>0</v>
      </c>
      <c r="O42" s="2">
        <v>0</v>
      </c>
      <c r="P42" s="2">
        <v>3.5099999899999998</v>
      </c>
      <c r="Q42" s="2">
        <v>0</v>
      </c>
      <c r="R42" s="2">
        <v>0</v>
      </c>
      <c r="S42" s="2">
        <v>0</v>
      </c>
      <c r="T42" s="2">
        <v>245</v>
      </c>
      <c r="U42" s="2">
        <f t="shared" si="2"/>
        <v>245</v>
      </c>
      <c r="V42" s="2">
        <v>1195</v>
      </c>
      <c r="W42" s="2">
        <v>5205</v>
      </c>
      <c r="X42" s="2">
        <f t="shared" si="3"/>
        <v>5205</v>
      </c>
      <c r="Y42" s="2">
        <v>1801</v>
      </c>
      <c r="Z42" t="str" cm="1">
        <f t="array" ref="Z42">_xlfn.IFS(OR(R42&gt;66, S42&gt;38), "High Engagement", OR(AND(R42&gt;32, R42&lt;=66), AND(S42&gt;19, S42&lt;=38)), "Medium-High Engagement", OR(AND(R42&gt;4, R42&lt;=32), AND(S42&gt;6, S42&lt;=19)),"Medium Engagement", TRUE, "Low Engagement"
)</f>
        <v>Low Engagement</v>
      </c>
      <c r="AA42">
        <f t="shared" si="4"/>
        <v>0.34601344860710853</v>
      </c>
    </row>
    <row r="43" spans="1:27" x14ac:dyDescent="0.35">
      <c r="A43" s="2">
        <v>4319703577</v>
      </c>
      <c r="B43" s="2" t="s">
        <v>77</v>
      </c>
      <c r="C43" s="2">
        <f>VLOOKUP(user_activity!A708,users_details!$A$1:$G$34,5,0)</f>
        <v>53</v>
      </c>
      <c r="D43" s="2" t="str" cm="1">
        <f t="array" ref="D43">_xlfn.IFS( AND(C43&gt;=18, C43&lt;=25), "Emerging Adults",  AND(C43&gt;=26, C43&lt;=35),  "Young Adults",  AND(C43&gt;=36, C43&lt;=45),  "Midlife Adults",  AND(C43&gt;=46, C43&lt;=55), "Mature Adults", C43&gt;=56,  "Older Adults", TRUE, "Age Not Mentioned")</f>
        <v>Mature Adults</v>
      </c>
      <c r="E43" s="2" t="str">
        <f>VLOOKUP(user_activity!A708,users_details!$A$1:$G$34,6,0)</f>
        <v>Harlem, Manhattan</v>
      </c>
      <c r="F43" s="2" t="str">
        <f>VLOOKUP(user_activity!A708,users_details!$A$1:$G$34,7,0)</f>
        <v>Harlem</v>
      </c>
      <c r="G43" s="2" t="s">
        <v>72</v>
      </c>
      <c r="H43" s="7">
        <v>42477</v>
      </c>
      <c r="I43" s="9" t="str">
        <f t="shared" si="0"/>
        <v>Sunday</v>
      </c>
      <c r="J43" s="9" t="str">
        <f t="shared" si="1"/>
        <v>April</v>
      </c>
      <c r="K43" s="2">
        <v>0.02</v>
      </c>
      <c r="L43" s="2">
        <v>0.02</v>
      </c>
      <c r="M43" s="2">
        <v>0</v>
      </c>
      <c r="N43" s="2">
        <v>0</v>
      </c>
      <c r="O43" s="2">
        <v>0</v>
      </c>
      <c r="P43" s="2">
        <v>0.02</v>
      </c>
      <c r="Q43" s="2">
        <v>0</v>
      </c>
      <c r="R43" s="2">
        <v>0</v>
      </c>
      <c r="S43" s="2">
        <v>0</v>
      </c>
      <c r="T43" s="2">
        <v>3</v>
      </c>
      <c r="U43" s="2">
        <f t="shared" si="2"/>
        <v>3</v>
      </c>
      <c r="V43" s="2">
        <v>1363</v>
      </c>
      <c r="W43" s="2">
        <v>29</v>
      </c>
      <c r="X43" s="2">
        <f t="shared" si="3"/>
        <v>29</v>
      </c>
      <c r="Y43" s="2">
        <v>1464</v>
      </c>
      <c r="Z43" t="str" cm="1">
        <f t="array" ref="Z43">_xlfn.IFS(OR(R43&gt;66, S43&gt;38), "High Engagement", OR(AND(R43&gt;32, R43&lt;=66), AND(S43&gt;19, S43&lt;=38)), "Medium-High Engagement", OR(AND(R43&gt;4, R43&lt;=32), AND(S43&gt;6, S43&lt;=19)),"Medium Engagement", TRUE, "Low Engagement"
)</f>
        <v>Low Engagement</v>
      </c>
      <c r="AA43">
        <f t="shared" si="4"/>
        <v>50.482758620689658</v>
      </c>
    </row>
    <row r="44" spans="1:27" x14ac:dyDescent="0.35">
      <c r="A44" s="2">
        <v>2320127002</v>
      </c>
      <c r="B44" s="2" t="s">
        <v>100</v>
      </c>
      <c r="C44" s="2">
        <f>VLOOKUP(user_activity!A717,users_details!$A$1:$G$34,5,0)</f>
        <v>53</v>
      </c>
      <c r="D44" s="2" t="str" cm="1">
        <f t="array" ref="D44">_xlfn.IFS( AND(C44&gt;=18, C44&lt;=25), "Emerging Adults",  AND(C44&gt;=26, C44&lt;=35),  "Young Adults",  AND(C44&gt;=36, C44&lt;=45),  "Midlife Adults",  AND(C44&gt;=46, C44&lt;=55), "Mature Adults", C44&gt;=56,  "Older Adults", TRUE, "Age Not Mentioned")</f>
        <v>Mature Adults</v>
      </c>
      <c r="E44" s="2" t="str">
        <f>VLOOKUP(user_activity!A717,users_details!$A$1:$G$34,6,0)</f>
        <v>Williamsburg, Brooklyn</v>
      </c>
      <c r="F44" s="2" t="str">
        <f>VLOOKUP(user_activity!A717,users_details!$A$1:$G$34,7,0)</f>
        <v>Williamsburg</v>
      </c>
      <c r="G44" s="2" t="s">
        <v>72</v>
      </c>
      <c r="H44" s="7">
        <v>42488</v>
      </c>
      <c r="I44" s="9" t="str">
        <f t="shared" si="0"/>
        <v>Thursday</v>
      </c>
      <c r="J44" s="9" t="str">
        <f t="shared" si="1"/>
        <v>April</v>
      </c>
      <c r="K44" s="2">
        <v>1.0299999710000001</v>
      </c>
      <c r="L44" s="2">
        <v>1.0299999710000001</v>
      </c>
      <c r="M44" s="2">
        <v>0</v>
      </c>
      <c r="N44" s="2">
        <v>0</v>
      </c>
      <c r="O44" s="2">
        <v>0</v>
      </c>
      <c r="P44" s="2">
        <v>1.0299999710000001</v>
      </c>
      <c r="Q44" s="2">
        <v>0</v>
      </c>
      <c r="R44" s="2">
        <v>0</v>
      </c>
      <c r="S44" s="2">
        <v>0</v>
      </c>
      <c r="T44" s="2">
        <v>76</v>
      </c>
      <c r="U44" s="2">
        <f t="shared" si="2"/>
        <v>76</v>
      </c>
      <c r="V44" s="2">
        <v>1364</v>
      </c>
      <c r="W44" s="2">
        <v>1532</v>
      </c>
      <c r="X44" s="2">
        <f t="shared" si="3"/>
        <v>1532</v>
      </c>
      <c r="Y44" s="2">
        <v>1473</v>
      </c>
      <c r="Z44" t="str" cm="1">
        <f t="array" ref="Z44">_xlfn.IFS(OR(R44&gt;66, S44&gt;38), "High Engagement", OR(AND(R44&gt;32, R44&lt;=66), AND(S44&gt;19, S44&lt;=38)), "Medium-High Engagement", OR(AND(R44&gt;4, R44&lt;=32), AND(S44&gt;6, S44&lt;=19)),"Medium Engagement", TRUE, "Low Engagement"
)</f>
        <v>Low Engagement</v>
      </c>
      <c r="AA44">
        <f t="shared" si="4"/>
        <v>0.96148825065274146</v>
      </c>
    </row>
    <row r="45" spans="1:27" x14ac:dyDescent="0.35">
      <c r="A45" s="2">
        <v>2320127002</v>
      </c>
      <c r="B45" s="2" t="s">
        <v>100</v>
      </c>
      <c r="C45" s="2">
        <f>VLOOKUP(user_activity!A724,users_details!$A$1:$G$34,5,0)</f>
        <v>53</v>
      </c>
      <c r="D45" s="2" t="str" cm="1">
        <f t="array" ref="D45">_xlfn.IFS( AND(C45&gt;=18, C45&lt;=25), "Emerging Adults",  AND(C45&gt;=26, C45&lt;=35),  "Young Adults",  AND(C45&gt;=36, C45&lt;=45),  "Midlife Adults",  AND(C45&gt;=46, C45&lt;=55), "Mature Adults", C45&gt;=56,  "Older Adults", TRUE, "Age Not Mentioned")</f>
        <v>Mature Adults</v>
      </c>
      <c r="E45" s="2" t="str">
        <f>VLOOKUP(user_activity!A724,users_details!$A$1:$G$34,6,0)</f>
        <v>Harlem, Manhattan</v>
      </c>
      <c r="F45" s="2" t="str">
        <f>VLOOKUP(user_activity!A724,users_details!$A$1:$G$34,7,0)</f>
        <v>Harlem</v>
      </c>
      <c r="G45" s="2" t="s">
        <v>72</v>
      </c>
      <c r="H45" s="7">
        <v>42489</v>
      </c>
      <c r="I45" s="9" t="str">
        <f t="shared" si="0"/>
        <v>Friday</v>
      </c>
      <c r="J45" s="9" t="str">
        <f t="shared" si="1"/>
        <v>April</v>
      </c>
      <c r="K45" s="2">
        <v>0.62000000499999997</v>
      </c>
      <c r="L45" s="2">
        <v>0.62000000499999997</v>
      </c>
      <c r="M45" s="2">
        <v>0</v>
      </c>
      <c r="N45" s="2">
        <v>0</v>
      </c>
      <c r="O45" s="2">
        <v>0</v>
      </c>
      <c r="P45" s="2">
        <v>0.62000000499999997</v>
      </c>
      <c r="Q45" s="2">
        <v>0</v>
      </c>
      <c r="R45" s="2">
        <v>0</v>
      </c>
      <c r="S45" s="2">
        <v>0</v>
      </c>
      <c r="T45" s="2">
        <v>45</v>
      </c>
      <c r="U45" s="2">
        <f t="shared" si="2"/>
        <v>45</v>
      </c>
      <c r="V45" s="2">
        <v>1395</v>
      </c>
      <c r="W45" s="2">
        <v>924</v>
      </c>
      <c r="X45" s="2">
        <f t="shared" si="3"/>
        <v>924</v>
      </c>
      <c r="Y45" s="2">
        <v>1410</v>
      </c>
      <c r="Z45" t="str" cm="1">
        <f t="array" ref="Z45">_xlfn.IFS(OR(R45&gt;66, S45&gt;38), "High Engagement", OR(AND(R45&gt;32, R45&lt;=66), AND(S45&gt;19, S45&lt;=38)), "Medium-High Engagement", OR(AND(R45&gt;4, R45&lt;=32), AND(S45&gt;6, S45&lt;=19)),"Medium Engagement", TRUE, "Low Engagement"
)</f>
        <v>Low Engagement</v>
      </c>
      <c r="AA45">
        <f t="shared" si="4"/>
        <v>1.525974025974026</v>
      </c>
    </row>
    <row r="46" spans="1:27" x14ac:dyDescent="0.35">
      <c r="A46" s="2">
        <v>4319703577</v>
      </c>
      <c r="B46" s="2" t="s">
        <v>77</v>
      </c>
      <c r="C46" s="2">
        <f>VLOOKUP(user_activity!A729,users_details!$A$1:$G$34,5,0)</f>
        <v>53</v>
      </c>
      <c r="D46" s="2" t="str" cm="1">
        <f t="array" ref="D46">_xlfn.IFS( AND(C46&gt;=18, C46&lt;=25), "Emerging Adults",  AND(C46&gt;=26, C46&lt;=35),  "Young Adults",  AND(C46&gt;=36, C46&lt;=45),  "Midlife Adults",  AND(C46&gt;=46, C46&lt;=55), "Mature Adults", C46&gt;=56,  "Older Adults", TRUE, "Age Not Mentioned")</f>
        <v>Mature Adults</v>
      </c>
      <c r="E46" s="2" t="str">
        <f>VLOOKUP(user_activity!A729,users_details!$A$1:$G$34,6,0)</f>
        <v>Harlem, Manhattan</v>
      </c>
      <c r="F46" s="2" t="str">
        <f>VLOOKUP(user_activity!A729,users_details!$A$1:$G$34,7,0)</f>
        <v>Harlem</v>
      </c>
      <c r="G46" s="2" t="s">
        <v>72</v>
      </c>
      <c r="H46" s="7">
        <v>42679</v>
      </c>
      <c r="I46" s="9" t="str">
        <f t="shared" si="0"/>
        <v>Saturday</v>
      </c>
      <c r="J46" s="9" t="str">
        <f t="shared" si="1"/>
        <v>November</v>
      </c>
      <c r="K46" s="2">
        <v>6.1300001139999996</v>
      </c>
      <c r="L46" s="2">
        <v>6.1300001139999996</v>
      </c>
      <c r="M46" s="2">
        <v>0</v>
      </c>
      <c r="N46" s="2">
        <v>0.20000000300000001</v>
      </c>
      <c r="O46" s="2">
        <v>0.74000001000000004</v>
      </c>
      <c r="P46" s="2">
        <v>5.1799998279999997</v>
      </c>
      <c r="Q46" s="2">
        <v>0</v>
      </c>
      <c r="R46" s="2">
        <v>3</v>
      </c>
      <c r="S46" s="2">
        <v>18</v>
      </c>
      <c r="T46" s="2">
        <v>311</v>
      </c>
      <c r="U46" s="2">
        <f t="shared" si="2"/>
        <v>332</v>
      </c>
      <c r="V46" s="2">
        <v>574</v>
      </c>
      <c r="W46" s="2">
        <v>9129</v>
      </c>
      <c r="X46" s="2">
        <f t="shared" si="3"/>
        <v>9129</v>
      </c>
      <c r="Y46" s="2">
        <v>2232</v>
      </c>
      <c r="Z46" t="str" cm="1">
        <f t="array" ref="Z46">_xlfn.IFS(OR(R46&gt;66, S46&gt;38), "High Engagement", OR(AND(R46&gt;32, R46&lt;=66), AND(S46&gt;19, S46&lt;=38)), "Medium-High Engagement", OR(AND(R46&gt;4, R46&lt;=32), AND(S46&gt;6, S46&lt;=19)),"Medium Engagement", TRUE, "Low Engagement"
)</f>
        <v>Medium Engagement</v>
      </c>
      <c r="AA46">
        <f t="shared" si="4"/>
        <v>0.24449556358856392</v>
      </c>
    </row>
    <row r="47" spans="1:27" x14ac:dyDescent="0.35">
      <c r="A47" s="2">
        <v>4319703577</v>
      </c>
      <c r="B47" s="2" t="s">
        <v>77</v>
      </c>
      <c r="C47" s="2">
        <f>VLOOKUP(user_activity!A738,users_details!$A$1:$G$34,5,0)</f>
        <v>53</v>
      </c>
      <c r="D47" s="2" t="str" cm="1">
        <f t="array" ref="D47">_xlfn.IFS( AND(C47&gt;=18, C47&lt;=25), "Emerging Adults",  AND(C47&gt;=26, C47&lt;=35),  "Young Adults",  AND(C47&gt;=36, C47&lt;=45),  "Midlife Adults",  AND(C47&gt;=46, C47&lt;=55), "Mature Adults", C47&gt;=56,  "Older Adults", TRUE, "Age Not Mentioned")</f>
        <v>Mature Adults</v>
      </c>
      <c r="E47" s="2" t="str">
        <f>VLOOKUP(user_activity!A738,users_details!$A$1:$G$34,6,0)</f>
        <v>Harlem, Manhattan</v>
      </c>
      <c r="F47" s="2" t="str">
        <f>VLOOKUP(user_activity!A738,users_details!$A$1:$G$34,7,0)</f>
        <v>Harlem</v>
      </c>
      <c r="G47" s="2" t="s">
        <v>72</v>
      </c>
      <c r="H47" s="7">
        <v>42475</v>
      </c>
      <c r="I47" s="9" t="str">
        <f t="shared" si="0"/>
        <v>Friday</v>
      </c>
      <c r="J47" s="9" t="str">
        <f t="shared" si="1"/>
        <v>April</v>
      </c>
      <c r="K47" s="2">
        <v>3.7999999519999998</v>
      </c>
      <c r="L47" s="2">
        <v>3.7999999519999998</v>
      </c>
      <c r="M47" s="2">
        <v>0</v>
      </c>
      <c r="N47" s="2">
        <v>0</v>
      </c>
      <c r="O47" s="2">
        <v>0</v>
      </c>
      <c r="P47" s="2">
        <v>3.7999999519999998</v>
      </c>
      <c r="Q47" s="2">
        <v>0</v>
      </c>
      <c r="R47" s="2">
        <v>0</v>
      </c>
      <c r="S47" s="2">
        <v>0</v>
      </c>
      <c r="T47" s="2">
        <v>228</v>
      </c>
      <c r="U47" s="2">
        <f t="shared" si="2"/>
        <v>228</v>
      </c>
      <c r="V47" s="2">
        <v>752</v>
      </c>
      <c r="W47" s="2">
        <v>5664</v>
      </c>
      <c r="X47" s="2">
        <f t="shared" si="3"/>
        <v>5664</v>
      </c>
      <c r="Y47" s="2">
        <v>1985</v>
      </c>
      <c r="Z47" t="str" cm="1">
        <f t="array" ref="Z47">_xlfn.IFS(OR(R47&gt;66, S47&gt;38), "High Engagement", OR(AND(R47&gt;32, R47&lt;=66), AND(S47&gt;19, S47&lt;=38)), "Medium-High Engagement", OR(AND(R47&gt;4, R47&lt;=32), AND(S47&gt;6, S47&lt;=19)),"Medium Engagement", TRUE, "Low Engagement"
)</f>
        <v>Low Engagement</v>
      </c>
      <c r="AA47">
        <f t="shared" si="4"/>
        <v>0.3504590395480226</v>
      </c>
    </row>
    <row r="48" spans="1:27" x14ac:dyDescent="0.35">
      <c r="A48" s="2">
        <v>2320127002</v>
      </c>
      <c r="B48" s="2" t="s">
        <v>100</v>
      </c>
      <c r="C48" s="2">
        <f>VLOOKUP(user_activity!A739,users_details!$A$1:$G$34,5,0)</f>
        <v>53</v>
      </c>
      <c r="D48" s="2" t="str" cm="1">
        <f t="array" ref="D48">_xlfn.IFS( AND(C48&gt;=18, C48&lt;=25), "Emerging Adults",  AND(C48&gt;=26, C48&lt;=35),  "Young Adults",  AND(C48&gt;=36, C48&lt;=45),  "Midlife Adults",  AND(C48&gt;=46, C48&lt;=55), "Mature Adults", C48&gt;=56,  "Older Adults", TRUE, "Age Not Mentioned")</f>
        <v>Mature Adults</v>
      </c>
      <c r="E48" s="2" t="str">
        <f>VLOOKUP(user_activity!A739,users_details!$A$1:$G$34,6,0)</f>
        <v>Williamsburg, Brooklyn</v>
      </c>
      <c r="F48" s="2" t="str">
        <f>VLOOKUP(user_activity!A739,users_details!$A$1:$G$34,7,0)</f>
        <v>Williamsburg</v>
      </c>
      <c r="G48" s="2" t="s">
        <v>72</v>
      </c>
      <c r="H48" s="7">
        <v>42480</v>
      </c>
      <c r="I48" s="9" t="str">
        <f t="shared" si="0"/>
        <v>Wednesday</v>
      </c>
      <c r="J48" s="9" t="str">
        <f t="shared" si="1"/>
        <v>April</v>
      </c>
      <c r="K48" s="2">
        <v>4.8499999049999998</v>
      </c>
      <c r="L48" s="2">
        <v>4.8499999049999998</v>
      </c>
      <c r="M48" s="2">
        <v>0</v>
      </c>
      <c r="N48" s="2">
        <v>0</v>
      </c>
      <c r="O48" s="2">
        <v>0.49000000999999999</v>
      </c>
      <c r="P48" s="2">
        <v>4.3400001530000001</v>
      </c>
      <c r="Q48" s="2">
        <v>0</v>
      </c>
      <c r="R48" s="2">
        <v>0</v>
      </c>
      <c r="S48" s="2">
        <v>11</v>
      </c>
      <c r="T48" s="2">
        <v>283</v>
      </c>
      <c r="U48" s="2">
        <f t="shared" si="2"/>
        <v>294</v>
      </c>
      <c r="V48" s="2">
        <v>1146</v>
      </c>
      <c r="W48" s="2">
        <v>7192</v>
      </c>
      <c r="X48" s="2">
        <f t="shared" si="3"/>
        <v>7192</v>
      </c>
      <c r="Y48" s="2">
        <v>1922</v>
      </c>
      <c r="Z48" t="str" cm="1">
        <f t="array" ref="Z48">_xlfn.IFS(OR(R48&gt;66, S48&gt;38), "High Engagement", OR(AND(R48&gt;32, R48&lt;=66), AND(S48&gt;19, S48&lt;=38)), "Medium-High Engagement", OR(AND(R48&gt;4, R48&lt;=32), AND(S48&gt;6, S48&lt;=19)),"Medium Engagement", TRUE, "Low Engagement"
)</f>
        <v>Medium Engagement</v>
      </c>
      <c r="AA48">
        <f t="shared" si="4"/>
        <v>0.26724137931034481</v>
      </c>
    </row>
    <row r="49" spans="1:27" x14ac:dyDescent="0.35">
      <c r="A49" s="2">
        <v>2320127002</v>
      </c>
      <c r="B49" s="2" t="s">
        <v>100</v>
      </c>
      <c r="C49" s="2">
        <f>VLOOKUP(user_activity!A757,users_details!$A$1:$G$34,5,0)</f>
        <v>53</v>
      </c>
      <c r="D49" s="2" t="str" cm="1">
        <f t="array" ref="D49">_xlfn.IFS( AND(C49&gt;=18, C49&lt;=25), "Emerging Adults",  AND(C49&gt;=26, C49&lt;=35),  "Young Adults",  AND(C49&gt;=36, C49&lt;=45),  "Midlife Adults",  AND(C49&gt;=46, C49&lt;=55), "Mature Adults", C49&gt;=56,  "Older Adults", TRUE, "Age Not Mentioned")</f>
        <v>Mature Adults</v>
      </c>
      <c r="E49" s="2" t="str">
        <f>VLOOKUP(user_activity!A757,users_details!$A$1:$G$34,6,0)</f>
        <v>Harlem, Manhattan</v>
      </c>
      <c r="F49" s="2" t="str">
        <f>VLOOKUP(user_activity!A757,users_details!$A$1:$G$34,7,0)</f>
        <v>Harlem</v>
      </c>
      <c r="G49" s="2" t="s">
        <v>72</v>
      </c>
      <c r="H49" s="7">
        <v>42587</v>
      </c>
      <c r="I49" s="9" t="str">
        <f t="shared" si="0"/>
        <v>Friday</v>
      </c>
      <c r="J49" s="9" t="str">
        <f t="shared" si="1"/>
        <v>August</v>
      </c>
      <c r="K49" s="2">
        <v>3.4800000190000002</v>
      </c>
      <c r="L49" s="2">
        <v>3.4800000190000002</v>
      </c>
      <c r="M49" s="2">
        <v>0</v>
      </c>
      <c r="N49" s="2">
        <v>0</v>
      </c>
      <c r="O49" s="2">
        <v>0</v>
      </c>
      <c r="P49" s="2">
        <v>3.4700000289999999</v>
      </c>
      <c r="Q49" s="2">
        <v>0</v>
      </c>
      <c r="R49" s="2">
        <v>0</v>
      </c>
      <c r="S49" s="2">
        <v>0</v>
      </c>
      <c r="T49" s="2">
        <v>247</v>
      </c>
      <c r="U49" s="2">
        <f t="shared" si="2"/>
        <v>247</v>
      </c>
      <c r="V49" s="2">
        <v>1193</v>
      </c>
      <c r="W49" s="2">
        <v>5161</v>
      </c>
      <c r="X49" s="2">
        <f t="shared" si="3"/>
        <v>5161</v>
      </c>
      <c r="Y49" s="2">
        <v>1821</v>
      </c>
      <c r="Z49" t="str" cm="1">
        <f t="array" ref="Z49">_xlfn.IFS(OR(R49&gt;66, S49&gt;38), "High Engagement", OR(AND(R49&gt;32, R49&lt;=66), AND(S49&gt;19, S49&lt;=38)), "Medium-High Engagement", OR(AND(R49&gt;4, R49&lt;=32), AND(S49&gt;6, S49&lt;=19)),"Medium Engagement", TRUE, "Low Engagement"
)</f>
        <v>Low Engagement</v>
      </c>
      <c r="AA49">
        <f t="shared" si="4"/>
        <v>0.3528385971710909</v>
      </c>
    </row>
    <row r="50" spans="1:27" x14ac:dyDescent="0.35">
      <c r="A50" s="2">
        <v>2320127002</v>
      </c>
      <c r="B50" s="2" t="s">
        <v>100</v>
      </c>
      <c r="C50" s="2">
        <f>VLOOKUP(user_activity!A772,users_details!$A$1:$G$34,5,0)</f>
        <v>53</v>
      </c>
      <c r="D50" s="2" t="str" cm="1">
        <f t="array" ref="D50">_xlfn.IFS( AND(C50&gt;=18, C50&lt;=25), "Emerging Adults",  AND(C50&gt;=26, C50&lt;=35),  "Young Adults",  AND(C50&gt;=36, C50&lt;=45),  "Midlife Adults",  AND(C50&gt;=46, C50&lt;=55), "Mature Adults", C50&gt;=56,  "Older Adults", TRUE, "Age Not Mentioned")</f>
        <v>Mature Adults</v>
      </c>
      <c r="E50" s="2" t="str">
        <f>VLOOKUP(user_activity!A772,users_details!$A$1:$G$34,6,0)</f>
        <v>Harlem, Manhattan</v>
      </c>
      <c r="F50" s="2" t="str">
        <f>VLOOKUP(user_activity!A772,users_details!$A$1:$G$34,7,0)</f>
        <v>Harlem</v>
      </c>
      <c r="G50" s="2" t="s">
        <v>72</v>
      </c>
      <c r="H50" s="7">
        <v>42526</v>
      </c>
      <c r="I50" s="9" t="str">
        <f t="shared" si="0"/>
        <v>Sunday</v>
      </c>
      <c r="J50" s="9" t="str">
        <f t="shared" si="1"/>
        <v>June</v>
      </c>
      <c r="K50" s="2">
        <v>3.289999962</v>
      </c>
      <c r="L50" s="2">
        <v>3.289999962</v>
      </c>
      <c r="M50" s="2">
        <v>0</v>
      </c>
      <c r="N50" s="2">
        <v>0</v>
      </c>
      <c r="O50" s="2">
        <v>0</v>
      </c>
      <c r="P50" s="2">
        <v>3.289999962</v>
      </c>
      <c r="Q50" s="2">
        <v>0</v>
      </c>
      <c r="R50" s="2">
        <v>0</v>
      </c>
      <c r="S50" s="2">
        <v>0</v>
      </c>
      <c r="T50" s="2">
        <v>204</v>
      </c>
      <c r="U50" s="2">
        <f t="shared" si="2"/>
        <v>204</v>
      </c>
      <c r="V50" s="2">
        <v>1236</v>
      </c>
      <c r="W50" s="2">
        <v>4878</v>
      </c>
      <c r="X50" s="2">
        <f t="shared" si="3"/>
        <v>4878</v>
      </c>
      <c r="Y50" s="2">
        <v>1742</v>
      </c>
      <c r="Z50" t="str" cm="1">
        <f t="array" ref="Z50">_xlfn.IFS(OR(R50&gt;66, S50&gt;38), "High Engagement", OR(AND(R50&gt;32, R50&lt;=66), AND(S50&gt;19, S50&lt;=38)), "Medium-High Engagement", OR(AND(R50&gt;4, R50&lt;=32), AND(S50&gt;6, S50&lt;=19)),"Medium Engagement", TRUE, "Low Engagement"
)</f>
        <v>Low Engagement</v>
      </c>
      <c r="AA50">
        <f t="shared" si="4"/>
        <v>0.35711357113571135</v>
      </c>
    </row>
    <row r="51" spans="1:27" x14ac:dyDescent="0.35">
      <c r="A51" s="2">
        <v>4319703577</v>
      </c>
      <c r="B51" s="2" t="s">
        <v>77</v>
      </c>
      <c r="C51" s="2">
        <f>VLOOKUP(user_activity!A780,users_details!$A$1:$G$34,5,0)</f>
        <v>53</v>
      </c>
      <c r="D51" s="2" t="str" cm="1">
        <f t="array" ref="D51">_xlfn.IFS( AND(C51&gt;=18, C51&lt;=25), "Emerging Adults",  AND(C51&gt;=26, C51&lt;=35),  "Young Adults",  AND(C51&gt;=36, C51&lt;=45),  "Midlife Adults",  AND(C51&gt;=46, C51&lt;=55), "Mature Adults", C51&gt;=56,  "Older Adults", TRUE, "Age Not Mentioned")</f>
        <v>Mature Adults</v>
      </c>
      <c r="E51" s="2" t="str">
        <f>VLOOKUP(user_activity!A780,users_details!$A$1:$G$34,6,0)</f>
        <v>Harlem, Manhattan</v>
      </c>
      <c r="F51" s="2" t="str">
        <f>VLOOKUP(user_activity!A780,users_details!$A$1:$G$34,7,0)</f>
        <v>Harlem</v>
      </c>
      <c r="G51" s="2" t="s">
        <v>72</v>
      </c>
      <c r="H51" s="7">
        <v>42483</v>
      </c>
      <c r="I51" s="9" t="str">
        <f t="shared" si="0"/>
        <v>Saturday</v>
      </c>
      <c r="J51" s="9" t="str">
        <f t="shared" si="1"/>
        <v>April</v>
      </c>
      <c r="K51" s="2">
        <v>3.3099999430000002</v>
      </c>
      <c r="L51" s="2">
        <v>3.3099999430000002</v>
      </c>
      <c r="M51" s="2">
        <v>0</v>
      </c>
      <c r="N51" s="2">
        <v>0</v>
      </c>
      <c r="O51" s="2">
        <v>0</v>
      </c>
      <c r="P51" s="2">
        <v>3.3099999430000002</v>
      </c>
      <c r="Q51" s="2">
        <v>0</v>
      </c>
      <c r="R51" s="2">
        <v>0</v>
      </c>
      <c r="S51" s="2">
        <v>0</v>
      </c>
      <c r="T51" s="2">
        <v>233</v>
      </c>
      <c r="U51" s="2">
        <f t="shared" si="2"/>
        <v>233</v>
      </c>
      <c r="V51" s="2">
        <v>546</v>
      </c>
      <c r="W51" s="2">
        <v>4935</v>
      </c>
      <c r="X51" s="2">
        <f t="shared" si="3"/>
        <v>4935</v>
      </c>
      <c r="Y51" s="2">
        <v>1945</v>
      </c>
      <c r="Z51" t="str" cm="1">
        <f t="array" ref="Z51">_xlfn.IFS(OR(R51&gt;66, S51&gt;38), "High Engagement", OR(AND(R51&gt;32, R51&lt;=66), AND(S51&gt;19, S51&lt;=38)), "Medium-High Engagement", OR(AND(R51&gt;4, R51&lt;=32), AND(S51&gt;6, S51&lt;=19)),"Medium Engagement", TRUE, "Low Engagement"
)</f>
        <v>Low Engagement</v>
      </c>
      <c r="AA51">
        <f t="shared" si="4"/>
        <v>0.39412360688956433</v>
      </c>
    </row>
    <row r="52" spans="1:27" x14ac:dyDescent="0.35">
      <c r="A52" s="2">
        <v>4319703577</v>
      </c>
      <c r="B52" s="2" t="s">
        <v>77</v>
      </c>
      <c r="C52" s="2">
        <f>VLOOKUP(user_activity!A781,users_details!$A$1:$G$34,5,0)</f>
        <v>53</v>
      </c>
      <c r="D52" s="2" t="str" cm="1">
        <f t="array" ref="D52">_xlfn.IFS( AND(C52&gt;=18, C52&lt;=25), "Emerging Adults",  AND(C52&gt;=26, C52&lt;=35),  "Young Adults",  AND(C52&gt;=36, C52&lt;=45),  "Midlife Adults",  AND(C52&gt;=46, C52&lt;=55), "Mature Adults", C52&gt;=56,  "Older Adults", TRUE, "Age Not Mentioned")</f>
        <v>Mature Adults</v>
      </c>
      <c r="E52" s="2" t="str">
        <f>VLOOKUP(user_activity!A781,users_details!$A$1:$G$34,6,0)</f>
        <v>Harlem, Manhattan</v>
      </c>
      <c r="F52" s="2" t="str">
        <f>VLOOKUP(user_activity!A781,users_details!$A$1:$G$34,7,0)</f>
        <v>Harlem</v>
      </c>
      <c r="G52" s="2" t="s">
        <v>72</v>
      </c>
      <c r="H52" s="7">
        <v>42488</v>
      </c>
      <c r="I52" s="9" t="str">
        <f t="shared" si="0"/>
        <v>Thursday</v>
      </c>
      <c r="J52" s="9" t="str">
        <f t="shared" si="1"/>
        <v>April</v>
      </c>
      <c r="K52" s="2">
        <v>7.2800002099999999</v>
      </c>
      <c r="L52" s="2">
        <v>7.2800002099999999</v>
      </c>
      <c r="M52" s="2">
        <v>0</v>
      </c>
      <c r="N52" s="2">
        <v>1.0099999900000001</v>
      </c>
      <c r="O52" s="2">
        <v>0.33000001299999998</v>
      </c>
      <c r="P52" s="2">
        <v>5.9400000569999998</v>
      </c>
      <c r="Q52" s="2">
        <v>0</v>
      </c>
      <c r="R52" s="2">
        <v>13</v>
      </c>
      <c r="S52" s="2">
        <v>8</v>
      </c>
      <c r="T52" s="2">
        <v>359</v>
      </c>
      <c r="U52" s="2">
        <f t="shared" si="2"/>
        <v>380</v>
      </c>
      <c r="V52" s="2">
        <v>552</v>
      </c>
      <c r="W52" s="2">
        <v>10817</v>
      </c>
      <c r="X52" s="2">
        <f t="shared" si="3"/>
        <v>10817</v>
      </c>
      <c r="Y52" s="2">
        <v>2367</v>
      </c>
      <c r="Z52" t="str" cm="1">
        <f t="array" ref="Z52">_xlfn.IFS(OR(R52&gt;66, S52&gt;38), "High Engagement", OR(AND(R52&gt;32, R52&lt;=66), AND(S52&gt;19, S52&lt;=38)), "Medium-High Engagement", OR(AND(R52&gt;4, R52&lt;=32), AND(S52&gt;6, S52&lt;=19)),"Medium Engagement", TRUE, "Low Engagement"
)</f>
        <v>Medium Engagement</v>
      </c>
      <c r="AA52">
        <f t="shared" si="4"/>
        <v>0.21882222427660164</v>
      </c>
    </row>
    <row r="53" spans="1:27" x14ac:dyDescent="0.35">
      <c r="A53" s="2">
        <v>2320127002</v>
      </c>
      <c r="B53" s="2" t="s">
        <v>100</v>
      </c>
      <c r="C53" s="2">
        <f>VLOOKUP(user_activity!A784,users_details!$A$1:$G$34,5,0)</f>
        <v>53</v>
      </c>
      <c r="D53" s="2" t="str" cm="1">
        <f t="array" ref="D53">_xlfn.IFS( AND(C53&gt;=18, C53&lt;=25), "Emerging Adults",  AND(C53&gt;=26, C53&lt;=35),  "Young Adults",  AND(C53&gt;=36, C53&lt;=45),  "Midlife Adults",  AND(C53&gt;=46, C53&lt;=55), "Mature Adults", C53&gt;=56,  "Older Adults", TRUE, "Age Not Mentioned")</f>
        <v>Mature Adults</v>
      </c>
      <c r="E53" s="2" t="str">
        <f>VLOOKUP(user_activity!A784,users_details!$A$1:$G$34,6,0)</f>
        <v>Harlem, Manhattan</v>
      </c>
      <c r="F53" s="2" t="str">
        <f>VLOOKUP(user_activity!A784,users_details!$A$1:$G$34,7,0)</f>
        <v>Harlem</v>
      </c>
      <c r="G53" s="2" t="s">
        <v>72</v>
      </c>
      <c r="H53" s="7">
        <v>42473</v>
      </c>
      <c r="I53" s="9" t="str">
        <f t="shared" si="0"/>
        <v>Wednesday</v>
      </c>
      <c r="J53" s="9" t="str">
        <f t="shared" si="1"/>
        <v>April</v>
      </c>
      <c r="K53" s="2">
        <v>4.9000000950000002</v>
      </c>
      <c r="L53" s="2">
        <v>4.9000000950000002</v>
      </c>
      <c r="M53" s="2">
        <v>0</v>
      </c>
      <c r="N53" s="2">
        <v>0</v>
      </c>
      <c r="O53" s="2">
        <v>0</v>
      </c>
      <c r="P53" s="2">
        <v>4.9000000950000002</v>
      </c>
      <c r="Q53" s="2">
        <v>0</v>
      </c>
      <c r="R53" s="2">
        <v>0</v>
      </c>
      <c r="S53" s="2">
        <v>0</v>
      </c>
      <c r="T53" s="2">
        <v>335</v>
      </c>
      <c r="U53" s="2">
        <f t="shared" si="2"/>
        <v>335</v>
      </c>
      <c r="V53" s="2">
        <v>1105</v>
      </c>
      <c r="W53" s="2">
        <v>7275</v>
      </c>
      <c r="X53" s="2">
        <f t="shared" si="3"/>
        <v>7275</v>
      </c>
      <c r="Y53" s="2">
        <v>2003</v>
      </c>
      <c r="Z53" t="str" cm="1">
        <f t="array" ref="Z53">_xlfn.IFS(OR(R53&gt;66, S53&gt;38), "High Engagement", OR(AND(R53&gt;32, R53&lt;=66), AND(S53&gt;19, S53&lt;=38)), "Medium-High Engagement", OR(AND(R53&gt;4, R53&lt;=32), AND(S53&gt;6, S53&lt;=19)),"Medium Engagement", TRUE, "Low Engagement"
)</f>
        <v>Low Engagement</v>
      </c>
      <c r="AA53">
        <f t="shared" si="4"/>
        <v>0.27532646048109966</v>
      </c>
    </row>
    <row r="54" spans="1:27" x14ac:dyDescent="0.35">
      <c r="A54" s="2">
        <v>4319703577</v>
      </c>
      <c r="B54" s="2" t="s">
        <v>77</v>
      </c>
      <c r="C54" s="2">
        <f>VLOOKUP(user_activity!A797,users_details!$A$1:$G$34,5,0)</f>
        <v>54</v>
      </c>
      <c r="D54" s="2" t="str" cm="1">
        <f t="array" ref="D54">_xlfn.IFS( AND(C54&gt;=18, C54&lt;=25), "Emerging Adults",  AND(C54&gt;=26, C54&lt;=35),  "Young Adults",  AND(C54&gt;=36, C54&lt;=45),  "Midlife Adults",  AND(C54&gt;=46, C54&lt;=55), "Mature Adults", C54&gt;=56,  "Older Adults", TRUE, "Age Not Mentioned")</f>
        <v>Mature Adults</v>
      </c>
      <c r="E54" s="2" t="str">
        <f>VLOOKUP(user_activity!A797,users_details!$A$1:$G$34,6,0)</f>
        <v>Crown Heights, Brooklyn</v>
      </c>
      <c r="F54" s="2" t="str">
        <f>VLOOKUP(user_activity!A797,users_details!$A$1:$G$34,7,0)</f>
        <v>Crown Heights</v>
      </c>
      <c r="G54" s="2" t="s">
        <v>72</v>
      </c>
      <c r="H54" s="7">
        <v>42556</v>
      </c>
      <c r="I54" s="9" t="str">
        <f t="shared" si="0"/>
        <v>Tuesday</v>
      </c>
      <c r="J54" s="9" t="str">
        <f t="shared" si="1"/>
        <v>July</v>
      </c>
      <c r="K54" s="2">
        <v>5.329999924</v>
      </c>
      <c r="L54" s="2">
        <v>5.329999924</v>
      </c>
      <c r="M54" s="2">
        <v>0</v>
      </c>
      <c r="N54" s="2">
        <v>0.189999998</v>
      </c>
      <c r="O54" s="2">
        <v>1.0499999520000001</v>
      </c>
      <c r="P54" s="2">
        <v>4.079999924</v>
      </c>
      <c r="Q54" s="2">
        <v>0</v>
      </c>
      <c r="R54" s="2">
        <v>3</v>
      </c>
      <c r="S54" s="2">
        <v>28</v>
      </c>
      <c r="T54" s="2">
        <v>279</v>
      </c>
      <c r="U54" s="2">
        <f t="shared" si="2"/>
        <v>310</v>
      </c>
      <c r="V54" s="2">
        <v>586</v>
      </c>
      <c r="W54" s="2">
        <v>7937</v>
      </c>
      <c r="X54" s="2">
        <f t="shared" si="3"/>
        <v>7937</v>
      </c>
      <c r="Y54" s="2">
        <v>2158</v>
      </c>
      <c r="Z54" t="str" cm="1">
        <f t="array" ref="Z54">_xlfn.IFS(OR(R54&gt;66, S54&gt;38), "High Engagement", OR(AND(R54&gt;32, R54&lt;=66), AND(S54&gt;19, S54&lt;=38)), "Medium-High Engagement", OR(AND(R54&gt;4, R54&lt;=32), AND(S54&gt;6, S54&lt;=19)),"Medium Engagement", TRUE, "Low Engagement"
)</f>
        <v>Medium-High Engagement</v>
      </c>
      <c r="AA54">
        <f t="shared" si="4"/>
        <v>0.27189114274914955</v>
      </c>
    </row>
    <row r="55" spans="1:27" x14ac:dyDescent="0.35">
      <c r="A55" s="2">
        <v>2320127002</v>
      </c>
      <c r="B55" s="2" t="s">
        <v>100</v>
      </c>
      <c r="C55" s="2">
        <f>VLOOKUP(user_activity!A806,users_details!$A$1:$G$34,5,0)</f>
        <v>54</v>
      </c>
      <c r="D55" s="2" t="str" cm="1">
        <f t="array" ref="D55">_xlfn.IFS( AND(C55&gt;=18, C55&lt;=25), "Emerging Adults",  AND(C55&gt;=26, C55&lt;=35),  "Young Adults",  AND(C55&gt;=36, C55&lt;=45),  "Midlife Adults",  AND(C55&gt;=46, C55&lt;=55), "Mature Adults", C55&gt;=56,  "Older Adults", TRUE, "Age Not Mentioned")</f>
        <v>Mature Adults</v>
      </c>
      <c r="E55" s="2" t="str">
        <f>VLOOKUP(user_activity!A806,users_details!$A$1:$G$34,6,0)</f>
        <v>Crown Heights, Brooklyn</v>
      </c>
      <c r="F55" s="2" t="str">
        <f>VLOOKUP(user_activity!A806,users_details!$A$1:$G$34,7,0)</f>
        <v>Crown Heights</v>
      </c>
      <c r="G55" s="2" t="s">
        <v>72</v>
      </c>
      <c r="H55" s="7">
        <v>42486</v>
      </c>
      <c r="I55" s="9" t="str">
        <f t="shared" si="0"/>
        <v>Tuesday</v>
      </c>
      <c r="J55" s="9" t="str">
        <f t="shared" si="1"/>
        <v>April</v>
      </c>
      <c r="K55" s="2">
        <v>2.2999999519999998</v>
      </c>
      <c r="L55" s="2">
        <v>2.2999999519999998</v>
      </c>
      <c r="M55" s="2">
        <v>0</v>
      </c>
      <c r="N55" s="2">
        <v>0</v>
      </c>
      <c r="O55" s="2">
        <v>0</v>
      </c>
      <c r="P55" s="2">
        <v>2.2999999519999998</v>
      </c>
      <c r="Q55" s="2">
        <v>0</v>
      </c>
      <c r="R55" s="2">
        <v>0</v>
      </c>
      <c r="S55" s="2">
        <v>0</v>
      </c>
      <c r="T55" s="2">
        <v>147</v>
      </c>
      <c r="U55" s="2">
        <f t="shared" si="2"/>
        <v>147</v>
      </c>
      <c r="V55" s="2">
        <v>1293</v>
      </c>
      <c r="W55" s="2">
        <v>3409</v>
      </c>
      <c r="X55" s="2">
        <f t="shared" si="3"/>
        <v>3409</v>
      </c>
      <c r="Y55" s="2">
        <v>1632</v>
      </c>
      <c r="Z55" t="str" cm="1">
        <f t="array" ref="Z55">_xlfn.IFS(OR(R55&gt;66, S55&gt;38), "High Engagement", OR(AND(R55&gt;32, R55&lt;=66), AND(S55&gt;19, S55&lt;=38)), "Medium-High Engagement", OR(AND(R55&gt;4, R55&lt;=32), AND(S55&gt;6, S55&lt;=19)),"Medium Engagement", TRUE, "Low Engagement"
)</f>
        <v>Low Engagement</v>
      </c>
      <c r="AA55">
        <f t="shared" si="4"/>
        <v>0.47873276620709887</v>
      </c>
    </row>
    <row r="56" spans="1:27" x14ac:dyDescent="0.35">
      <c r="A56" s="2">
        <v>4319703577</v>
      </c>
      <c r="B56" s="2" t="s">
        <v>77</v>
      </c>
      <c r="C56" s="2">
        <f>VLOOKUP(user_activity!A813,users_details!$A$1:$G$34,5,0)</f>
        <v>54</v>
      </c>
      <c r="D56" s="2" t="str" cm="1">
        <f t="array" ref="D56">_xlfn.IFS( AND(C56&gt;=18, C56&lt;=25), "Emerging Adults",  AND(C56&gt;=26, C56&lt;=35),  "Young Adults",  AND(C56&gt;=36, C56&lt;=45),  "Midlife Adults",  AND(C56&gt;=46, C56&lt;=55), "Mature Adults", C56&gt;=56,  "Older Adults", TRUE, "Age Not Mentioned")</f>
        <v>Mature Adults</v>
      </c>
      <c r="E56" s="2" t="str">
        <f>VLOOKUP(user_activity!A813,users_details!$A$1:$G$34,6,0)</f>
        <v>Crown Heights, Brooklyn</v>
      </c>
      <c r="F56" s="2" t="str">
        <f>VLOOKUP(user_activity!A813,users_details!$A$1:$G$34,7,0)</f>
        <v>Crown Heights</v>
      </c>
      <c r="G56" s="2" t="s">
        <v>72</v>
      </c>
      <c r="H56" s="7">
        <v>42482</v>
      </c>
      <c r="I56" s="9" t="str">
        <f t="shared" si="0"/>
        <v>Friday</v>
      </c>
      <c r="J56" s="9" t="str">
        <f t="shared" si="1"/>
        <v>April</v>
      </c>
      <c r="K56" s="2">
        <v>3.0199999809999998</v>
      </c>
      <c r="L56" s="2">
        <v>3.0199999809999998</v>
      </c>
      <c r="M56" s="2">
        <v>0</v>
      </c>
      <c r="N56" s="2">
        <v>5.9999998999999998E-2</v>
      </c>
      <c r="O56" s="2">
        <v>0.810000002</v>
      </c>
      <c r="P56" s="2">
        <v>2.1500000950000002</v>
      </c>
      <c r="Q56" s="2">
        <v>0</v>
      </c>
      <c r="R56" s="2">
        <v>1</v>
      </c>
      <c r="S56" s="2">
        <v>19</v>
      </c>
      <c r="T56" s="2">
        <v>176</v>
      </c>
      <c r="U56" s="2">
        <f t="shared" si="2"/>
        <v>196</v>
      </c>
      <c r="V56" s="2">
        <v>709</v>
      </c>
      <c r="W56" s="2">
        <v>4500</v>
      </c>
      <c r="X56" s="2">
        <f t="shared" si="3"/>
        <v>4500</v>
      </c>
      <c r="Y56" s="2">
        <v>1886</v>
      </c>
      <c r="Z56" t="str" cm="1">
        <f t="array" ref="Z56">_xlfn.IFS(OR(R56&gt;66, S56&gt;38), "High Engagement", OR(AND(R56&gt;32, R56&lt;=66), AND(S56&gt;19, S56&lt;=38)), "Medium-High Engagement", OR(AND(R56&gt;4, R56&lt;=32), AND(S56&gt;6, S56&lt;=19)),"Medium Engagement", TRUE, "Low Engagement"
)</f>
        <v>Medium Engagement</v>
      </c>
      <c r="AA56">
        <f t="shared" si="4"/>
        <v>0.4191111111111111</v>
      </c>
    </row>
    <row r="57" spans="1:27" x14ac:dyDescent="0.35">
      <c r="A57" s="2">
        <v>2320127002</v>
      </c>
      <c r="B57" s="2" t="s">
        <v>100</v>
      </c>
      <c r="C57" s="2">
        <f>VLOOKUP(user_activity!A832,users_details!$A$1:$G$34,5,0)</f>
        <v>56</v>
      </c>
      <c r="D57" s="2" t="str" cm="1">
        <f t="array" ref="D57">_xlfn.IFS( AND(C57&gt;=18, C57&lt;=25), "Emerging Adults",  AND(C57&gt;=26, C57&lt;=35),  "Young Adults",  AND(C57&gt;=36, C57&lt;=45),  "Midlife Adults",  AND(C57&gt;=46, C57&lt;=55), "Mature Adults", C57&gt;=56,  "Older Adults", TRUE, "Age Not Mentioned")</f>
        <v>Older Adults</v>
      </c>
      <c r="E57" s="2" t="str">
        <f>VLOOKUP(user_activity!A832,users_details!$A$1:$G$34,6,0)</f>
        <v>Flatbush, Brooklyn</v>
      </c>
      <c r="F57" s="2" t="str">
        <f>VLOOKUP(user_activity!A832,users_details!$A$1:$G$34,7,0)</f>
        <v>Flatbush</v>
      </c>
      <c r="G57" s="2" t="s">
        <v>72</v>
      </c>
      <c r="H57" s="7">
        <v>42708</v>
      </c>
      <c r="I57" s="9" t="str">
        <f t="shared" si="0"/>
        <v>Sunday</v>
      </c>
      <c r="J57" s="9" t="str">
        <f t="shared" si="1"/>
        <v>December</v>
      </c>
      <c r="K57" s="2">
        <v>7.4899997709999999</v>
      </c>
      <c r="L57" s="2">
        <v>7.4899997709999999</v>
      </c>
      <c r="M57" s="2">
        <v>0</v>
      </c>
      <c r="N57" s="2">
        <v>1.1699999569999999</v>
      </c>
      <c r="O57" s="2">
        <v>0.310000002</v>
      </c>
      <c r="P57" s="2">
        <v>6.0100002290000001</v>
      </c>
      <c r="Q57" s="2">
        <v>0</v>
      </c>
      <c r="R57" s="2">
        <v>13</v>
      </c>
      <c r="S57" s="2">
        <v>9</v>
      </c>
      <c r="T57" s="2">
        <v>306</v>
      </c>
      <c r="U57" s="2">
        <f t="shared" si="2"/>
        <v>328</v>
      </c>
      <c r="V57" s="2">
        <v>1112</v>
      </c>
      <c r="W57" s="2">
        <v>10725</v>
      </c>
      <c r="X57" s="2">
        <f t="shared" si="3"/>
        <v>10725</v>
      </c>
      <c r="Y57" s="2">
        <v>2124</v>
      </c>
      <c r="Z57" t="str" cm="1">
        <f t="array" ref="Z57">_xlfn.IFS(OR(R57&gt;66, S57&gt;38), "High Engagement", OR(AND(R57&gt;32, R57&lt;=66), AND(S57&gt;19, S57&lt;=38)), "Medium-High Engagement", OR(AND(R57&gt;4, R57&lt;=32), AND(S57&gt;6, S57&lt;=19)),"Medium Engagement", TRUE, "Low Engagement"
)</f>
        <v>Medium Engagement</v>
      </c>
      <c r="AA57">
        <f t="shared" si="4"/>
        <v>0.19804195804195804</v>
      </c>
    </row>
    <row r="58" spans="1:27" x14ac:dyDescent="0.35">
      <c r="A58" s="2">
        <v>4319703577</v>
      </c>
      <c r="B58" s="2" t="s">
        <v>77</v>
      </c>
      <c r="C58" s="2">
        <f>VLOOKUP(user_activity!A852,users_details!$A$1:$G$34,5,0)</f>
        <v>58</v>
      </c>
      <c r="D58" s="2" t="str" cm="1">
        <f t="array" ref="D58">_xlfn.IFS( AND(C58&gt;=18, C58&lt;=25), "Emerging Adults",  AND(C58&gt;=26, C58&lt;=35),  "Young Adults",  AND(C58&gt;=36, C58&lt;=45),  "Midlife Adults",  AND(C58&gt;=46, C58&lt;=55), "Mature Adults", C58&gt;=56,  "Older Adults", TRUE, "Age Not Mentioned")</f>
        <v>Older Adults</v>
      </c>
      <c r="E58" s="2" t="str">
        <f>VLOOKUP(user_activity!A852,users_details!$A$1:$G$34,6,0)</f>
        <v>East Village, Manhattan</v>
      </c>
      <c r="F58" s="2" t="str">
        <f>VLOOKUP(user_activity!A852,users_details!$A$1:$G$34,7,0)</f>
        <v>East Village</v>
      </c>
      <c r="G58" s="2" t="s">
        <v>72</v>
      </c>
      <c r="H58" s="7">
        <v>42405</v>
      </c>
      <c r="I58" s="9" t="str">
        <f t="shared" si="0"/>
        <v>Friday</v>
      </c>
      <c r="J58" s="9" t="str">
        <f t="shared" si="1"/>
        <v>February</v>
      </c>
      <c r="K58" s="2">
        <v>6.2399997709999999</v>
      </c>
      <c r="L58" s="2">
        <v>6.2399997709999999</v>
      </c>
      <c r="M58" s="2">
        <v>0</v>
      </c>
      <c r="N58" s="2">
        <v>0</v>
      </c>
      <c r="O58" s="2">
        <v>0.439999998</v>
      </c>
      <c r="P58" s="2">
        <v>5.7100000380000004</v>
      </c>
      <c r="Q58" s="2">
        <v>0</v>
      </c>
      <c r="R58" s="2">
        <v>0</v>
      </c>
      <c r="S58" s="2">
        <v>11</v>
      </c>
      <c r="T58" s="2">
        <v>344</v>
      </c>
      <c r="U58" s="2">
        <f t="shared" si="2"/>
        <v>355</v>
      </c>
      <c r="V58" s="2">
        <v>585</v>
      </c>
      <c r="W58" s="2">
        <v>9261</v>
      </c>
      <c r="X58" s="2">
        <f t="shared" si="3"/>
        <v>9261</v>
      </c>
      <c r="Y58" s="2">
        <v>2270</v>
      </c>
      <c r="Z58" t="str" cm="1">
        <f t="array" ref="Z58">_xlfn.IFS(OR(R58&gt;66, S58&gt;38), "High Engagement", OR(AND(R58&gt;32, R58&lt;=66), AND(S58&gt;19, S58&lt;=38)), "Medium-High Engagement", OR(AND(R58&gt;4, R58&lt;=32), AND(S58&gt;6, S58&lt;=19)),"Medium Engagement", TRUE, "Low Engagement"
)</f>
        <v>Medium Engagement</v>
      </c>
      <c r="AA58">
        <f t="shared" si="4"/>
        <v>0.24511391858330633</v>
      </c>
    </row>
    <row r="59" spans="1:27" x14ac:dyDescent="0.35">
      <c r="A59" s="2">
        <v>4319703577</v>
      </c>
      <c r="B59" s="2" t="s">
        <v>77</v>
      </c>
      <c r="C59" s="2">
        <f>VLOOKUP(user_activity!A859,users_details!$A$1:$G$34,5,0)</f>
        <v>58</v>
      </c>
      <c r="D59" s="2" t="str" cm="1">
        <f t="array" ref="D59">_xlfn.IFS( AND(C59&gt;=18, C59&lt;=25), "Emerging Adults",  AND(C59&gt;=26, C59&lt;=35),  "Young Adults",  AND(C59&gt;=36, C59&lt;=45),  "Midlife Adults",  AND(C59&gt;=46, C59&lt;=55), "Mature Adults", C59&gt;=56,  "Older Adults", TRUE, "Age Not Mentioned")</f>
        <v>Older Adults</v>
      </c>
      <c r="E59" s="2" t="str">
        <f>VLOOKUP(user_activity!A859,users_details!$A$1:$G$34,6,0)</f>
        <v>East Village, Manhattan</v>
      </c>
      <c r="F59" s="2" t="str">
        <f>VLOOKUP(user_activity!A859,users_details!$A$1:$G$34,7,0)</f>
        <v>East Village</v>
      </c>
      <c r="G59" s="2" t="s">
        <v>72</v>
      </c>
      <c r="H59" s="7">
        <v>42480</v>
      </c>
      <c r="I59" s="9" t="str">
        <f t="shared" si="0"/>
        <v>Wednesday</v>
      </c>
      <c r="J59" s="9" t="str">
        <f t="shared" si="1"/>
        <v>April</v>
      </c>
      <c r="K59" s="2">
        <v>6.0100002290000001</v>
      </c>
      <c r="L59" s="2">
        <v>6.0100002290000001</v>
      </c>
      <c r="M59" s="2">
        <v>0</v>
      </c>
      <c r="N59" s="2">
        <v>0</v>
      </c>
      <c r="O59" s="2">
        <v>0.68000000699999996</v>
      </c>
      <c r="P59" s="2">
        <v>5.3099999430000002</v>
      </c>
      <c r="Q59" s="2">
        <v>0</v>
      </c>
      <c r="R59" s="2">
        <v>0</v>
      </c>
      <c r="S59" s="2">
        <v>18</v>
      </c>
      <c r="T59" s="2">
        <v>306</v>
      </c>
      <c r="U59" s="2">
        <f t="shared" si="2"/>
        <v>324</v>
      </c>
      <c r="V59" s="2">
        <v>671</v>
      </c>
      <c r="W59" s="2">
        <v>8954</v>
      </c>
      <c r="X59" s="2">
        <f t="shared" si="3"/>
        <v>8954</v>
      </c>
      <c r="Y59" s="2">
        <v>2220</v>
      </c>
      <c r="Z59" t="str" cm="1">
        <f t="array" ref="Z59">_xlfn.IFS(OR(R59&gt;66, S59&gt;38), "High Engagement", OR(AND(R59&gt;32, R59&lt;=66), AND(S59&gt;19, S59&lt;=38)), "Medium-High Engagement", OR(AND(R59&gt;4, R59&lt;=32), AND(S59&gt;6, S59&lt;=19)),"Medium Engagement", TRUE, "Low Engagement"
)</f>
        <v>Medium Engagement</v>
      </c>
      <c r="AA59">
        <f t="shared" si="4"/>
        <v>0.24793388429752067</v>
      </c>
    </row>
    <row r="60" spans="1:27" x14ac:dyDescent="0.35">
      <c r="A60" s="2">
        <v>2320127002</v>
      </c>
      <c r="B60" s="2" t="s">
        <v>100</v>
      </c>
      <c r="C60" s="2">
        <f>VLOOKUP(user_activity!A876,users_details!$A$1:$G$34,5,0)</f>
        <v>58</v>
      </c>
      <c r="D60" s="2" t="str" cm="1">
        <f t="array" ref="D60">_xlfn.IFS( AND(C60&gt;=18, C60&lt;=25), "Emerging Adults",  AND(C60&gt;=26, C60&lt;=35),  "Young Adults",  AND(C60&gt;=36, C60&lt;=45),  "Midlife Adults",  AND(C60&gt;=46, C60&lt;=55), "Mature Adults", C60&gt;=56,  "Older Adults", TRUE, "Age Not Mentioned")</f>
        <v>Older Adults</v>
      </c>
      <c r="E60" s="2" t="str">
        <f>VLOOKUP(user_activity!A876,users_details!$A$1:$G$34,6,0)</f>
        <v>East Village, Manhattan</v>
      </c>
      <c r="F60" s="2" t="str">
        <f>VLOOKUP(user_activity!A876,users_details!$A$1:$G$34,7,0)</f>
        <v>East Village</v>
      </c>
      <c r="G60" s="2" t="s">
        <v>72</v>
      </c>
      <c r="H60" s="7">
        <v>42556</v>
      </c>
      <c r="I60" s="9" t="str">
        <f t="shared" si="0"/>
        <v>Tuesday</v>
      </c>
      <c r="J60" s="9" t="str">
        <f t="shared" si="1"/>
        <v>July</v>
      </c>
      <c r="K60" s="2">
        <v>4.9699997900000001</v>
      </c>
      <c r="L60" s="2">
        <v>4.9699997900000001</v>
      </c>
      <c r="M60" s="2">
        <v>0</v>
      </c>
      <c r="N60" s="2">
        <v>0</v>
      </c>
      <c r="O60" s="2">
        <v>0</v>
      </c>
      <c r="P60" s="2">
        <v>4.9699997900000001</v>
      </c>
      <c r="Q60" s="2">
        <v>0</v>
      </c>
      <c r="R60" s="2">
        <v>0</v>
      </c>
      <c r="S60" s="2">
        <v>0</v>
      </c>
      <c r="T60" s="2">
        <v>319</v>
      </c>
      <c r="U60" s="2">
        <f t="shared" si="2"/>
        <v>319</v>
      </c>
      <c r="V60" s="2">
        <v>1121</v>
      </c>
      <c r="W60" s="2">
        <v>7379</v>
      </c>
      <c r="X60" s="2">
        <f t="shared" si="3"/>
        <v>7379</v>
      </c>
      <c r="Y60" s="2">
        <v>1972</v>
      </c>
      <c r="Z60" t="str" cm="1">
        <f t="array" ref="Z60">_xlfn.IFS(OR(R60&gt;66, S60&gt;38), "High Engagement", OR(AND(R60&gt;32, R60&lt;=66), AND(S60&gt;19, S60&lt;=38)), "Medium-High Engagement", OR(AND(R60&gt;4, R60&lt;=32), AND(S60&gt;6, S60&lt;=19)),"Medium Engagement", TRUE, "Low Engagement"
)</f>
        <v>Low Engagement</v>
      </c>
      <c r="AA60">
        <f t="shared" si="4"/>
        <v>0.26724488413064101</v>
      </c>
    </row>
    <row r="61" spans="1:27" x14ac:dyDescent="0.35">
      <c r="A61" s="2">
        <v>4319703577</v>
      </c>
      <c r="B61" s="2" t="s">
        <v>77</v>
      </c>
      <c r="C61" s="2">
        <f>VLOOKUP(user_activity!A880,users_details!$A$1:$G$34,5,0)</f>
        <v>58</v>
      </c>
      <c r="D61" s="2" t="str" cm="1">
        <f t="array" ref="D61">_xlfn.IFS( AND(C61&gt;=18, C61&lt;=25), "Emerging Adults",  AND(C61&gt;=26, C61&lt;=35),  "Young Adults",  AND(C61&gt;=36, C61&lt;=45),  "Midlife Adults",  AND(C61&gt;=46, C61&lt;=55), "Mature Adults", C61&gt;=56,  "Older Adults", TRUE, "Age Not Mentioned")</f>
        <v>Older Adults</v>
      </c>
      <c r="E61" s="2" t="str">
        <f>VLOOKUP(user_activity!A880,users_details!$A$1:$G$34,6,0)</f>
        <v>East Village, Manhattan</v>
      </c>
      <c r="F61" s="2" t="str">
        <f>VLOOKUP(user_activity!A880,users_details!$A$1:$G$34,7,0)</f>
        <v>East Village</v>
      </c>
      <c r="G61" s="2" t="s">
        <v>72</v>
      </c>
      <c r="H61" s="7">
        <v>42478</v>
      </c>
      <c r="I61" s="9" t="str">
        <f t="shared" si="0"/>
        <v>Monday</v>
      </c>
      <c r="J61" s="9" t="str">
        <f t="shared" si="1"/>
        <v>April</v>
      </c>
      <c r="K61" s="2">
        <v>1.5499999520000001</v>
      </c>
      <c r="L61" s="2">
        <v>1.5499999520000001</v>
      </c>
      <c r="M61" s="2">
        <v>0</v>
      </c>
      <c r="N61" s="2">
        <v>7.0000000000000007E-2</v>
      </c>
      <c r="O61" s="2">
        <v>0.33000001299999998</v>
      </c>
      <c r="P61" s="2">
        <v>1.1200000050000001</v>
      </c>
      <c r="Q61" s="2">
        <v>0</v>
      </c>
      <c r="R61" s="2">
        <v>1</v>
      </c>
      <c r="S61" s="2">
        <v>9</v>
      </c>
      <c r="T61" s="2">
        <v>58</v>
      </c>
      <c r="U61" s="2">
        <f t="shared" si="2"/>
        <v>68</v>
      </c>
      <c r="V61" s="2">
        <v>824</v>
      </c>
      <c r="W61" s="2">
        <v>2276</v>
      </c>
      <c r="X61" s="2">
        <f t="shared" si="3"/>
        <v>2276</v>
      </c>
      <c r="Y61" s="2">
        <v>1632</v>
      </c>
      <c r="Z61" t="str" cm="1">
        <f t="array" ref="Z61">_xlfn.IFS(OR(R61&gt;66, S61&gt;38), "High Engagement", OR(AND(R61&gt;32, R61&lt;=66), AND(S61&gt;19, S61&lt;=38)), "Medium-High Engagement", OR(AND(R61&gt;4, R61&lt;=32), AND(S61&gt;6, S61&lt;=19)),"Medium Engagement", TRUE, "Low Engagement"
)</f>
        <v>Medium Engagement</v>
      </c>
      <c r="AA61">
        <f t="shared" si="4"/>
        <v>0.71704745166959583</v>
      </c>
    </row>
    <row r="62" spans="1:27" x14ac:dyDescent="0.35">
      <c r="A62" s="2">
        <v>2320127002</v>
      </c>
      <c r="B62" s="2" t="s">
        <v>100</v>
      </c>
      <c r="C62" s="2">
        <f>VLOOKUP(user_activity!A891,users_details!$A$1:$G$34,5,0)</f>
        <v>59</v>
      </c>
      <c r="D62" s="2" t="str" cm="1">
        <f t="array" ref="D62">_xlfn.IFS( AND(C62&gt;=18, C62&lt;=25), "Emerging Adults",  AND(C62&gt;=26, C62&lt;=35),  "Young Adults",  AND(C62&gt;=36, C62&lt;=45),  "Midlife Adults",  AND(C62&gt;=46, C62&lt;=55), "Mature Adults", C62&gt;=56,  "Older Adults", TRUE, "Age Not Mentioned")</f>
        <v>Older Adults</v>
      </c>
      <c r="E62" s="2" t="str">
        <f>VLOOKUP(user_activity!A891,users_details!$A$1:$G$34,6,0)</f>
        <v>Upper West Side, Manhattan</v>
      </c>
      <c r="F62" s="2" t="str">
        <f>VLOOKUP(user_activity!A891,users_details!$A$1:$G$34,7,0)</f>
        <v>Upper West Side</v>
      </c>
      <c r="G62" s="2" t="s">
        <v>72</v>
      </c>
      <c r="H62" s="7">
        <v>42618</v>
      </c>
      <c r="I62" s="9" t="str">
        <f t="shared" si="0"/>
        <v>Monday</v>
      </c>
      <c r="J62" s="9" t="str">
        <f t="shared" si="1"/>
        <v>September</v>
      </c>
      <c r="K62" s="2">
        <v>2.079999924</v>
      </c>
      <c r="L62" s="2">
        <v>2.079999924</v>
      </c>
      <c r="M62" s="2">
        <v>0</v>
      </c>
      <c r="N62" s="2">
        <v>0</v>
      </c>
      <c r="O62" s="2">
        <v>0</v>
      </c>
      <c r="P62" s="2">
        <v>2.079999924</v>
      </c>
      <c r="Q62" s="2">
        <v>0</v>
      </c>
      <c r="R62" s="2">
        <v>0</v>
      </c>
      <c r="S62" s="2">
        <v>0</v>
      </c>
      <c r="T62" s="2">
        <v>145</v>
      </c>
      <c r="U62" s="2">
        <f t="shared" si="2"/>
        <v>145</v>
      </c>
      <c r="V62" s="2">
        <v>1295</v>
      </c>
      <c r="W62" s="2">
        <v>3090</v>
      </c>
      <c r="X62" s="2">
        <f t="shared" si="3"/>
        <v>3090</v>
      </c>
      <c r="Y62" s="2">
        <v>1630</v>
      </c>
      <c r="Z62" t="str" cm="1">
        <f t="array" ref="Z62">_xlfn.IFS(OR(R62&gt;66, S62&gt;38), "High Engagement", OR(AND(R62&gt;32, R62&lt;=66), AND(S62&gt;19, S62&lt;=38)), "Medium-High Engagement", OR(AND(R62&gt;4, R62&lt;=32), AND(S62&gt;6, S62&lt;=19)),"Medium Engagement", TRUE, "Low Engagement"
)</f>
        <v>Low Engagement</v>
      </c>
      <c r="AA62">
        <f t="shared" si="4"/>
        <v>0.52750809061488668</v>
      </c>
    </row>
    <row r="63" spans="1:27" x14ac:dyDescent="0.35">
      <c r="A63" s="2">
        <v>4319703577</v>
      </c>
      <c r="B63" s="2" t="s">
        <v>77</v>
      </c>
      <c r="C63" s="2">
        <f>VLOOKUP(user_activity!A914,users_details!$A$1:$G$34,5,0)</f>
        <v>60</v>
      </c>
      <c r="D63" s="2" t="str" cm="1">
        <f t="array" ref="D63">_xlfn.IFS( AND(C63&gt;=18, C63&lt;=25), "Emerging Adults",  AND(C63&gt;=26, C63&lt;=35),  "Young Adults",  AND(C63&gt;=36, C63&lt;=45),  "Midlife Adults",  AND(C63&gt;=46, C63&lt;=55), "Mature Adults", C63&gt;=56,  "Older Adults", TRUE, "Age Not Mentioned")</f>
        <v>Older Adults</v>
      </c>
      <c r="E63" s="2" t="str">
        <f>VLOOKUP(user_activity!A914,users_details!$A$1:$G$34,6,0)</f>
        <v>East Village, Manhattan</v>
      </c>
      <c r="F63" s="2" t="str">
        <f>VLOOKUP(user_activity!A914,users_details!$A$1:$G$34,7,0)</f>
        <v>East Village</v>
      </c>
      <c r="G63" s="2" t="s">
        <v>72</v>
      </c>
      <c r="H63" s="7">
        <v>42476</v>
      </c>
      <c r="I63" s="9" t="str">
        <f t="shared" si="0"/>
        <v>Saturday</v>
      </c>
      <c r="J63" s="9" t="str">
        <f t="shared" si="1"/>
        <v>April</v>
      </c>
      <c r="K63" s="2">
        <v>3.1800000669999999</v>
      </c>
      <c r="L63" s="2">
        <v>3.1800000669999999</v>
      </c>
      <c r="M63" s="2">
        <v>0</v>
      </c>
      <c r="N63" s="2">
        <v>0</v>
      </c>
      <c r="O63" s="2">
        <v>0</v>
      </c>
      <c r="P63" s="2">
        <v>3.1800000669999999</v>
      </c>
      <c r="Q63" s="2">
        <v>0</v>
      </c>
      <c r="R63" s="2">
        <v>0</v>
      </c>
      <c r="S63" s="2">
        <v>0</v>
      </c>
      <c r="T63" s="2">
        <v>194</v>
      </c>
      <c r="U63" s="2">
        <f t="shared" si="2"/>
        <v>194</v>
      </c>
      <c r="V63" s="2">
        <v>724</v>
      </c>
      <c r="W63" s="2">
        <v>4744</v>
      </c>
      <c r="X63" s="2">
        <f t="shared" si="3"/>
        <v>4744</v>
      </c>
      <c r="Y63" s="2">
        <v>1884</v>
      </c>
      <c r="Z63" t="str" cm="1">
        <f t="array" ref="Z63">_xlfn.IFS(OR(R63&gt;66, S63&gt;38), "High Engagement", OR(AND(R63&gt;32, R63&lt;=66), AND(S63&gt;19, S63&lt;=38)), "Medium-High Engagement", OR(AND(R63&gt;4, R63&lt;=32), AND(S63&gt;6, S63&lt;=19)),"Medium Engagement", TRUE, "Low Engagement"
)</f>
        <v>Low Engagement</v>
      </c>
      <c r="AA63">
        <f t="shared" si="4"/>
        <v>0.39713322091062392</v>
      </c>
    </row>
    <row r="64" spans="1:27" x14ac:dyDescent="0.35">
      <c r="A64" s="2">
        <v>1624580081</v>
      </c>
      <c r="B64" s="2" t="s">
        <v>87</v>
      </c>
      <c r="C64" s="2">
        <f>VLOOKUP(user_activity!A24,users_details!$A$1:$G$34,5,0)</f>
        <v>18</v>
      </c>
      <c r="D64" s="2" t="str" cm="1">
        <f t="array" ref="D64">_xlfn.IFS( AND(C64&gt;=18, C64&lt;=25), "Emerging Adults",  AND(C64&gt;=26, C64&lt;=35),  "Young Adults",  AND(C64&gt;=36, C64&lt;=45),  "Midlife Adults",  AND(C64&gt;=46, C64&lt;=55), "Mature Adults", C64&gt;=56,  "Older Adults", TRUE, "Age Not Mentioned")</f>
        <v>Emerging Adults</v>
      </c>
      <c r="E64" s="2" t="str">
        <f>VLOOKUP(user_activity!A24,users_details!$A$1:$G$34,6,0)</f>
        <v>Upper West Side, Manhattan</v>
      </c>
      <c r="F64" s="2" t="str">
        <f>VLOOKUP(user_activity!A24,users_details!$A$1:$G$34,7,0)</f>
        <v>Upper West Side</v>
      </c>
      <c r="G64" s="2" t="s">
        <v>71</v>
      </c>
      <c r="H64" s="7">
        <v>42480</v>
      </c>
      <c r="I64" s="9" t="str">
        <f t="shared" si="0"/>
        <v>Wednesday</v>
      </c>
      <c r="J64" s="9" t="str">
        <f t="shared" si="1"/>
        <v>April</v>
      </c>
      <c r="K64" s="2">
        <v>3.2300000190000002</v>
      </c>
      <c r="L64" s="2">
        <v>3.2300000190000002</v>
      </c>
      <c r="M64" s="2">
        <v>0</v>
      </c>
      <c r="N64" s="2">
        <v>0</v>
      </c>
      <c r="O64" s="2">
        <v>0</v>
      </c>
      <c r="P64" s="2">
        <v>3.2300000190000002</v>
      </c>
      <c r="Q64" s="2">
        <v>0</v>
      </c>
      <c r="R64" s="2">
        <v>0</v>
      </c>
      <c r="S64" s="2">
        <v>0</v>
      </c>
      <c r="T64" s="2">
        <v>151</v>
      </c>
      <c r="U64" s="2">
        <f t="shared" si="2"/>
        <v>151</v>
      </c>
      <c r="V64" s="2">
        <v>1289</v>
      </c>
      <c r="W64" s="2">
        <v>4974</v>
      </c>
      <c r="X64" s="2">
        <f t="shared" si="3"/>
        <v>4974</v>
      </c>
      <c r="Y64" s="2">
        <v>1446</v>
      </c>
      <c r="Z64" t="str" cm="1">
        <f t="array" ref="Z64">_xlfn.IFS(OR(R64&gt;66, S64&gt;38), "High Engagement", OR(AND(R64&gt;32, R64&lt;=66), AND(S64&gt;19, S64&lt;=38)), "Medium-High Engagement", OR(AND(R64&gt;4, R64&lt;=32), AND(S64&gt;6, S64&lt;=19)),"Medium Engagement", TRUE, "Low Engagement"
)</f>
        <v>Low Engagement</v>
      </c>
      <c r="AA64">
        <f t="shared" si="4"/>
        <v>0.29071170084439085</v>
      </c>
    </row>
    <row r="65" spans="1:27" x14ac:dyDescent="0.35">
      <c r="A65" s="2">
        <v>1624580081</v>
      </c>
      <c r="B65" s="2" t="s">
        <v>87</v>
      </c>
      <c r="C65" s="2">
        <f>VLOOKUP(user_activity!A85,users_details!$A$1:$G$34,5,0)</f>
        <v>21</v>
      </c>
      <c r="D65" s="2" t="str" cm="1">
        <f t="array" ref="D65">_xlfn.IFS( AND(C65&gt;=18, C65&lt;=25), "Emerging Adults",  AND(C65&gt;=26, C65&lt;=35),  "Young Adults",  AND(C65&gt;=36, C65&lt;=45),  "Midlife Adults",  AND(C65&gt;=46, C65&lt;=55), "Mature Adults", C65&gt;=56,  "Older Adults", TRUE, "Age Not Mentioned")</f>
        <v>Emerging Adults</v>
      </c>
      <c r="E65" s="2" t="str">
        <f>VLOOKUP(user_activity!A85,users_details!$A$1:$G$34,6,0)</f>
        <v>Bushwick, Brooklyn</v>
      </c>
      <c r="F65" s="2" t="str">
        <f>VLOOKUP(user_activity!A85,users_details!$A$1:$G$34,7,0)</f>
        <v>Bushwick</v>
      </c>
      <c r="G65" s="2" t="s">
        <v>71</v>
      </c>
      <c r="H65" s="7">
        <v>42485</v>
      </c>
      <c r="I65" s="9" t="str">
        <f t="shared" si="0"/>
        <v>Monday</v>
      </c>
      <c r="J65" s="9" t="str">
        <f t="shared" si="1"/>
        <v>April</v>
      </c>
      <c r="K65" s="2">
        <v>4.2199997900000001</v>
      </c>
      <c r="L65" s="2">
        <v>4.2199997900000001</v>
      </c>
      <c r="M65" s="2">
        <v>0</v>
      </c>
      <c r="N65" s="2">
        <v>0</v>
      </c>
      <c r="O65" s="2">
        <v>0</v>
      </c>
      <c r="P65" s="2">
        <v>4.1999998090000004</v>
      </c>
      <c r="Q65" s="2">
        <v>0.02</v>
      </c>
      <c r="R65" s="2">
        <v>0</v>
      </c>
      <c r="S65" s="2">
        <v>0</v>
      </c>
      <c r="T65" s="2">
        <v>202</v>
      </c>
      <c r="U65" s="2">
        <f t="shared" si="2"/>
        <v>202</v>
      </c>
      <c r="V65" s="2">
        <v>1238</v>
      </c>
      <c r="W65" s="2">
        <v>6497</v>
      </c>
      <c r="X65" s="2">
        <f t="shared" si="3"/>
        <v>6497</v>
      </c>
      <c r="Y65" s="2">
        <v>1492</v>
      </c>
      <c r="Z65" t="str" cm="1">
        <f t="array" ref="Z65">_xlfn.IFS(OR(R65&gt;66, S65&gt;38), "High Engagement", OR(AND(R65&gt;32, R65&lt;=66), AND(S65&gt;19, S65&lt;=38)), "Medium-High Engagement", OR(AND(R65&gt;4, R65&lt;=32), AND(S65&gt;6, S65&lt;=19)),"Medium Engagement", TRUE, "Low Engagement"
)</f>
        <v>Low Engagement</v>
      </c>
      <c r="AA65">
        <f t="shared" si="4"/>
        <v>0.22964445128520855</v>
      </c>
    </row>
    <row r="66" spans="1:27" x14ac:dyDescent="0.35">
      <c r="A66" s="2">
        <v>1624580081</v>
      </c>
      <c r="B66" s="2" t="s">
        <v>87</v>
      </c>
      <c r="C66" s="2">
        <f>VLOOKUP(user_activity!A104,users_details!$A$1:$G$34,5,0)</f>
        <v>22</v>
      </c>
      <c r="D66" s="2" t="str" cm="1">
        <f t="array" ref="D66">_xlfn.IFS( AND(C66&gt;=18, C66&lt;=25), "Emerging Adults",  AND(C66&gt;=26, C66&lt;=35),  "Young Adults",  AND(C66&gt;=36, C66&lt;=45),  "Midlife Adults",  AND(C66&gt;=46, C66&lt;=55), "Mature Adults", C66&gt;=56,  "Older Adults", TRUE, "Age Not Mentioned")</f>
        <v>Emerging Adults</v>
      </c>
      <c r="E66" s="2" t="str">
        <f>VLOOKUP(user_activity!A104,users_details!$A$1:$G$34,6,0)</f>
        <v>Washington Heights, Manhattan</v>
      </c>
      <c r="F66" s="2" t="str">
        <f>VLOOKUP(user_activity!A104,users_details!$A$1:$G$34,7,0)</f>
        <v>Washington Heights</v>
      </c>
      <c r="G66" s="2" t="s">
        <v>71</v>
      </c>
      <c r="H66" s="7">
        <v>42679</v>
      </c>
      <c r="I66" s="9" t="str">
        <f t="shared" ref="I66:I129" si="5">TEXT(H66, "dddd")</f>
        <v>Saturday</v>
      </c>
      <c r="J66" s="9" t="str">
        <f t="shared" ref="J66:J129" si="6">TEXT(H66, "mmmm")</f>
        <v>November</v>
      </c>
      <c r="K66" s="2">
        <v>2.039999962</v>
      </c>
      <c r="L66" s="2">
        <v>2.039999962</v>
      </c>
      <c r="M66" s="2">
        <v>0</v>
      </c>
      <c r="N66" s="2">
        <v>0</v>
      </c>
      <c r="O66" s="2">
        <v>0</v>
      </c>
      <c r="P66" s="2">
        <v>2.039999962</v>
      </c>
      <c r="Q66" s="2">
        <v>0</v>
      </c>
      <c r="R66" s="2">
        <v>0</v>
      </c>
      <c r="S66" s="2">
        <v>0</v>
      </c>
      <c r="T66" s="2">
        <v>112</v>
      </c>
      <c r="U66" s="2">
        <f t="shared" ref="U66:U129" si="7">R66+S66+T66</f>
        <v>112</v>
      </c>
      <c r="V66" s="2">
        <v>1328</v>
      </c>
      <c r="W66" s="2">
        <v>3134</v>
      </c>
      <c r="X66" s="2">
        <f t="shared" ref="X66:X129" si="8">IF(W66=0,MEDIAN($W$2:$W$941),W66)</f>
        <v>3134</v>
      </c>
      <c r="Y66" s="2">
        <v>1359</v>
      </c>
      <c r="Z66" t="str" cm="1">
        <f t="array" ref="Z66">_xlfn.IFS(OR(R66&gt;66, S66&gt;38), "High Engagement", OR(AND(R66&gt;32, R66&lt;=66), AND(S66&gt;19, S66&lt;=38)), "Medium-High Engagement", OR(AND(R66&gt;4, R66&lt;=32), AND(S66&gt;6, S66&lt;=19)),"Medium Engagement", TRUE, "Low Engagement"
)</f>
        <v>Low Engagement</v>
      </c>
      <c r="AA66">
        <f t="shared" si="4"/>
        <v>0.43363114231014677</v>
      </c>
    </row>
    <row r="67" spans="1:27" x14ac:dyDescent="0.35">
      <c r="A67" s="2">
        <v>1624580081</v>
      </c>
      <c r="B67" s="2" t="s">
        <v>87</v>
      </c>
      <c r="C67" s="2">
        <f>VLOOKUP(user_activity!A169,users_details!$A$1:$G$34,5,0)</f>
        <v>23</v>
      </c>
      <c r="D67" s="2" t="str" cm="1">
        <f t="array" ref="D67">_xlfn.IFS( AND(C67&gt;=18, C67&lt;=25), "Emerging Adults",  AND(C67&gt;=26, C67&lt;=35),  "Young Adults",  AND(C67&gt;=36, C67&lt;=45),  "Midlife Adults",  AND(C67&gt;=46, C67&lt;=55), "Mature Adults", C67&gt;=56,  "Older Adults", TRUE, "Age Not Mentioned")</f>
        <v>Emerging Adults</v>
      </c>
      <c r="E67" s="2" t="str">
        <f>VLOOKUP(user_activity!A169,users_details!$A$1:$G$34,6,0)</f>
        <v>Washington Heights, Manhattan</v>
      </c>
      <c r="F67" s="2" t="str">
        <f>VLOOKUP(user_activity!A169,users_details!$A$1:$G$34,7,0)</f>
        <v>Washington Heights</v>
      </c>
      <c r="G67" s="2" t="s">
        <v>71</v>
      </c>
      <c r="H67" s="7">
        <v>42490</v>
      </c>
      <c r="I67" s="9" t="str">
        <f t="shared" si="5"/>
        <v>Saturday</v>
      </c>
      <c r="J67" s="9" t="str">
        <f t="shared" si="6"/>
        <v>April</v>
      </c>
      <c r="K67" s="2">
        <v>4.3000001909999996</v>
      </c>
      <c r="L67" s="2">
        <v>4.3000001909999996</v>
      </c>
      <c r="M67" s="2">
        <v>0</v>
      </c>
      <c r="N67" s="2">
        <v>0.89999997600000003</v>
      </c>
      <c r="O67" s="2">
        <v>1.2799999710000001</v>
      </c>
      <c r="P67" s="2">
        <v>2.119999886</v>
      </c>
      <c r="Q67" s="2">
        <v>0.01</v>
      </c>
      <c r="R67" s="2">
        <v>11</v>
      </c>
      <c r="S67" s="2">
        <v>23</v>
      </c>
      <c r="T67" s="2">
        <v>224</v>
      </c>
      <c r="U67" s="2">
        <f t="shared" si="7"/>
        <v>258</v>
      </c>
      <c r="V67" s="2">
        <v>1182</v>
      </c>
      <c r="W67" s="2">
        <v>6474</v>
      </c>
      <c r="X67" s="2">
        <f t="shared" si="8"/>
        <v>6474</v>
      </c>
      <c r="Y67" s="2">
        <v>1655</v>
      </c>
      <c r="Z67" t="str" cm="1">
        <f t="array" ref="Z67">_xlfn.IFS(OR(R67&gt;66, S67&gt;38), "High Engagement", OR(AND(R67&gt;32, R67&lt;=66), AND(S67&gt;19, S67&lt;=38)), "Medium-High Engagement", OR(AND(R67&gt;4, R67&lt;=32), AND(S67&gt;6, S67&lt;=19)),"Medium Engagement", TRUE, "Low Engagement"
)</f>
        <v>Medium-High Engagement</v>
      </c>
      <c r="AA67">
        <f t="shared" ref="AA67:AA130" si="9">IF(W67&gt;0, Y67/W67, 0)</f>
        <v>0.25563793636082793</v>
      </c>
    </row>
    <row r="68" spans="1:27" x14ac:dyDescent="0.35">
      <c r="A68" s="2">
        <v>1624580081</v>
      </c>
      <c r="B68" s="2" t="s">
        <v>87</v>
      </c>
      <c r="C68" s="2">
        <f>VLOOKUP(user_activity!A179,users_details!$A$1:$G$34,5,0)</f>
        <v>23</v>
      </c>
      <c r="D68" s="2" t="str" cm="1">
        <f t="array" ref="D68">_xlfn.IFS( AND(C68&gt;=18, C68&lt;=25), "Emerging Adults",  AND(C68&gt;=26, C68&lt;=35),  "Young Adults",  AND(C68&gt;=36, C68&lt;=45),  "Midlife Adults",  AND(C68&gt;=46, C68&lt;=55), "Mature Adults", C68&gt;=56,  "Older Adults", TRUE, "Age Not Mentioned")</f>
        <v>Emerging Adults</v>
      </c>
      <c r="E68" s="2" t="str">
        <f>VLOOKUP(user_activity!A179,users_details!$A$1:$G$34,6,0)</f>
        <v>Washington Heights, Manhattan</v>
      </c>
      <c r="F68" s="2" t="str">
        <f>VLOOKUP(user_activity!A179,users_details!$A$1:$G$34,7,0)</f>
        <v>Washington Heights</v>
      </c>
      <c r="G68" s="2" t="s">
        <v>71</v>
      </c>
      <c r="H68" s="7">
        <v>42474</v>
      </c>
      <c r="I68" s="9" t="str">
        <f t="shared" si="5"/>
        <v>Thursday</v>
      </c>
      <c r="J68" s="9" t="str">
        <f t="shared" si="6"/>
        <v>April</v>
      </c>
      <c r="K68" s="2">
        <v>5.920000076</v>
      </c>
      <c r="L68" s="2">
        <v>5.920000076</v>
      </c>
      <c r="M68" s="2">
        <v>0</v>
      </c>
      <c r="N68" s="2">
        <v>0</v>
      </c>
      <c r="O68" s="2">
        <v>0</v>
      </c>
      <c r="P68" s="2">
        <v>5.9099998469999999</v>
      </c>
      <c r="Q68" s="2">
        <v>0.01</v>
      </c>
      <c r="R68" s="2">
        <v>0</v>
      </c>
      <c r="S68" s="2">
        <v>0</v>
      </c>
      <c r="T68" s="2">
        <v>236</v>
      </c>
      <c r="U68" s="2">
        <f t="shared" si="7"/>
        <v>236</v>
      </c>
      <c r="V68" s="2">
        <v>1204</v>
      </c>
      <c r="W68" s="2">
        <v>9107</v>
      </c>
      <c r="X68" s="2">
        <f t="shared" si="8"/>
        <v>9107</v>
      </c>
      <c r="Y68" s="2">
        <v>1572</v>
      </c>
      <c r="Z68" t="str" cm="1">
        <f t="array" ref="Z68">_xlfn.IFS(OR(R68&gt;66, S68&gt;38), "High Engagement", OR(AND(R68&gt;32, R68&lt;=66), AND(S68&gt;19, S68&lt;=38)), "Medium-High Engagement", OR(AND(R68&gt;4, R68&lt;=32), AND(S68&gt;6, S68&lt;=19)),"Medium Engagement", TRUE, "Low Engagement"
)</f>
        <v>Low Engagement</v>
      </c>
      <c r="AA68">
        <f t="shared" si="9"/>
        <v>0.17261447238388053</v>
      </c>
    </row>
    <row r="69" spans="1:27" x14ac:dyDescent="0.35">
      <c r="A69" s="2">
        <v>1624580081</v>
      </c>
      <c r="B69" s="2" t="s">
        <v>87</v>
      </c>
      <c r="C69" s="2">
        <f>VLOOKUP(user_activity!A180,users_details!$A$1:$G$34,5,0)</f>
        <v>23</v>
      </c>
      <c r="D69" s="2" t="str" cm="1">
        <f t="array" ref="D69">_xlfn.IFS( AND(C69&gt;=18, C69&lt;=25), "Emerging Adults",  AND(C69&gt;=26, C69&lt;=35),  "Young Adults",  AND(C69&gt;=36, C69&lt;=45),  "Midlife Adults",  AND(C69&gt;=46, C69&lt;=55), "Mature Adults", C69&gt;=56,  "Older Adults", TRUE, "Age Not Mentioned")</f>
        <v>Emerging Adults</v>
      </c>
      <c r="E69" s="2" t="str">
        <f>VLOOKUP(user_activity!A180,users_details!$A$1:$G$34,6,0)</f>
        <v>Crown Heights, Brooklyn</v>
      </c>
      <c r="F69" s="2" t="str">
        <f>VLOOKUP(user_activity!A180,users_details!$A$1:$G$34,7,0)</f>
        <v>Crown Heights</v>
      </c>
      <c r="G69" s="2" t="s">
        <v>71</v>
      </c>
      <c r="H69" s="7">
        <v>42708</v>
      </c>
      <c r="I69" s="9" t="str">
        <f t="shared" si="5"/>
        <v>Sunday</v>
      </c>
      <c r="J69" s="9" t="str">
        <f t="shared" si="6"/>
        <v>December</v>
      </c>
      <c r="K69" s="2">
        <v>5.3099999430000002</v>
      </c>
      <c r="L69" s="2">
        <v>5.3099999430000002</v>
      </c>
      <c r="M69" s="2">
        <v>0</v>
      </c>
      <c r="N69" s="2">
        <v>0</v>
      </c>
      <c r="O69" s="2">
        <v>0</v>
      </c>
      <c r="P69" s="2">
        <v>5.3099999430000002</v>
      </c>
      <c r="Q69" s="2">
        <v>0</v>
      </c>
      <c r="R69" s="2">
        <v>0</v>
      </c>
      <c r="S69" s="2">
        <v>0</v>
      </c>
      <c r="T69" s="2">
        <v>146</v>
      </c>
      <c r="U69" s="2">
        <f t="shared" si="7"/>
        <v>146</v>
      </c>
      <c r="V69" s="2">
        <v>1294</v>
      </c>
      <c r="W69" s="2">
        <v>8163</v>
      </c>
      <c r="X69" s="2">
        <f t="shared" si="8"/>
        <v>8163</v>
      </c>
      <c r="Y69" s="2">
        <v>1432</v>
      </c>
      <c r="Z69" t="str" cm="1">
        <f t="array" ref="Z69">_xlfn.IFS(OR(R69&gt;66, S69&gt;38), "High Engagement", OR(AND(R69&gt;32, R69&lt;=66), AND(S69&gt;19, S69&lt;=38)), "Medium-High Engagement", OR(AND(R69&gt;4, R69&lt;=32), AND(S69&gt;6, S69&lt;=19)),"Medium Engagement", TRUE, "Low Engagement"
)</f>
        <v>Low Engagement</v>
      </c>
      <c r="AA69">
        <f t="shared" si="9"/>
        <v>0.17542570133529339</v>
      </c>
    </row>
    <row r="70" spans="1:27" x14ac:dyDescent="0.35">
      <c r="A70" s="2">
        <v>1624580081</v>
      </c>
      <c r="B70" s="2" t="s">
        <v>87</v>
      </c>
      <c r="C70" s="2">
        <f>VLOOKUP(user_activity!A201,users_details!$A$1:$G$34,5,0)</f>
        <v>23</v>
      </c>
      <c r="D70" s="2" t="str" cm="1">
        <f t="array" ref="D70">_xlfn.IFS( AND(C70&gt;=18, C70&lt;=25), "Emerging Adults",  AND(C70&gt;=26, C70&lt;=35),  "Young Adults",  AND(C70&gt;=36, C70&lt;=45),  "Midlife Adults",  AND(C70&gt;=46, C70&lt;=55), "Mature Adults", C70&gt;=56,  "Older Adults", TRUE, "Age Not Mentioned")</f>
        <v>Emerging Adults</v>
      </c>
      <c r="E70" s="2" t="str">
        <f>VLOOKUP(user_activity!A201,users_details!$A$1:$G$34,6,0)</f>
        <v>Washington Heights, Manhattan</v>
      </c>
      <c r="F70" s="2" t="str">
        <f>VLOOKUP(user_activity!A201,users_details!$A$1:$G$34,7,0)</f>
        <v>Washington Heights</v>
      </c>
      <c r="G70" s="2" t="s">
        <v>71</v>
      </c>
      <c r="H70" s="7">
        <v>42495</v>
      </c>
      <c r="I70" s="9" t="str">
        <f t="shared" si="5"/>
        <v>Thursday</v>
      </c>
      <c r="J70" s="9" t="str">
        <f t="shared" si="6"/>
        <v>May</v>
      </c>
      <c r="K70" s="2">
        <v>1.6100000139999999</v>
      </c>
      <c r="L70" s="2">
        <v>1.6100000139999999</v>
      </c>
      <c r="M70" s="2">
        <v>0</v>
      </c>
      <c r="N70" s="2">
        <v>0</v>
      </c>
      <c r="O70" s="2">
        <v>0</v>
      </c>
      <c r="P70" s="2">
        <v>1.5800000430000001</v>
      </c>
      <c r="Q70" s="2">
        <v>0.02</v>
      </c>
      <c r="R70" s="2">
        <v>0</v>
      </c>
      <c r="S70" s="2">
        <v>0</v>
      </c>
      <c r="T70" s="2">
        <v>117</v>
      </c>
      <c r="U70" s="2">
        <f t="shared" si="7"/>
        <v>117</v>
      </c>
      <c r="V70" s="2">
        <v>1323</v>
      </c>
      <c r="W70" s="2">
        <v>2470</v>
      </c>
      <c r="X70" s="2">
        <f t="shared" si="8"/>
        <v>2470</v>
      </c>
      <c r="Y70" s="2">
        <v>1370</v>
      </c>
      <c r="Z70" t="str" cm="1">
        <f t="array" ref="Z70">_xlfn.IFS(OR(R70&gt;66, S70&gt;38), "High Engagement", OR(AND(R70&gt;32, R70&lt;=66), AND(S70&gt;19, S70&lt;=38)), "Medium-High Engagement", OR(AND(R70&gt;4, R70&lt;=32), AND(S70&gt;6, S70&lt;=19)),"Medium Engagement", TRUE, "Low Engagement"
)</f>
        <v>Low Engagement</v>
      </c>
      <c r="AA70">
        <f t="shared" si="9"/>
        <v>0.55465587044534415</v>
      </c>
    </row>
    <row r="71" spans="1:27" x14ac:dyDescent="0.35">
      <c r="A71" s="2">
        <v>1624580081</v>
      </c>
      <c r="B71" s="2" t="s">
        <v>87</v>
      </c>
      <c r="C71" s="2">
        <f>VLOOKUP(user_activity!A226,users_details!$A$1:$G$34,5,0)</f>
        <v>24</v>
      </c>
      <c r="D71" s="2" t="str" cm="1">
        <f t="array" ref="D71">_xlfn.IFS( AND(C71&gt;=18, C71&lt;=25), "Emerging Adults",  AND(C71&gt;=26, C71&lt;=35),  "Young Adults",  AND(C71&gt;=36, C71&lt;=45),  "Midlife Adults",  AND(C71&gt;=46, C71&lt;=55), "Mature Adults", C71&gt;=56,  "Older Adults", TRUE, "Age Not Mentioned")</f>
        <v>Emerging Adults</v>
      </c>
      <c r="E71" s="2" t="str">
        <f>VLOOKUP(user_activity!A226,users_details!$A$1:$G$34,6,0)</f>
        <v>East Village, Manhattan</v>
      </c>
      <c r="F71" s="2" t="str">
        <f>VLOOKUP(user_activity!A226,users_details!$A$1:$G$34,7,0)</f>
        <v>East Village</v>
      </c>
      <c r="G71" s="2" t="s">
        <v>71</v>
      </c>
      <c r="H71" s="7">
        <v>42526</v>
      </c>
      <c r="I71" s="9" t="str">
        <f t="shared" si="5"/>
        <v>Sunday</v>
      </c>
      <c r="J71" s="9" t="str">
        <f t="shared" si="6"/>
        <v>June</v>
      </c>
      <c r="K71" s="2">
        <v>1.1200000050000001</v>
      </c>
      <c r="L71" s="2">
        <v>1.1200000050000001</v>
      </c>
      <c r="M71" s="2">
        <v>0</v>
      </c>
      <c r="N71" s="2">
        <v>0</v>
      </c>
      <c r="O71" s="2">
        <v>0</v>
      </c>
      <c r="P71" s="2">
        <v>1.1200000050000001</v>
      </c>
      <c r="Q71" s="2">
        <v>0.01</v>
      </c>
      <c r="R71" s="2">
        <v>0</v>
      </c>
      <c r="S71" s="2">
        <v>0</v>
      </c>
      <c r="T71" s="2">
        <v>102</v>
      </c>
      <c r="U71" s="2">
        <f t="shared" si="7"/>
        <v>102</v>
      </c>
      <c r="V71" s="2">
        <v>1338</v>
      </c>
      <c r="W71" s="2">
        <v>1727</v>
      </c>
      <c r="X71" s="2">
        <f t="shared" si="8"/>
        <v>1727</v>
      </c>
      <c r="Y71" s="2">
        <v>1341</v>
      </c>
      <c r="Z71" t="str" cm="1">
        <f t="array" ref="Z71">_xlfn.IFS(OR(R71&gt;66, S71&gt;38), "High Engagement", OR(AND(R71&gt;32, R71&lt;=66), AND(S71&gt;19, S71&lt;=38)), "Medium-High Engagement", OR(AND(R71&gt;4, R71&lt;=32), AND(S71&gt;6, S71&lt;=19)),"Medium Engagement", TRUE, "Low Engagement"
)</f>
        <v>Low Engagement</v>
      </c>
      <c r="AA71">
        <f t="shared" si="9"/>
        <v>0.77649102489866817</v>
      </c>
    </row>
    <row r="72" spans="1:27" x14ac:dyDescent="0.35">
      <c r="A72" s="2">
        <v>1624580081</v>
      </c>
      <c r="B72" s="2" t="s">
        <v>87</v>
      </c>
      <c r="C72" s="2">
        <f>VLOOKUP(user_activity!A254,users_details!$A$1:$G$34,5,0)</f>
        <v>29</v>
      </c>
      <c r="D72" s="2" t="str" cm="1">
        <f t="array" ref="D72">_xlfn.IFS( AND(C72&gt;=18, C72&lt;=25), "Emerging Adults",  AND(C72&gt;=26, C72&lt;=35),  "Young Adults",  AND(C72&gt;=36, C72&lt;=45),  "Midlife Adults",  AND(C72&gt;=46, C72&lt;=55), "Mature Adults", C72&gt;=56,  "Older Adults", TRUE, "Age Not Mentioned")</f>
        <v>Young Adults</v>
      </c>
      <c r="E72" s="2" t="str">
        <f>VLOOKUP(user_activity!A254,users_details!$A$1:$G$34,6,0)</f>
        <v>Crown Heights, Brooklyn</v>
      </c>
      <c r="F72" s="2" t="str">
        <f>VLOOKUP(user_activity!A254,users_details!$A$1:$G$34,7,0)</f>
        <v>Crown Heights</v>
      </c>
      <c r="G72" s="2" t="s">
        <v>71</v>
      </c>
      <c r="H72" s="7">
        <v>42648</v>
      </c>
      <c r="I72" s="9" t="str">
        <f t="shared" si="5"/>
        <v>Wednesday</v>
      </c>
      <c r="J72" s="9" t="str">
        <f t="shared" si="6"/>
        <v>October</v>
      </c>
      <c r="K72" s="2">
        <v>1.9299999480000001</v>
      </c>
      <c r="L72" s="2">
        <v>1.9299999480000001</v>
      </c>
      <c r="M72" s="2">
        <v>0</v>
      </c>
      <c r="N72" s="2">
        <v>0</v>
      </c>
      <c r="O72" s="2">
        <v>0</v>
      </c>
      <c r="P72" s="2">
        <v>1.9199999569999999</v>
      </c>
      <c r="Q72" s="2">
        <v>0.01</v>
      </c>
      <c r="R72" s="2">
        <v>0</v>
      </c>
      <c r="S72" s="2">
        <v>0</v>
      </c>
      <c r="T72" s="2">
        <v>139</v>
      </c>
      <c r="U72" s="2">
        <f t="shared" si="7"/>
        <v>139</v>
      </c>
      <c r="V72" s="2">
        <v>1301</v>
      </c>
      <c r="W72" s="2">
        <v>2969</v>
      </c>
      <c r="X72" s="2">
        <f t="shared" si="8"/>
        <v>2969</v>
      </c>
      <c r="Y72" s="2">
        <v>1393</v>
      </c>
      <c r="Z72" t="str" cm="1">
        <f t="array" ref="Z72">_xlfn.IFS(OR(R72&gt;66, S72&gt;38), "High Engagement", OR(AND(R72&gt;32, R72&lt;=66), AND(S72&gt;19, S72&lt;=38)), "Medium-High Engagement", OR(AND(R72&gt;4, R72&lt;=32), AND(S72&gt;6, S72&lt;=19)),"Medium Engagement", TRUE, "Low Engagement"
)</f>
        <v>Low Engagement</v>
      </c>
      <c r="AA72">
        <f t="shared" si="9"/>
        <v>0.46918154260693834</v>
      </c>
    </row>
    <row r="73" spans="1:27" x14ac:dyDescent="0.35">
      <c r="A73" s="2">
        <v>1624580081</v>
      </c>
      <c r="B73" s="2" t="s">
        <v>87</v>
      </c>
      <c r="C73" s="2">
        <f>VLOOKUP(user_activity!A342,users_details!$A$1:$G$34,5,0)</f>
        <v>30</v>
      </c>
      <c r="D73" s="2" t="str" cm="1">
        <f t="array" ref="D73">_xlfn.IFS( AND(C73&gt;=18, C73&lt;=25), "Emerging Adults",  AND(C73&gt;=26, C73&lt;=35),  "Young Adults",  AND(C73&gt;=36, C73&lt;=45),  "Midlife Adults",  AND(C73&gt;=46, C73&lt;=55), "Mature Adults", C73&gt;=56,  "Older Adults", TRUE, "Age Not Mentioned")</f>
        <v>Young Adults</v>
      </c>
      <c r="E73" s="2" t="str">
        <f>VLOOKUP(user_activity!A342,users_details!$A$1:$G$34,6,0)</f>
        <v>Midtown, Manhattan</v>
      </c>
      <c r="F73" s="2" t="str">
        <f>VLOOKUP(user_activity!A342,users_details!$A$1:$G$34,7,0)</f>
        <v>Midtown</v>
      </c>
      <c r="G73" s="2" t="s">
        <v>71</v>
      </c>
      <c r="H73" s="7">
        <v>42482</v>
      </c>
      <c r="I73" s="9" t="str">
        <f t="shared" si="5"/>
        <v>Friday</v>
      </c>
      <c r="J73" s="9" t="str">
        <f t="shared" si="6"/>
        <v>April</v>
      </c>
      <c r="K73" s="2">
        <v>2.619999886</v>
      </c>
      <c r="L73" s="2">
        <v>2.619999886</v>
      </c>
      <c r="M73" s="2">
        <v>0</v>
      </c>
      <c r="N73" s="2">
        <v>0</v>
      </c>
      <c r="O73" s="2">
        <v>0</v>
      </c>
      <c r="P73" s="2">
        <v>2.5999999049999998</v>
      </c>
      <c r="Q73" s="2">
        <v>0</v>
      </c>
      <c r="R73" s="2">
        <v>0</v>
      </c>
      <c r="S73" s="2">
        <v>0</v>
      </c>
      <c r="T73" s="2">
        <v>199</v>
      </c>
      <c r="U73" s="2">
        <f t="shared" si="7"/>
        <v>199</v>
      </c>
      <c r="V73" s="2">
        <v>1241</v>
      </c>
      <c r="W73" s="2">
        <v>4026</v>
      </c>
      <c r="X73" s="2">
        <f t="shared" si="8"/>
        <v>4026</v>
      </c>
      <c r="Y73" s="2">
        <v>1470</v>
      </c>
      <c r="Z73" t="str" cm="1">
        <f t="array" ref="Z73">_xlfn.IFS(OR(R73&gt;66, S73&gt;38), "High Engagement", OR(AND(R73&gt;32, R73&lt;=66), AND(S73&gt;19, S73&lt;=38)), "Medium-High Engagement", OR(AND(R73&gt;4, R73&lt;=32), AND(S73&gt;6, S73&lt;=19)),"Medium Engagement", TRUE, "Low Engagement"
)</f>
        <v>Low Engagement</v>
      </c>
      <c r="AA73">
        <f t="shared" si="9"/>
        <v>0.36512667660208642</v>
      </c>
    </row>
    <row r="74" spans="1:27" x14ac:dyDescent="0.35">
      <c r="A74" s="2">
        <v>1624580081</v>
      </c>
      <c r="B74" s="2" t="s">
        <v>87</v>
      </c>
      <c r="C74" s="2">
        <f>VLOOKUP(user_activity!A346,users_details!$A$1:$G$34,5,0)</f>
        <v>30</v>
      </c>
      <c r="D74" s="2" t="str" cm="1">
        <f t="array" ref="D74">_xlfn.IFS( AND(C74&gt;=18, C74&lt;=25), "Emerging Adults",  AND(C74&gt;=26, C74&lt;=35),  "Young Adults",  AND(C74&gt;=36, C74&lt;=45),  "Midlife Adults",  AND(C74&gt;=46, C74&lt;=55), "Mature Adults", C74&gt;=56,  "Older Adults", TRUE, "Age Not Mentioned")</f>
        <v>Young Adults</v>
      </c>
      <c r="E74" s="2" t="str">
        <f>VLOOKUP(user_activity!A346,users_details!$A$1:$G$34,6,0)</f>
        <v>Clinton Hill, Brooklyn</v>
      </c>
      <c r="F74" s="2" t="str">
        <f>VLOOKUP(user_activity!A346,users_details!$A$1:$G$34,7,0)</f>
        <v>Clinton Hill</v>
      </c>
      <c r="G74" s="2" t="s">
        <v>71</v>
      </c>
      <c r="H74" s="7">
        <v>42556</v>
      </c>
      <c r="I74" s="9" t="str">
        <f t="shared" si="5"/>
        <v>Tuesday</v>
      </c>
      <c r="J74" s="9" t="str">
        <f t="shared" si="6"/>
        <v>July</v>
      </c>
      <c r="K74" s="2">
        <v>1.3700000050000001</v>
      </c>
      <c r="L74" s="2">
        <v>1.3700000050000001</v>
      </c>
      <c r="M74" s="2">
        <v>0</v>
      </c>
      <c r="N74" s="2">
        <v>0</v>
      </c>
      <c r="O74" s="2">
        <v>0</v>
      </c>
      <c r="P74" s="2">
        <v>1.3700000050000001</v>
      </c>
      <c r="Q74" s="2">
        <v>0</v>
      </c>
      <c r="R74" s="2">
        <v>0</v>
      </c>
      <c r="S74" s="2">
        <v>0</v>
      </c>
      <c r="T74" s="2">
        <v>182</v>
      </c>
      <c r="U74" s="2">
        <f t="shared" si="7"/>
        <v>182</v>
      </c>
      <c r="V74" s="2">
        <v>1258</v>
      </c>
      <c r="W74" s="2">
        <v>2104</v>
      </c>
      <c r="X74" s="2">
        <f t="shared" si="8"/>
        <v>2104</v>
      </c>
      <c r="Y74" s="2">
        <v>1474</v>
      </c>
      <c r="Z74" t="str" cm="1">
        <f t="array" ref="Z74">_xlfn.IFS(OR(R74&gt;66, S74&gt;38), "High Engagement", OR(AND(R74&gt;32, R74&lt;=66), AND(S74&gt;19, S74&lt;=38)), "Medium-High Engagement", OR(AND(R74&gt;4, R74&lt;=32), AND(S74&gt;6, S74&lt;=19)),"Medium Engagement", TRUE, "Low Engagement"
)</f>
        <v>Low Engagement</v>
      </c>
      <c r="AA74">
        <f t="shared" si="9"/>
        <v>0.70057034220532322</v>
      </c>
    </row>
    <row r="75" spans="1:27" x14ac:dyDescent="0.35">
      <c r="A75" s="2">
        <v>1624580081</v>
      </c>
      <c r="B75" s="2" t="s">
        <v>87</v>
      </c>
      <c r="C75" s="2">
        <f>VLOOKUP(user_activity!A355,users_details!$A$1:$G$34,5,0)</f>
        <v>31</v>
      </c>
      <c r="D75" s="2" t="str" cm="1">
        <f t="array" ref="D75">_xlfn.IFS( AND(C75&gt;=18, C75&lt;=25), "Emerging Adults",  AND(C75&gt;=26, C75&lt;=35),  "Young Adults",  AND(C75&gt;=36, C75&lt;=45),  "Midlife Adults",  AND(C75&gt;=46, C75&lt;=55), "Mature Adults", C75&gt;=56,  "Older Adults", TRUE, "Age Not Mentioned")</f>
        <v>Young Adults</v>
      </c>
      <c r="E75" s="2" t="str">
        <f>VLOOKUP(user_activity!A355,users_details!$A$1:$G$34,6,0)</f>
        <v>Midtown, Manhattan</v>
      </c>
      <c r="F75" s="2" t="str">
        <f>VLOOKUP(user_activity!A355,users_details!$A$1:$G$34,7,0)</f>
        <v>Midtown</v>
      </c>
      <c r="G75" s="2" t="s">
        <v>71</v>
      </c>
      <c r="H75" s="7">
        <v>42405</v>
      </c>
      <c r="I75" s="9" t="str">
        <f t="shared" si="5"/>
        <v>Friday</v>
      </c>
      <c r="J75" s="9" t="str">
        <f t="shared" si="6"/>
        <v>February</v>
      </c>
      <c r="K75" s="2">
        <v>4.9299998279999997</v>
      </c>
      <c r="L75" s="2">
        <v>4.9299998279999997</v>
      </c>
      <c r="M75" s="2">
        <v>0</v>
      </c>
      <c r="N75" s="2">
        <v>0.86000001400000003</v>
      </c>
      <c r="O75" s="2">
        <v>0.58999997400000004</v>
      </c>
      <c r="P75" s="2">
        <v>3.4700000289999999</v>
      </c>
      <c r="Q75" s="2">
        <v>0</v>
      </c>
      <c r="R75" s="2">
        <v>7</v>
      </c>
      <c r="S75" s="2">
        <v>6</v>
      </c>
      <c r="T75" s="2">
        <v>166</v>
      </c>
      <c r="U75" s="2">
        <f t="shared" si="7"/>
        <v>179</v>
      </c>
      <c r="V75" s="2">
        <v>1261</v>
      </c>
      <c r="W75" s="2">
        <v>7155</v>
      </c>
      <c r="X75" s="2">
        <f t="shared" si="8"/>
        <v>7155</v>
      </c>
      <c r="Y75" s="2">
        <v>1497</v>
      </c>
      <c r="Z75" t="str" cm="1">
        <f t="array" ref="Z75">_xlfn.IFS(OR(R75&gt;66, S75&gt;38), "High Engagement", OR(AND(R75&gt;32, R75&lt;=66), AND(S75&gt;19, S75&lt;=38)), "Medium-High Engagement", OR(AND(R75&gt;4, R75&lt;=32), AND(S75&gt;6, S75&lt;=19)),"Medium Engagement", TRUE, "Low Engagement"
)</f>
        <v>Medium Engagement</v>
      </c>
      <c r="AA75">
        <f t="shared" si="9"/>
        <v>0.20922431865828092</v>
      </c>
    </row>
    <row r="76" spans="1:27" x14ac:dyDescent="0.35">
      <c r="A76" s="2">
        <v>1624580081</v>
      </c>
      <c r="B76" s="2" t="s">
        <v>87</v>
      </c>
      <c r="C76" s="2">
        <f>VLOOKUP(user_activity!A369,users_details!$A$1:$G$34,5,0)</f>
        <v>31</v>
      </c>
      <c r="D76" s="2" t="str" cm="1">
        <f t="array" ref="D76">_xlfn.IFS( AND(C76&gt;=18, C76&lt;=25), "Emerging Adults",  AND(C76&gt;=26, C76&lt;=35),  "Young Adults",  AND(C76&gt;=36, C76&lt;=45),  "Midlife Adults",  AND(C76&gt;=46, C76&lt;=55), "Mature Adults", C76&gt;=56,  "Older Adults", TRUE, "Age Not Mentioned")</f>
        <v>Young Adults</v>
      </c>
      <c r="E76" s="2" t="str">
        <f>VLOOKUP(user_activity!A369,users_details!$A$1:$G$34,6,0)</f>
        <v>Midtown, Manhattan</v>
      </c>
      <c r="F76" s="2" t="str">
        <f>VLOOKUP(user_activity!A369,users_details!$A$1:$G$34,7,0)</f>
        <v>Midtown</v>
      </c>
      <c r="G76" s="2" t="s">
        <v>71</v>
      </c>
      <c r="H76" s="7">
        <v>42709</v>
      </c>
      <c r="I76" s="9" t="str">
        <f t="shared" si="5"/>
        <v>Monday</v>
      </c>
      <c r="J76" s="9" t="str">
        <f t="shared" si="6"/>
        <v>December</v>
      </c>
      <c r="K76" s="2">
        <v>1.9299999480000001</v>
      </c>
      <c r="L76" s="2">
        <v>1.9299999480000001</v>
      </c>
      <c r="M76" s="2">
        <v>0</v>
      </c>
      <c r="N76" s="2">
        <v>0</v>
      </c>
      <c r="O76" s="2">
        <v>0</v>
      </c>
      <c r="P76" s="2">
        <v>1.9199999569999999</v>
      </c>
      <c r="Q76" s="2">
        <v>0.01</v>
      </c>
      <c r="R76" s="2">
        <v>0</v>
      </c>
      <c r="S76" s="2">
        <v>0</v>
      </c>
      <c r="T76" s="2">
        <v>107</v>
      </c>
      <c r="U76" s="2">
        <f t="shared" si="7"/>
        <v>107</v>
      </c>
      <c r="V76" s="2">
        <v>890</v>
      </c>
      <c r="W76" s="2">
        <v>2971</v>
      </c>
      <c r="X76" s="2">
        <f t="shared" si="8"/>
        <v>2971</v>
      </c>
      <c r="Y76" s="2">
        <v>1002</v>
      </c>
      <c r="Z76" t="str" cm="1">
        <f t="array" ref="Z76">_xlfn.IFS(OR(R76&gt;66, S76&gt;38), "High Engagement", OR(AND(R76&gt;32, R76&lt;=66), AND(S76&gt;19, S76&lt;=38)), "Medium-High Engagement", OR(AND(R76&gt;4, R76&lt;=32), AND(S76&gt;6, S76&lt;=19)),"Medium Engagement", TRUE, "Low Engagement"
)</f>
        <v>Low Engagement</v>
      </c>
      <c r="AA76">
        <f t="shared" si="9"/>
        <v>0.33726018175698419</v>
      </c>
    </row>
    <row r="77" spans="1:27" x14ac:dyDescent="0.35">
      <c r="A77" s="2">
        <v>1624580081</v>
      </c>
      <c r="B77" s="2" t="s">
        <v>87</v>
      </c>
      <c r="C77" s="2">
        <f>VLOOKUP(user_activity!A419,users_details!$A$1:$G$34,5,0)</f>
        <v>32</v>
      </c>
      <c r="D77" s="2" t="str" cm="1">
        <f t="array" ref="D77">_xlfn.IFS( AND(C77&gt;=18, C77&lt;=25), "Emerging Adults",  AND(C77&gt;=26, C77&lt;=35),  "Young Adults",  AND(C77&gt;=36, C77&lt;=45),  "Midlife Adults",  AND(C77&gt;=46, C77&lt;=55), "Mature Adults", C77&gt;=56,  "Older Adults", TRUE, "Age Not Mentioned")</f>
        <v>Young Adults</v>
      </c>
      <c r="E77" s="2" t="str">
        <f>VLOOKUP(user_activity!A419,users_details!$A$1:$G$34,6,0)</f>
        <v>Greenpoint, Brooklyn</v>
      </c>
      <c r="F77" s="2" t="str">
        <f>VLOOKUP(user_activity!A419,users_details!$A$1:$G$34,7,0)</f>
        <v>Greenpoint</v>
      </c>
      <c r="G77" s="2" t="s">
        <v>71</v>
      </c>
      <c r="H77" s="7">
        <v>42484</v>
      </c>
      <c r="I77" s="9" t="str">
        <f t="shared" si="5"/>
        <v>Sunday</v>
      </c>
      <c r="J77" s="9" t="str">
        <f t="shared" si="6"/>
        <v>April</v>
      </c>
      <c r="K77" s="2">
        <v>3.9500000480000002</v>
      </c>
      <c r="L77" s="2">
        <v>3.9500000480000002</v>
      </c>
      <c r="M77" s="2">
        <v>0</v>
      </c>
      <c r="N77" s="2">
        <v>1.1499999759999999</v>
      </c>
      <c r="O77" s="2">
        <v>0.91000002599999996</v>
      </c>
      <c r="P77" s="2">
        <v>1.8899999860000001</v>
      </c>
      <c r="Q77" s="2">
        <v>0</v>
      </c>
      <c r="R77" s="2">
        <v>16</v>
      </c>
      <c r="S77" s="2">
        <v>18</v>
      </c>
      <c r="T77" s="2">
        <v>185</v>
      </c>
      <c r="U77" s="2">
        <f t="shared" si="7"/>
        <v>219</v>
      </c>
      <c r="V77" s="2">
        <v>1221</v>
      </c>
      <c r="W77" s="2">
        <v>6076</v>
      </c>
      <c r="X77" s="2">
        <f t="shared" si="8"/>
        <v>6076</v>
      </c>
      <c r="Y77" s="2">
        <v>1617</v>
      </c>
      <c r="Z77" t="str" cm="1">
        <f t="array" ref="Z77">_xlfn.IFS(OR(R77&gt;66, S77&gt;38), "High Engagement", OR(AND(R77&gt;32, R77&lt;=66), AND(S77&gt;19, S77&lt;=38)), "Medium-High Engagement", OR(AND(R77&gt;4, R77&lt;=32), AND(S77&gt;6, S77&lt;=19)),"Medium Engagement", TRUE, "Low Engagement"
)</f>
        <v>Medium Engagement</v>
      </c>
      <c r="AA77">
        <f t="shared" si="9"/>
        <v>0.2661290322580645</v>
      </c>
    </row>
    <row r="78" spans="1:27" x14ac:dyDescent="0.35">
      <c r="A78" s="2">
        <v>1624580081</v>
      </c>
      <c r="B78" s="2" t="s">
        <v>87</v>
      </c>
      <c r="C78" s="2">
        <f>VLOOKUP(user_activity!A420,users_details!$A$1:$G$34,5,0)</f>
        <v>32</v>
      </c>
      <c r="D78" s="2" t="str" cm="1">
        <f t="array" ref="D78">_xlfn.IFS( AND(C78&gt;=18, C78&lt;=25), "Emerging Adults",  AND(C78&gt;=26, C78&lt;=35),  "Young Adults",  AND(C78&gt;=36, C78&lt;=45),  "Midlife Adults",  AND(C78&gt;=46, C78&lt;=55), "Mature Adults", C78&gt;=56,  "Older Adults", TRUE, "Age Not Mentioned")</f>
        <v>Young Adults</v>
      </c>
      <c r="E78" s="2" t="str">
        <f>VLOOKUP(user_activity!A420,users_details!$A$1:$G$34,6,0)</f>
        <v>Greenpoint, Brooklyn</v>
      </c>
      <c r="F78" s="2" t="str">
        <f>VLOOKUP(user_activity!A420,users_details!$A$1:$G$34,7,0)</f>
        <v>Greenpoint</v>
      </c>
      <c r="G78" s="2" t="s">
        <v>71</v>
      </c>
      <c r="H78" s="7">
        <v>42483</v>
      </c>
      <c r="I78" s="9" t="str">
        <f t="shared" si="5"/>
        <v>Saturday</v>
      </c>
      <c r="J78" s="9" t="str">
        <f t="shared" si="6"/>
        <v>April</v>
      </c>
      <c r="K78" s="2">
        <v>5.5500001909999996</v>
      </c>
      <c r="L78" s="2">
        <v>5.5500001909999996</v>
      </c>
      <c r="M78" s="2">
        <v>0</v>
      </c>
      <c r="N78" s="2">
        <v>0</v>
      </c>
      <c r="O78" s="2">
        <v>0</v>
      </c>
      <c r="P78" s="2">
        <v>5.5399999619999996</v>
      </c>
      <c r="Q78" s="2">
        <v>0.01</v>
      </c>
      <c r="R78" s="2">
        <v>0</v>
      </c>
      <c r="S78" s="2">
        <v>0</v>
      </c>
      <c r="T78" s="2">
        <v>227</v>
      </c>
      <c r="U78" s="2">
        <f t="shared" si="7"/>
        <v>227</v>
      </c>
      <c r="V78" s="2">
        <v>1213</v>
      </c>
      <c r="W78" s="2">
        <v>8538</v>
      </c>
      <c r="X78" s="2">
        <f t="shared" si="8"/>
        <v>8538</v>
      </c>
      <c r="Y78" s="2">
        <v>1562</v>
      </c>
      <c r="Z78" t="str" cm="1">
        <f t="array" ref="Z78">_xlfn.IFS(OR(R78&gt;66, S78&gt;38), "High Engagement", OR(AND(R78&gt;32, R78&lt;=66), AND(S78&gt;19, S78&lt;=38)), "Medium-High Engagement", OR(AND(R78&gt;4, R78&lt;=32), AND(S78&gt;6, S78&lt;=19)),"Medium Engagement", TRUE, "Low Engagement"
)</f>
        <v>Low Engagement</v>
      </c>
      <c r="AA78">
        <f t="shared" si="9"/>
        <v>0.18294682595455611</v>
      </c>
    </row>
    <row r="79" spans="1:27" x14ac:dyDescent="0.35">
      <c r="A79" s="2">
        <v>1624580081</v>
      </c>
      <c r="B79" s="2" t="s">
        <v>87</v>
      </c>
      <c r="C79" s="2">
        <f>VLOOKUP(user_activity!A519,users_details!$A$1:$G$34,5,0)</f>
        <v>36</v>
      </c>
      <c r="D79" s="2" t="str" cm="1">
        <f t="array" ref="D79">_xlfn.IFS( AND(C79&gt;=18, C79&lt;=25), "Emerging Adults",  AND(C79&gt;=26, C79&lt;=35),  "Young Adults",  AND(C79&gt;=36, C79&lt;=45),  "Midlife Adults",  AND(C79&gt;=46, C79&lt;=55), "Mature Adults", C79&gt;=56,  "Older Adults", TRUE, "Age Not Mentioned")</f>
        <v>Midlife Adults</v>
      </c>
      <c r="E79" s="2" t="str">
        <f>VLOOKUP(user_activity!A519,users_details!$A$1:$G$34,6,0)</f>
        <v>Williamsburg, Brooklyn</v>
      </c>
      <c r="F79" s="2" t="str">
        <f>VLOOKUP(user_activity!A519,users_details!$A$1:$G$34,7,0)</f>
        <v>Williamsburg</v>
      </c>
      <c r="G79" s="2" t="s">
        <v>71</v>
      </c>
      <c r="H79" s="7">
        <v>42587</v>
      </c>
      <c r="I79" s="9" t="str">
        <f t="shared" si="5"/>
        <v>Friday</v>
      </c>
      <c r="J79" s="9" t="str">
        <f t="shared" si="6"/>
        <v>August</v>
      </c>
      <c r="K79" s="2">
        <v>2.2300000190000002</v>
      </c>
      <c r="L79" s="2">
        <v>2.2300000190000002</v>
      </c>
      <c r="M79" s="2">
        <v>0</v>
      </c>
      <c r="N79" s="2">
        <v>0</v>
      </c>
      <c r="O79" s="2">
        <v>0</v>
      </c>
      <c r="P79" s="2">
        <v>2.2200000289999999</v>
      </c>
      <c r="Q79" s="2">
        <v>0</v>
      </c>
      <c r="R79" s="2">
        <v>0</v>
      </c>
      <c r="S79" s="2">
        <v>0</v>
      </c>
      <c r="T79" s="2">
        <v>152</v>
      </c>
      <c r="U79" s="2">
        <f t="shared" si="7"/>
        <v>152</v>
      </c>
      <c r="V79" s="2">
        <v>1288</v>
      </c>
      <c r="W79" s="2">
        <v>3427</v>
      </c>
      <c r="X79" s="2">
        <f t="shared" si="8"/>
        <v>3427</v>
      </c>
      <c r="Y79" s="2">
        <v>1427</v>
      </c>
      <c r="Z79" t="str" cm="1">
        <f t="array" ref="Z79">_xlfn.IFS(OR(R79&gt;66, S79&gt;38), "High Engagement", OR(AND(R79&gt;32, R79&lt;=66), AND(S79&gt;19, S79&lt;=38)), "Medium-High Engagement", OR(AND(R79&gt;4, R79&lt;=32), AND(S79&gt;6, S79&lt;=19)),"Medium Engagement", TRUE, "Low Engagement"
)</f>
        <v>Low Engagement</v>
      </c>
      <c r="AA79">
        <f t="shared" si="9"/>
        <v>0.41639918295885614</v>
      </c>
    </row>
    <row r="80" spans="1:27" x14ac:dyDescent="0.35">
      <c r="A80" s="2">
        <v>1624580081</v>
      </c>
      <c r="B80" s="2" t="s">
        <v>87</v>
      </c>
      <c r="C80" s="2">
        <f>VLOOKUP(user_activity!A524,users_details!$A$1:$G$34,5,0)</f>
        <v>36</v>
      </c>
      <c r="D80" s="2" t="str" cm="1">
        <f t="array" ref="D80">_xlfn.IFS( AND(C80&gt;=18, C80&lt;=25), "Emerging Adults",  AND(C80&gt;=26, C80&lt;=35),  "Young Adults",  AND(C80&gt;=36, C80&lt;=45),  "Midlife Adults",  AND(C80&gt;=46, C80&lt;=55), "Mature Adults", C80&gt;=56,  "Older Adults", TRUE, "Age Not Mentioned")</f>
        <v>Midlife Adults</v>
      </c>
      <c r="E80" s="2" t="str">
        <f>VLOOKUP(user_activity!A524,users_details!$A$1:$G$34,6,0)</f>
        <v>Williamsburg, Brooklyn</v>
      </c>
      <c r="F80" s="2" t="str">
        <f>VLOOKUP(user_activity!A524,users_details!$A$1:$G$34,7,0)</f>
        <v>Williamsburg</v>
      </c>
      <c r="G80" s="2" t="s">
        <v>71</v>
      </c>
      <c r="H80" s="7">
        <v>42487</v>
      </c>
      <c r="I80" s="9" t="str">
        <f t="shared" si="5"/>
        <v>Wednesday</v>
      </c>
      <c r="J80" s="9" t="str">
        <f t="shared" si="6"/>
        <v>April</v>
      </c>
      <c r="K80" s="2">
        <v>5.4400000569999998</v>
      </c>
      <c r="L80" s="2">
        <v>5.4400000569999998</v>
      </c>
      <c r="M80" s="2">
        <v>0</v>
      </c>
      <c r="N80" s="2">
        <v>1.1100000139999999</v>
      </c>
      <c r="O80" s="2">
        <v>1.8700000050000001</v>
      </c>
      <c r="P80" s="2">
        <v>2.460000038</v>
      </c>
      <c r="Q80" s="2">
        <v>0</v>
      </c>
      <c r="R80" s="2">
        <v>17</v>
      </c>
      <c r="S80" s="2">
        <v>36</v>
      </c>
      <c r="T80" s="2">
        <v>154</v>
      </c>
      <c r="U80" s="2">
        <f t="shared" si="7"/>
        <v>207</v>
      </c>
      <c r="V80" s="2">
        <v>1233</v>
      </c>
      <c r="W80" s="2">
        <v>8367</v>
      </c>
      <c r="X80" s="2">
        <f t="shared" si="8"/>
        <v>8367</v>
      </c>
      <c r="Y80" s="2">
        <v>1670</v>
      </c>
      <c r="Z80" t="str" cm="1">
        <f t="array" ref="Z80">_xlfn.IFS(OR(R80&gt;66, S80&gt;38), "High Engagement", OR(AND(R80&gt;32, R80&lt;=66), AND(S80&gt;19, S80&lt;=38)), "Medium-High Engagement", OR(AND(R80&gt;4, R80&lt;=32), AND(S80&gt;6, S80&lt;=19)),"Medium Engagement", TRUE, "Low Engagement"
)</f>
        <v>Medium-High Engagement</v>
      </c>
      <c r="AA80">
        <f t="shared" si="9"/>
        <v>0.19959364168758217</v>
      </c>
    </row>
    <row r="81" spans="1:27" x14ac:dyDescent="0.35">
      <c r="A81" s="2">
        <v>1624580081</v>
      </c>
      <c r="B81" s="2" t="s">
        <v>87</v>
      </c>
      <c r="C81" s="2">
        <f>VLOOKUP(user_activity!A539,users_details!$A$1:$G$34,5,0)</f>
        <v>38</v>
      </c>
      <c r="D81" s="2" t="str" cm="1">
        <f t="array" ref="D81">_xlfn.IFS( AND(C81&gt;=18, C81&lt;=25), "Emerging Adults",  AND(C81&gt;=26, C81&lt;=35),  "Young Adults",  AND(C81&gt;=36, C81&lt;=45),  "Midlife Adults",  AND(C81&gt;=46, C81&lt;=55), "Mature Adults", C81&gt;=56,  "Older Adults", TRUE, "Age Not Mentioned")</f>
        <v>Midlife Adults</v>
      </c>
      <c r="E81" s="2" t="str">
        <f>VLOOKUP(user_activity!A539,users_details!$A$1:$G$34,6,0)</f>
        <v>Midtown, Manhattan</v>
      </c>
      <c r="F81" s="2" t="str">
        <f>VLOOKUP(user_activity!A539,users_details!$A$1:$G$34,7,0)</f>
        <v>Midtown</v>
      </c>
      <c r="G81" s="2" t="s">
        <v>71</v>
      </c>
      <c r="H81" s="7">
        <v>42374</v>
      </c>
      <c r="I81" s="9" t="str">
        <f t="shared" si="5"/>
        <v>Tuesday</v>
      </c>
      <c r="J81" s="9" t="str">
        <f t="shared" si="6"/>
        <v>January</v>
      </c>
      <c r="K81" s="2">
        <v>28.030000690000001</v>
      </c>
      <c r="L81" s="2">
        <v>28.030000690000001</v>
      </c>
      <c r="M81" s="2">
        <v>0</v>
      </c>
      <c r="N81" s="2">
        <v>21.920000080000001</v>
      </c>
      <c r="O81" s="2">
        <v>4.1900000569999998</v>
      </c>
      <c r="P81" s="2">
        <v>1.9099999670000001</v>
      </c>
      <c r="Q81" s="2">
        <v>0.02</v>
      </c>
      <c r="R81" s="2">
        <v>186</v>
      </c>
      <c r="S81" s="2">
        <v>63</v>
      </c>
      <c r="T81" s="2">
        <v>171</v>
      </c>
      <c r="U81" s="2">
        <f t="shared" si="7"/>
        <v>420</v>
      </c>
      <c r="V81" s="2">
        <v>1020</v>
      </c>
      <c r="W81" s="2">
        <v>36019</v>
      </c>
      <c r="X81" s="2">
        <f t="shared" si="8"/>
        <v>36019</v>
      </c>
      <c r="Y81" s="2">
        <v>2690</v>
      </c>
      <c r="Z81" t="str" cm="1">
        <f t="array" ref="Z81">_xlfn.IFS(OR(R81&gt;66, S81&gt;38), "High Engagement", OR(AND(R81&gt;32, R81&lt;=66), AND(S81&gt;19, S81&lt;=38)), "Medium-High Engagement", OR(AND(R81&gt;4, R81&lt;=32), AND(S81&gt;6, S81&lt;=19)),"Medium Engagement", TRUE, "Low Engagement"
)</f>
        <v>High Engagement</v>
      </c>
      <c r="AA81">
        <f t="shared" si="9"/>
        <v>7.4682806296676757E-2</v>
      </c>
    </row>
    <row r="82" spans="1:27" x14ac:dyDescent="0.35">
      <c r="A82" s="2">
        <v>1624580081</v>
      </c>
      <c r="B82" s="2" t="s">
        <v>87</v>
      </c>
      <c r="C82" s="2">
        <f>VLOOKUP(user_activity!A554,users_details!$A$1:$G$34,5,0)</f>
        <v>38</v>
      </c>
      <c r="D82" s="2" t="str" cm="1">
        <f t="array" ref="D82">_xlfn.IFS( AND(C82&gt;=18, C82&lt;=25), "Emerging Adults",  AND(C82&gt;=26, C82&lt;=35),  "Young Adults",  AND(C82&gt;=36, C82&lt;=45),  "Midlife Adults",  AND(C82&gt;=46, C82&lt;=55), "Mature Adults", C82&gt;=56,  "Older Adults", TRUE, "Age Not Mentioned")</f>
        <v>Midlife Adults</v>
      </c>
      <c r="E82" s="2" t="str">
        <f>VLOOKUP(user_activity!A554,users_details!$A$1:$G$34,6,0)</f>
        <v>East Harlem, Manhattan</v>
      </c>
      <c r="F82" s="2" t="str">
        <f>VLOOKUP(user_activity!A554,users_details!$A$1:$G$34,7,0)</f>
        <v>East Harlem</v>
      </c>
      <c r="G82" s="2" t="s">
        <v>71</v>
      </c>
      <c r="H82" s="7">
        <v>42479</v>
      </c>
      <c r="I82" s="9" t="str">
        <f t="shared" si="5"/>
        <v>Tuesday</v>
      </c>
      <c r="J82" s="9" t="str">
        <f t="shared" si="6"/>
        <v>April</v>
      </c>
      <c r="K82" s="2">
        <v>1.8999999759999999</v>
      </c>
      <c r="L82" s="2">
        <v>1.8999999759999999</v>
      </c>
      <c r="M82" s="2">
        <v>0</v>
      </c>
      <c r="N82" s="2">
        <v>0</v>
      </c>
      <c r="O82" s="2">
        <v>0</v>
      </c>
      <c r="P82" s="2">
        <v>1.8999999759999999</v>
      </c>
      <c r="Q82" s="2">
        <v>0</v>
      </c>
      <c r="R82" s="2">
        <v>0</v>
      </c>
      <c r="S82" s="2">
        <v>0</v>
      </c>
      <c r="T82" s="2">
        <v>141</v>
      </c>
      <c r="U82" s="2">
        <f t="shared" si="7"/>
        <v>141</v>
      </c>
      <c r="V82" s="2">
        <v>1299</v>
      </c>
      <c r="W82" s="2">
        <v>2916</v>
      </c>
      <c r="X82" s="2">
        <f t="shared" si="8"/>
        <v>2916</v>
      </c>
      <c r="Y82" s="2">
        <v>1435</v>
      </c>
      <c r="Z82" t="str" cm="1">
        <f t="array" ref="Z82">_xlfn.IFS(OR(R82&gt;66, S82&gt;38), "High Engagement", OR(AND(R82&gt;32, R82&lt;=66), AND(S82&gt;19, S82&lt;=38)), "Medium-High Engagement", OR(AND(R82&gt;4, R82&lt;=32), AND(S82&gt;6, S82&lt;=19)),"Medium Engagement", TRUE, "Low Engagement"
)</f>
        <v>Low Engagement</v>
      </c>
      <c r="AA82">
        <f t="shared" si="9"/>
        <v>0.49211248285322362</v>
      </c>
    </row>
    <row r="83" spans="1:27" x14ac:dyDescent="0.35">
      <c r="A83" s="2">
        <v>1624580081</v>
      </c>
      <c r="B83" s="2" t="s">
        <v>87</v>
      </c>
      <c r="C83" s="2">
        <f>VLOOKUP(user_activity!A582,users_details!$A$1:$G$34,5,0)</f>
        <v>38</v>
      </c>
      <c r="D83" s="2" t="str" cm="1">
        <f t="array" ref="D83">_xlfn.IFS( AND(C83&gt;=18, C83&lt;=25), "Emerging Adults",  AND(C83&gt;=26, C83&lt;=35),  "Young Adults",  AND(C83&gt;=36, C83&lt;=45),  "Midlife Adults",  AND(C83&gt;=46, C83&lt;=55), "Mature Adults", C83&gt;=56,  "Older Adults", TRUE, "Age Not Mentioned")</f>
        <v>Midlife Adults</v>
      </c>
      <c r="E83" s="2" t="str">
        <f>VLOOKUP(user_activity!A582,users_details!$A$1:$G$34,6,0)</f>
        <v>East Harlem, Manhattan</v>
      </c>
      <c r="F83" s="2" t="str">
        <f>VLOOKUP(user_activity!A582,users_details!$A$1:$G$34,7,0)</f>
        <v>East Harlem</v>
      </c>
      <c r="G83" s="2" t="s">
        <v>71</v>
      </c>
      <c r="H83" s="7">
        <v>42486</v>
      </c>
      <c r="I83" s="9" t="str">
        <f t="shared" si="5"/>
        <v>Tuesday</v>
      </c>
      <c r="J83" s="9" t="str">
        <f t="shared" si="6"/>
        <v>April</v>
      </c>
      <c r="K83" s="2">
        <v>1.8400000329999999</v>
      </c>
      <c r="L83" s="2">
        <v>1.8400000329999999</v>
      </c>
      <c r="M83" s="2">
        <v>0</v>
      </c>
      <c r="N83" s="2">
        <v>0</v>
      </c>
      <c r="O83" s="2">
        <v>0</v>
      </c>
      <c r="P83" s="2">
        <v>1.8300000430000001</v>
      </c>
      <c r="Q83" s="2">
        <v>0.01</v>
      </c>
      <c r="R83" s="2">
        <v>0</v>
      </c>
      <c r="S83" s="2">
        <v>0</v>
      </c>
      <c r="T83" s="2">
        <v>140</v>
      </c>
      <c r="U83" s="2">
        <f t="shared" si="7"/>
        <v>140</v>
      </c>
      <c r="V83" s="2">
        <v>1300</v>
      </c>
      <c r="W83" s="2">
        <v>2826</v>
      </c>
      <c r="X83" s="2">
        <f t="shared" si="8"/>
        <v>2826</v>
      </c>
      <c r="Y83" s="2">
        <v>1402</v>
      </c>
      <c r="Z83" t="str" cm="1">
        <f t="array" ref="Z83">_xlfn.IFS(OR(R83&gt;66, S83&gt;38), "High Engagement", OR(AND(R83&gt;32, R83&lt;=66), AND(S83&gt;19, S83&lt;=38)), "Medium-High Engagement", OR(AND(R83&gt;4, R83&lt;=32), AND(S83&gt;6, S83&lt;=19)),"Medium Engagement", TRUE, "Low Engagement"
)</f>
        <v>Low Engagement</v>
      </c>
      <c r="AA83">
        <f t="shared" si="9"/>
        <v>0.49610757254069354</v>
      </c>
    </row>
    <row r="84" spans="1:27" x14ac:dyDescent="0.35">
      <c r="A84" s="2">
        <v>1624580081</v>
      </c>
      <c r="B84" s="2" t="s">
        <v>87</v>
      </c>
      <c r="C84" s="2">
        <f>VLOOKUP(user_activity!A589,users_details!$A$1:$G$34,5,0)</f>
        <v>39</v>
      </c>
      <c r="D84" s="2" t="str" cm="1">
        <f t="array" ref="D84">_xlfn.IFS( AND(C84&gt;=18, C84&lt;=25), "Emerging Adults",  AND(C84&gt;=26, C84&lt;=35),  "Young Adults",  AND(C84&gt;=36, C84&lt;=45),  "Midlife Adults",  AND(C84&gt;=46, C84&lt;=55), "Mature Adults", C84&gt;=56,  "Older Adults", TRUE, "Age Not Mentioned")</f>
        <v>Midlife Adults</v>
      </c>
      <c r="E84" s="2" t="str">
        <f>VLOOKUP(user_activity!A589,users_details!$A$1:$G$34,6,0)</f>
        <v>East Village, Manhattan</v>
      </c>
      <c r="F84" s="2" t="str">
        <f>VLOOKUP(user_activity!A589,users_details!$A$1:$G$34,7,0)</f>
        <v>East Village</v>
      </c>
      <c r="G84" s="2" t="s">
        <v>71</v>
      </c>
      <c r="H84" s="7">
        <v>42489</v>
      </c>
      <c r="I84" s="9" t="str">
        <f t="shared" si="5"/>
        <v>Friday</v>
      </c>
      <c r="J84" s="9" t="str">
        <f t="shared" si="6"/>
        <v>April</v>
      </c>
      <c r="K84" s="2">
        <v>1.5499999520000001</v>
      </c>
      <c r="L84" s="2">
        <v>1.5499999520000001</v>
      </c>
      <c r="M84" s="2">
        <v>0</v>
      </c>
      <c r="N84" s="2">
        <v>0</v>
      </c>
      <c r="O84" s="2">
        <v>0</v>
      </c>
      <c r="P84" s="2">
        <v>1.5499999520000001</v>
      </c>
      <c r="Q84" s="2">
        <v>0</v>
      </c>
      <c r="R84" s="2">
        <v>0</v>
      </c>
      <c r="S84" s="2">
        <v>0</v>
      </c>
      <c r="T84" s="2">
        <v>150</v>
      </c>
      <c r="U84" s="2">
        <f t="shared" si="7"/>
        <v>150</v>
      </c>
      <c r="V84" s="2">
        <v>1290</v>
      </c>
      <c r="W84" s="2">
        <v>2390</v>
      </c>
      <c r="X84" s="2">
        <f t="shared" si="8"/>
        <v>2390</v>
      </c>
      <c r="Y84" s="2">
        <v>1404</v>
      </c>
      <c r="Z84" t="str" cm="1">
        <f t="array" ref="Z84">_xlfn.IFS(OR(R84&gt;66, S84&gt;38), "High Engagement", OR(AND(R84&gt;32, R84&lt;=66), AND(S84&gt;19, S84&lt;=38)), "Medium-High Engagement", OR(AND(R84&gt;4, R84&lt;=32), AND(S84&gt;6, S84&lt;=19)),"Medium Engagement", TRUE, "Low Engagement"
)</f>
        <v>Low Engagement</v>
      </c>
      <c r="AA84">
        <f t="shared" si="9"/>
        <v>0.58744769874476988</v>
      </c>
    </row>
    <row r="85" spans="1:27" x14ac:dyDescent="0.35">
      <c r="A85" s="2">
        <v>1624580081</v>
      </c>
      <c r="B85" s="2" t="s">
        <v>87</v>
      </c>
      <c r="C85" s="2">
        <f>VLOOKUP(user_activity!A604,users_details!$A$1:$G$34,5,0)</f>
        <v>39</v>
      </c>
      <c r="D85" s="2" t="str" cm="1">
        <f t="array" ref="D85">_xlfn.IFS( AND(C85&gt;=18, C85&lt;=25), "Emerging Adults",  AND(C85&gt;=26, C85&lt;=35),  "Young Adults",  AND(C85&gt;=36, C85&lt;=45),  "Midlife Adults",  AND(C85&gt;=46, C85&lt;=55), "Mature Adults", C85&gt;=56,  "Older Adults", TRUE, "Age Not Mentioned")</f>
        <v>Midlife Adults</v>
      </c>
      <c r="E85" s="2" t="str">
        <f>VLOOKUP(user_activity!A604,users_details!$A$1:$G$34,6,0)</f>
        <v>East Village, Manhattan</v>
      </c>
      <c r="F85" s="2" t="str">
        <f>VLOOKUP(user_activity!A604,users_details!$A$1:$G$34,7,0)</f>
        <v>East Village</v>
      </c>
      <c r="G85" s="2" t="s">
        <v>71</v>
      </c>
      <c r="H85" s="7">
        <v>42478</v>
      </c>
      <c r="I85" s="9" t="str">
        <f t="shared" si="5"/>
        <v>Monday</v>
      </c>
      <c r="J85" s="9" t="str">
        <f t="shared" si="6"/>
        <v>April</v>
      </c>
      <c r="K85" s="2">
        <v>7.4099998469999999</v>
      </c>
      <c r="L85" s="2">
        <v>7.4099998469999999</v>
      </c>
      <c r="M85" s="2">
        <v>0</v>
      </c>
      <c r="N85" s="2">
        <v>2.1500000950000002</v>
      </c>
      <c r="O85" s="2">
        <v>0.62000000499999997</v>
      </c>
      <c r="P85" s="2">
        <v>4.6199998860000004</v>
      </c>
      <c r="Q85" s="2">
        <v>0.01</v>
      </c>
      <c r="R85" s="2">
        <v>17</v>
      </c>
      <c r="S85" s="2">
        <v>7</v>
      </c>
      <c r="T85" s="2">
        <v>202</v>
      </c>
      <c r="U85" s="2">
        <f t="shared" si="7"/>
        <v>226</v>
      </c>
      <c r="V85" s="2">
        <v>1214</v>
      </c>
      <c r="W85" s="2">
        <v>10536</v>
      </c>
      <c r="X85" s="2">
        <f t="shared" si="8"/>
        <v>10536</v>
      </c>
      <c r="Y85" s="2">
        <v>1604</v>
      </c>
      <c r="Z85" t="str" cm="1">
        <f t="array" ref="Z85">_xlfn.IFS(OR(R85&gt;66, S85&gt;38), "High Engagement", OR(AND(R85&gt;32, R85&lt;=66), AND(S85&gt;19, S85&lt;=38)), "Medium-High Engagement", OR(AND(R85&gt;4, R85&lt;=32), AND(S85&gt;6, S85&lt;=19)),"Medium Engagement", TRUE, "Low Engagement"
)</f>
        <v>Medium Engagement</v>
      </c>
      <c r="AA85">
        <f t="shared" si="9"/>
        <v>0.15223993925588458</v>
      </c>
    </row>
    <row r="86" spans="1:27" x14ac:dyDescent="0.35">
      <c r="A86" s="2">
        <v>1624580081</v>
      </c>
      <c r="B86" s="2" t="s">
        <v>87</v>
      </c>
      <c r="C86" s="2">
        <f>VLOOKUP(user_activity!A635,users_details!$A$1:$G$34,5,0)</f>
        <v>41</v>
      </c>
      <c r="D86" s="2" t="str" cm="1">
        <f t="array" ref="D86">_xlfn.IFS( AND(C86&gt;=18, C86&lt;=25), "Emerging Adults",  AND(C86&gt;=26, C86&lt;=35),  "Young Adults",  AND(C86&gt;=36, C86&lt;=45),  "Midlife Adults",  AND(C86&gt;=46, C86&lt;=55), "Mature Adults", C86&gt;=56,  "Older Adults", TRUE, "Age Not Mentioned")</f>
        <v>Midlife Adults</v>
      </c>
      <c r="E86" s="2" t="str">
        <f>VLOOKUP(user_activity!A635,users_details!$A$1:$G$34,6,0)</f>
        <v>East Harlem, Manhattan</v>
      </c>
      <c r="F86" s="2" t="str">
        <f>VLOOKUP(user_activity!A635,users_details!$A$1:$G$34,7,0)</f>
        <v>East Harlem</v>
      </c>
      <c r="G86" s="2" t="s">
        <v>71</v>
      </c>
      <c r="H86" s="7">
        <v>42465</v>
      </c>
      <c r="I86" s="9" t="str">
        <f t="shared" si="5"/>
        <v>Tuesday</v>
      </c>
      <c r="J86" s="9" t="str">
        <f t="shared" si="6"/>
        <v>April</v>
      </c>
      <c r="K86" s="2">
        <v>1.4299999480000001</v>
      </c>
      <c r="L86" s="2">
        <v>1.4299999480000001</v>
      </c>
      <c r="M86" s="2">
        <v>0</v>
      </c>
      <c r="N86" s="2">
        <v>0</v>
      </c>
      <c r="O86" s="2">
        <v>0</v>
      </c>
      <c r="P86" s="2">
        <v>1.4199999569999999</v>
      </c>
      <c r="Q86" s="2">
        <v>0</v>
      </c>
      <c r="R86" s="2">
        <v>0</v>
      </c>
      <c r="S86" s="2">
        <v>0</v>
      </c>
      <c r="T86" s="2">
        <v>118</v>
      </c>
      <c r="U86" s="2">
        <f t="shared" si="7"/>
        <v>118</v>
      </c>
      <c r="V86" s="2">
        <v>1322</v>
      </c>
      <c r="W86" s="2">
        <v>2193</v>
      </c>
      <c r="X86" s="2">
        <f t="shared" si="8"/>
        <v>2193</v>
      </c>
      <c r="Y86" s="2">
        <v>1368</v>
      </c>
      <c r="Z86" t="str" cm="1">
        <f t="array" ref="Z86">_xlfn.IFS(OR(R86&gt;66, S86&gt;38), "High Engagement", OR(AND(R86&gt;32, R86&lt;=66), AND(S86&gt;19, S86&lt;=38)), "Medium-High Engagement", OR(AND(R86&gt;4, R86&lt;=32), AND(S86&gt;6, S86&lt;=19)),"Medium Engagement", TRUE, "Low Engagement"
)</f>
        <v>Low Engagement</v>
      </c>
      <c r="AA86">
        <f t="shared" si="9"/>
        <v>0.62380300957592338</v>
      </c>
    </row>
    <row r="87" spans="1:27" x14ac:dyDescent="0.35">
      <c r="A87" s="2">
        <v>1624580081</v>
      </c>
      <c r="B87" s="2" t="s">
        <v>87</v>
      </c>
      <c r="C87" s="2">
        <f>VLOOKUP(user_activity!A644,users_details!$A$1:$G$34,5,0)</f>
        <v>45</v>
      </c>
      <c r="D87" s="2" t="str" cm="1">
        <f t="array" ref="D87">_xlfn.IFS( AND(C87&gt;=18, C87&lt;=25), "Emerging Adults",  AND(C87&gt;=26, C87&lt;=35),  "Young Adults",  AND(C87&gt;=36, C87&lt;=45),  "Midlife Adults",  AND(C87&gt;=46, C87&lt;=55), "Mature Adults", C87&gt;=56,  "Older Adults", TRUE, "Age Not Mentioned")</f>
        <v>Midlife Adults</v>
      </c>
      <c r="E87" s="2" t="str">
        <f>VLOOKUP(user_activity!A644,users_details!$A$1:$G$34,6,0)</f>
        <v>Harlem, Manhattan</v>
      </c>
      <c r="F87" s="2" t="str">
        <f>VLOOKUP(user_activity!A644,users_details!$A$1:$G$34,7,0)</f>
        <v>Harlem</v>
      </c>
      <c r="G87" s="2" t="s">
        <v>71</v>
      </c>
      <c r="H87" s="7">
        <v>42477</v>
      </c>
      <c r="I87" s="9" t="str">
        <f t="shared" si="5"/>
        <v>Sunday</v>
      </c>
      <c r="J87" s="9" t="str">
        <f t="shared" si="6"/>
        <v>April</v>
      </c>
      <c r="K87" s="2">
        <v>4.0599999430000002</v>
      </c>
      <c r="L87" s="2">
        <v>4.0599999430000002</v>
      </c>
      <c r="M87" s="2">
        <v>0</v>
      </c>
      <c r="N87" s="2">
        <v>1.0299999710000001</v>
      </c>
      <c r="O87" s="2">
        <v>1.519999981</v>
      </c>
      <c r="P87" s="2">
        <v>1.4900000099999999</v>
      </c>
      <c r="Q87" s="2">
        <v>0.01</v>
      </c>
      <c r="R87" s="2">
        <v>15</v>
      </c>
      <c r="S87" s="2">
        <v>22</v>
      </c>
      <c r="T87" s="2">
        <v>127</v>
      </c>
      <c r="U87" s="2">
        <f t="shared" si="7"/>
        <v>164</v>
      </c>
      <c r="V87" s="2">
        <v>1276</v>
      </c>
      <c r="W87" s="2">
        <v>6175</v>
      </c>
      <c r="X87" s="2">
        <f t="shared" si="8"/>
        <v>6175</v>
      </c>
      <c r="Y87" s="2">
        <v>1554</v>
      </c>
      <c r="Z87" t="str" cm="1">
        <f t="array" ref="Z87">_xlfn.IFS(OR(R87&gt;66, S87&gt;38), "High Engagement", OR(AND(R87&gt;32, R87&lt;=66), AND(S87&gt;19, S87&lt;=38)), "Medium-High Engagement", OR(AND(R87&gt;4, R87&lt;=32), AND(S87&gt;6, S87&lt;=19)),"Medium Engagement", TRUE, "Low Engagement"
)</f>
        <v>Medium-High Engagement</v>
      </c>
      <c r="AA87">
        <f t="shared" si="9"/>
        <v>0.25165991902834006</v>
      </c>
    </row>
    <row r="88" spans="1:27" x14ac:dyDescent="0.35">
      <c r="A88" s="2">
        <v>1624580081</v>
      </c>
      <c r="B88" s="2" t="s">
        <v>87</v>
      </c>
      <c r="C88" s="2">
        <f>VLOOKUP(user_activity!A761,users_details!$A$1:$G$34,5,0)</f>
        <v>53</v>
      </c>
      <c r="D88" s="2" t="str" cm="1">
        <f t="array" ref="D88">_xlfn.IFS( AND(C88&gt;=18, C88&lt;=25), "Emerging Adults",  AND(C88&gt;=26, C88&lt;=35),  "Young Adults",  AND(C88&gt;=36, C88&lt;=45),  "Midlife Adults",  AND(C88&gt;=46, C88&lt;=55), "Mature Adults", C88&gt;=56,  "Older Adults", TRUE, "Age Not Mentioned")</f>
        <v>Mature Adults</v>
      </c>
      <c r="E88" s="2" t="str">
        <f>VLOOKUP(user_activity!A761,users_details!$A$1:$G$34,6,0)</f>
        <v>Williamsburg, Brooklyn</v>
      </c>
      <c r="F88" s="2" t="str">
        <f>VLOOKUP(user_activity!A761,users_details!$A$1:$G$34,7,0)</f>
        <v>Williamsburg</v>
      </c>
      <c r="G88" s="2" t="s">
        <v>71</v>
      </c>
      <c r="H88" s="7">
        <v>42476</v>
      </c>
      <c r="I88" s="9" t="str">
        <f t="shared" si="5"/>
        <v>Saturday</v>
      </c>
      <c r="J88" s="9" t="str">
        <f t="shared" si="6"/>
        <v>April</v>
      </c>
      <c r="K88" s="2">
        <v>3.4900000100000002</v>
      </c>
      <c r="L88" s="2">
        <v>3.4900000100000002</v>
      </c>
      <c r="M88" s="2">
        <v>0</v>
      </c>
      <c r="N88" s="2">
        <v>0</v>
      </c>
      <c r="O88" s="2">
        <v>0</v>
      </c>
      <c r="P88" s="2">
        <v>3.4900000100000002</v>
      </c>
      <c r="Q88" s="2">
        <v>0</v>
      </c>
      <c r="R88" s="2">
        <v>0</v>
      </c>
      <c r="S88" s="2">
        <v>0</v>
      </c>
      <c r="T88" s="2">
        <v>176</v>
      </c>
      <c r="U88" s="2">
        <f t="shared" si="7"/>
        <v>176</v>
      </c>
      <c r="V88" s="2">
        <v>1264</v>
      </c>
      <c r="W88" s="2">
        <v>5370</v>
      </c>
      <c r="X88" s="2">
        <f t="shared" si="8"/>
        <v>5370</v>
      </c>
      <c r="Y88" s="2">
        <v>1463</v>
      </c>
      <c r="Z88" t="str" cm="1">
        <f t="array" ref="Z88">_xlfn.IFS(OR(R88&gt;66, S88&gt;38), "High Engagement", OR(AND(R88&gt;32, R88&lt;=66), AND(S88&gt;19, S88&lt;=38)), "Medium-High Engagement", OR(AND(R88&gt;4, R88&lt;=32), AND(S88&gt;6, S88&lt;=19)),"Medium Engagement", TRUE, "Low Engagement"
)</f>
        <v>Low Engagement</v>
      </c>
      <c r="AA88">
        <f t="shared" si="9"/>
        <v>0.27243947858473</v>
      </c>
    </row>
    <row r="89" spans="1:27" x14ac:dyDescent="0.35">
      <c r="A89" s="2">
        <v>1624580081</v>
      </c>
      <c r="B89" s="2" t="s">
        <v>87</v>
      </c>
      <c r="C89" s="2">
        <f>VLOOKUP(user_activity!A799,users_details!$A$1:$G$34,5,0)</f>
        <v>54</v>
      </c>
      <c r="D89" s="2" t="str" cm="1">
        <f t="array" ref="D89">_xlfn.IFS( AND(C89&gt;=18, C89&lt;=25), "Emerging Adults",  AND(C89&gt;=26, C89&lt;=35),  "Young Adults",  AND(C89&gt;=36, C89&lt;=45),  "Midlife Adults",  AND(C89&gt;=46, C89&lt;=55), "Mature Adults", C89&gt;=56,  "Older Adults", TRUE, "Age Not Mentioned")</f>
        <v>Mature Adults</v>
      </c>
      <c r="E89" s="2" t="str">
        <f>VLOOKUP(user_activity!A799,users_details!$A$1:$G$34,6,0)</f>
        <v>Crown Heights, Brooklyn</v>
      </c>
      <c r="F89" s="2" t="str">
        <f>VLOOKUP(user_activity!A799,users_details!$A$1:$G$34,7,0)</f>
        <v>Crown Heights</v>
      </c>
      <c r="G89" s="2" t="s">
        <v>71</v>
      </c>
      <c r="H89" s="7">
        <v>42488</v>
      </c>
      <c r="I89" s="9" t="str">
        <f t="shared" si="5"/>
        <v>Thursday</v>
      </c>
      <c r="J89" s="9" t="str">
        <f t="shared" si="6"/>
        <v>April</v>
      </c>
      <c r="K89" s="2">
        <v>1.789999962</v>
      </c>
      <c r="L89" s="2">
        <v>1.789999962</v>
      </c>
      <c r="M89" s="2">
        <v>0</v>
      </c>
      <c r="N89" s="2">
        <v>0</v>
      </c>
      <c r="O89" s="2">
        <v>0.20000000300000001</v>
      </c>
      <c r="P89" s="2">
        <v>1.6000000240000001</v>
      </c>
      <c r="Q89" s="2">
        <v>0</v>
      </c>
      <c r="R89" s="2">
        <v>0</v>
      </c>
      <c r="S89" s="2">
        <v>5</v>
      </c>
      <c r="T89" s="2">
        <v>115</v>
      </c>
      <c r="U89" s="2">
        <f t="shared" si="7"/>
        <v>120</v>
      </c>
      <c r="V89" s="2">
        <v>1320</v>
      </c>
      <c r="W89" s="2">
        <v>2759</v>
      </c>
      <c r="X89" s="2">
        <f t="shared" si="8"/>
        <v>2759</v>
      </c>
      <c r="Y89" s="2">
        <v>1401</v>
      </c>
      <c r="Z89" t="str" cm="1">
        <f t="array" ref="Z89">_xlfn.IFS(OR(R89&gt;66, S89&gt;38), "High Engagement", OR(AND(R89&gt;32, R89&lt;=66), AND(S89&gt;19, S89&lt;=38)), "Medium-High Engagement", OR(AND(R89&gt;4, R89&lt;=32), AND(S89&gt;6, S89&lt;=19)),"Medium Engagement", TRUE, "Low Engagement"
)</f>
        <v>Low Engagement</v>
      </c>
      <c r="AA89">
        <f t="shared" si="9"/>
        <v>0.50779267850670529</v>
      </c>
    </row>
    <row r="90" spans="1:27" x14ac:dyDescent="0.35">
      <c r="A90" s="2">
        <v>1624580081</v>
      </c>
      <c r="B90" s="2" t="s">
        <v>87</v>
      </c>
      <c r="C90" s="2">
        <f>VLOOKUP(user_activity!A800,users_details!$A$1:$G$34,5,0)</f>
        <v>54</v>
      </c>
      <c r="D90" s="2" t="str" cm="1">
        <f t="array" ref="D90">_xlfn.IFS( AND(C90&gt;=18, C90&lt;=25), "Emerging Adults",  AND(C90&gt;=26, C90&lt;=35),  "Young Adults",  AND(C90&gt;=36, C90&lt;=45),  "Midlife Adults",  AND(C90&gt;=46, C90&lt;=55), "Mature Adults", C90&gt;=56,  "Older Adults", TRUE, "Age Not Mentioned")</f>
        <v>Mature Adults</v>
      </c>
      <c r="E90" s="2" t="str">
        <f>VLOOKUP(user_activity!A800,users_details!$A$1:$G$34,6,0)</f>
        <v>Crown Heights, Brooklyn</v>
      </c>
      <c r="F90" s="2" t="str">
        <f>VLOOKUP(user_activity!A800,users_details!$A$1:$G$34,7,0)</f>
        <v>Crown Heights</v>
      </c>
      <c r="G90" s="2" t="s">
        <v>71</v>
      </c>
      <c r="H90" s="7">
        <v>42473</v>
      </c>
      <c r="I90" s="9" t="str">
        <f t="shared" si="5"/>
        <v>Wednesday</v>
      </c>
      <c r="J90" s="9" t="str">
        <f t="shared" si="6"/>
        <v>April</v>
      </c>
      <c r="K90" s="2">
        <v>4.5500001909999996</v>
      </c>
      <c r="L90" s="2">
        <v>4.5500001909999996</v>
      </c>
      <c r="M90" s="2">
        <v>0</v>
      </c>
      <c r="N90" s="2">
        <v>0</v>
      </c>
      <c r="O90" s="2">
        <v>0</v>
      </c>
      <c r="P90" s="2">
        <v>4.5500001909999996</v>
      </c>
      <c r="Q90" s="2">
        <v>0</v>
      </c>
      <c r="R90" s="2">
        <v>0</v>
      </c>
      <c r="S90" s="2">
        <v>0</v>
      </c>
      <c r="T90" s="2">
        <v>148</v>
      </c>
      <c r="U90" s="2">
        <f t="shared" si="7"/>
        <v>148</v>
      </c>
      <c r="V90" s="2">
        <v>1292</v>
      </c>
      <c r="W90" s="2">
        <v>7007</v>
      </c>
      <c r="X90" s="2">
        <f t="shared" si="8"/>
        <v>7007</v>
      </c>
      <c r="Y90" s="2">
        <v>1411</v>
      </c>
      <c r="Z90" t="str" cm="1">
        <f t="array" ref="Z90">_xlfn.IFS(OR(R90&gt;66, S90&gt;38), "High Engagement", OR(AND(R90&gt;32, R90&lt;=66), AND(S90&gt;19, S90&lt;=38)), "Medium-High Engagement", OR(AND(R90&gt;4, R90&lt;=32), AND(S90&gt;6, S90&lt;=19)),"Medium Engagement", TRUE, "Low Engagement"
)</f>
        <v>Low Engagement</v>
      </c>
      <c r="AA90">
        <f t="shared" si="9"/>
        <v>0.20137005851291565</v>
      </c>
    </row>
    <row r="91" spans="1:27" x14ac:dyDescent="0.35">
      <c r="A91" s="2">
        <v>1624580081</v>
      </c>
      <c r="B91" s="2" t="s">
        <v>87</v>
      </c>
      <c r="C91" s="2">
        <f>VLOOKUP(user_activity!A827,users_details!$A$1:$G$34,5,0)</f>
        <v>56</v>
      </c>
      <c r="D91" s="2" t="str" cm="1">
        <f t="array" ref="D91">_xlfn.IFS( AND(C91&gt;=18, C91&lt;=25), "Emerging Adults",  AND(C91&gt;=26, C91&lt;=35),  "Young Adults",  AND(C91&gt;=36, C91&lt;=45),  "Midlife Adults",  AND(C91&gt;=46, C91&lt;=55), "Mature Adults", C91&gt;=56,  "Older Adults", TRUE, "Age Not Mentioned")</f>
        <v>Older Adults</v>
      </c>
      <c r="E91" s="2" t="str">
        <f>VLOOKUP(user_activity!A827,users_details!$A$1:$G$34,6,0)</f>
        <v>Flatbush, Brooklyn</v>
      </c>
      <c r="F91" s="2" t="str">
        <f>VLOOKUP(user_activity!A827,users_details!$A$1:$G$34,7,0)</f>
        <v>Flatbush</v>
      </c>
      <c r="G91" s="2" t="s">
        <v>71</v>
      </c>
      <c r="H91" s="7">
        <v>42481</v>
      </c>
      <c r="I91" s="9" t="str">
        <f t="shared" si="5"/>
        <v>Thursday</v>
      </c>
      <c r="J91" s="9" t="str">
        <f t="shared" si="6"/>
        <v>April</v>
      </c>
      <c r="K91" s="2">
        <v>4.1300001139999996</v>
      </c>
      <c r="L91" s="2">
        <v>4.1300001139999996</v>
      </c>
      <c r="M91" s="2">
        <v>0</v>
      </c>
      <c r="N91" s="2">
        <v>0</v>
      </c>
      <c r="O91" s="2">
        <v>0</v>
      </c>
      <c r="P91" s="2">
        <v>4.1100001339999999</v>
      </c>
      <c r="Q91" s="2">
        <v>0.02</v>
      </c>
      <c r="R91" s="2">
        <v>0</v>
      </c>
      <c r="S91" s="2">
        <v>0</v>
      </c>
      <c r="T91" s="2">
        <v>186</v>
      </c>
      <c r="U91" s="2">
        <f t="shared" si="7"/>
        <v>186</v>
      </c>
      <c r="V91" s="2">
        <v>1254</v>
      </c>
      <c r="W91" s="2">
        <v>6349</v>
      </c>
      <c r="X91" s="2">
        <f t="shared" si="8"/>
        <v>6349</v>
      </c>
      <c r="Y91" s="2">
        <v>1467</v>
      </c>
      <c r="Z91" t="str" cm="1">
        <f t="array" ref="Z91">_xlfn.IFS(OR(R91&gt;66, S91&gt;38), "High Engagement", OR(AND(R91&gt;32, R91&lt;=66), AND(S91&gt;19, S91&lt;=38)), "Medium-High Engagement", OR(AND(R91&gt;4, R91&lt;=32), AND(S91&gt;6, S91&lt;=19)),"Medium Engagement", TRUE, "Low Engagement"
)</f>
        <v>Low Engagement</v>
      </c>
      <c r="AA91">
        <f t="shared" si="9"/>
        <v>0.23106000945030714</v>
      </c>
    </row>
    <row r="92" spans="1:27" x14ac:dyDescent="0.35">
      <c r="A92" s="2">
        <v>1624580081</v>
      </c>
      <c r="B92" s="2" t="s">
        <v>87</v>
      </c>
      <c r="C92" s="2">
        <f>VLOOKUP(user_activity!A834,users_details!$A$1:$G$34,5,0)</f>
        <v>56</v>
      </c>
      <c r="D92" s="2" t="str" cm="1">
        <f t="array" ref="D92">_xlfn.IFS( AND(C92&gt;=18, C92&lt;=25), "Emerging Adults",  AND(C92&gt;=26, C92&lt;=35),  "Young Adults",  AND(C92&gt;=36, C92&lt;=45),  "Midlife Adults",  AND(C92&gt;=46, C92&lt;=55), "Mature Adults", C92&gt;=56,  "Older Adults", TRUE, "Age Not Mentioned")</f>
        <v>Older Adults</v>
      </c>
      <c r="E92" s="2" t="str">
        <f>VLOOKUP(user_activity!A834,users_details!$A$1:$G$34,6,0)</f>
        <v>Flatbush, Brooklyn</v>
      </c>
      <c r="F92" s="2" t="str">
        <f>VLOOKUP(user_activity!A834,users_details!$A$1:$G$34,7,0)</f>
        <v>Flatbush</v>
      </c>
      <c r="G92" s="2" t="s">
        <v>71</v>
      </c>
      <c r="H92" s="7">
        <v>42434</v>
      </c>
      <c r="I92" s="9" t="str">
        <f t="shared" si="5"/>
        <v>Saturday</v>
      </c>
      <c r="J92" s="9" t="str">
        <f t="shared" si="6"/>
        <v>March</v>
      </c>
      <c r="K92" s="2">
        <v>1.3700000050000001</v>
      </c>
      <c r="L92" s="2">
        <v>1.3700000050000001</v>
      </c>
      <c r="M92" s="2">
        <v>0</v>
      </c>
      <c r="N92" s="2">
        <v>0</v>
      </c>
      <c r="O92" s="2">
        <v>0</v>
      </c>
      <c r="P92" s="2">
        <v>1.3400000329999999</v>
      </c>
      <c r="Q92" s="2">
        <v>0.02</v>
      </c>
      <c r="R92" s="2">
        <v>0</v>
      </c>
      <c r="S92" s="2">
        <v>0</v>
      </c>
      <c r="T92" s="2">
        <v>96</v>
      </c>
      <c r="U92" s="2">
        <f t="shared" si="7"/>
        <v>96</v>
      </c>
      <c r="V92" s="2">
        <v>1344</v>
      </c>
      <c r="W92" s="2">
        <v>2100</v>
      </c>
      <c r="X92" s="2">
        <f t="shared" si="8"/>
        <v>2100</v>
      </c>
      <c r="Y92" s="2">
        <v>1334</v>
      </c>
      <c r="Z92" t="str" cm="1">
        <f t="array" ref="Z92">_xlfn.IFS(OR(R92&gt;66, S92&gt;38), "High Engagement", OR(AND(R92&gt;32, R92&lt;=66), AND(S92&gt;19, S92&lt;=38)), "Medium-High Engagement", OR(AND(R92&gt;4, R92&lt;=32), AND(S92&gt;6, S92&lt;=19)),"Medium Engagement", TRUE, "Low Engagement"
)</f>
        <v>Low Engagement</v>
      </c>
      <c r="AA92">
        <f t="shared" si="9"/>
        <v>0.63523809523809527</v>
      </c>
    </row>
    <row r="93" spans="1:27" x14ac:dyDescent="0.35">
      <c r="A93" s="2">
        <v>1624580081</v>
      </c>
      <c r="B93" s="2" t="s">
        <v>87</v>
      </c>
      <c r="C93" s="2">
        <f>VLOOKUP(user_activity!A865,users_details!$A$1:$G$34,5,0)</f>
        <v>58</v>
      </c>
      <c r="D93" s="2" t="str" cm="1">
        <f t="array" ref="D93">_xlfn.IFS( AND(C93&gt;=18, C93&lt;=25), "Emerging Adults",  AND(C93&gt;=26, C93&lt;=35),  "Young Adults",  AND(C93&gt;=36, C93&lt;=45),  "Midlife Adults",  AND(C93&gt;=46, C93&lt;=55), "Mature Adults", C93&gt;=56,  "Older Adults", TRUE, "Age Not Mentioned")</f>
        <v>Older Adults</v>
      </c>
      <c r="E93" s="2" t="str">
        <f>VLOOKUP(user_activity!A865,users_details!$A$1:$G$34,6,0)</f>
        <v>East Village, Manhattan</v>
      </c>
      <c r="F93" s="2" t="str">
        <f>VLOOKUP(user_activity!A865,users_details!$A$1:$G$34,7,0)</f>
        <v>East Village</v>
      </c>
      <c r="G93" s="2" t="s">
        <v>71</v>
      </c>
      <c r="H93" s="7">
        <v>42475</v>
      </c>
      <c r="I93" s="9" t="str">
        <f t="shared" si="5"/>
        <v>Friday</v>
      </c>
      <c r="J93" s="9" t="str">
        <f t="shared" si="6"/>
        <v>April</v>
      </c>
      <c r="K93" s="2">
        <v>0.980000019</v>
      </c>
      <c r="L93" s="2">
        <v>0.980000019</v>
      </c>
      <c r="M93" s="2">
        <v>0</v>
      </c>
      <c r="N93" s="2">
        <v>0</v>
      </c>
      <c r="O93" s="2">
        <v>0</v>
      </c>
      <c r="P93" s="2">
        <v>0.97000002900000004</v>
      </c>
      <c r="Q93" s="2">
        <v>0</v>
      </c>
      <c r="R93" s="2">
        <v>0</v>
      </c>
      <c r="S93" s="2">
        <v>0</v>
      </c>
      <c r="T93" s="2">
        <v>96</v>
      </c>
      <c r="U93" s="2">
        <f t="shared" si="7"/>
        <v>96</v>
      </c>
      <c r="V93" s="2">
        <v>1344</v>
      </c>
      <c r="W93" s="2">
        <v>1510</v>
      </c>
      <c r="X93" s="2">
        <f t="shared" si="8"/>
        <v>1510</v>
      </c>
      <c r="Y93" s="2">
        <v>1344</v>
      </c>
      <c r="Z93" t="str" cm="1">
        <f t="array" ref="Z93">_xlfn.IFS(OR(R93&gt;66, S93&gt;38), "High Engagement", OR(AND(R93&gt;32, R93&lt;=66), AND(S93&gt;19, S93&lt;=38)), "Medium-High Engagement", OR(AND(R93&gt;4, R93&lt;=32), AND(S93&gt;6, S93&lt;=19)),"Medium Engagement", TRUE, "Low Engagement"
)</f>
        <v>Low Engagement</v>
      </c>
      <c r="AA93">
        <f t="shared" si="9"/>
        <v>0.89006622516556289</v>
      </c>
    </row>
    <row r="94" spans="1:27" x14ac:dyDescent="0.35">
      <c r="A94" s="2">
        <v>1624580081</v>
      </c>
      <c r="B94" s="2" t="s">
        <v>87</v>
      </c>
      <c r="C94" s="2">
        <f>VLOOKUP(user_activity!A902,users_details!$A$1:$G$34,5,0)</f>
        <v>59</v>
      </c>
      <c r="D94" s="2" t="str" cm="1">
        <f t="array" ref="D94">_xlfn.IFS( AND(C94&gt;=18, C94&lt;=25), "Emerging Adults",  AND(C94&gt;=26, C94&lt;=35),  "Young Adults",  AND(C94&gt;=36, C94&lt;=45),  "Midlife Adults",  AND(C94&gt;=46, C94&lt;=55), "Mature Adults", C94&gt;=56,  "Older Adults", TRUE, "Age Not Mentioned")</f>
        <v>Older Adults</v>
      </c>
      <c r="E94" s="2" t="str">
        <f>VLOOKUP(user_activity!A902,users_details!$A$1:$G$34,6,0)</f>
        <v>Upper West Side, Manhattan</v>
      </c>
      <c r="F94" s="2" t="str">
        <f>VLOOKUP(user_activity!A902,users_details!$A$1:$G$34,7,0)</f>
        <v>Upper West Side</v>
      </c>
      <c r="G94" s="2" t="s">
        <v>71</v>
      </c>
      <c r="H94" s="7">
        <v>42618</v>
      </c>
      <c r="I94" s="9" t="str">
        <f t="shared" si="5"/>
        <v>Monday</v>
      </c>
      <c r="J94" s="9" t="str">
        <f t="shared" si="6"/>
        <v>September</v>
      </c>
      <c r="K94" s="2">
        <v>1.1299999949999999</v>
      </c>
      <c r="L94" s="2">
        <v>1.1299999949999999</v>
      </c>
      <c r="M94" s="2">
        <v>0</v>
      </c>
      <c r="N94" s="2">
        <v>0</v>
      </c>
      <c r="O94" s="2">
        <v>0</v>
      </c>
      <c r="P94" s="2">
        <v>1.1299999949999999</v>
      </c>
      <c r="Q94" s="2">
        <v>0</v>
      </c>
      <c r="R94" s="2">
        <v>0</v>
      </c>
      <c r="S94" s="2">
        <v>0</v>
      </c>
      <c r="T94" s="2">
        <v>91</v>
      </c>
      <c r="U94" s="2">
        <f t="shared" si="7"/>
        <v>91</v>
      </c>
      <c r="V94" s="2">
        <v>1349</v>
      </c>
      <c r="W94" s="2">
        <v>1732</v>
      </c>
      <c r="X94" s="2">
        <f t="shared" si="8"/>
        <v>1732</v>
      </c>
      <c r="Y94" s="2">
        <v>1328</v>
      </c>
      <c r="Z94" t="str" cm="1">
        <f t="array" ref="Z94">_xlfn.IFS(OR(R94&gt;66, S94&gt;38), "High Engagement", OR(AND(R94&gt;32, R94&lt;=66), AND(S94&gt;19, S94&lt;=38)), "Medium-High Engagement", OR(AND(R94&gt;4, R94&lt;=32), AND(S94&gt;6, S94&lt;=19)),"Medium Engagement", TRUE, "Low Engagement"
)</f>
        <v>Low Engagement</v>
      </c>
      <c r="AA94">
        <f t="shared" si="9"/>
        <v>0.76674364896073899</v>
      </c>
    </row>
    <row r="95" spans="1:27" x14ac:dyDescent="0.35">
      <c r="A95" s="2">
        <v>8253242879</v>
      </c>
      <c r="B95" s="2" t="s">
        <v>84</v>
      </c>
      <c r="C95" s="2">
        <f>VLOOKUP(user_activity!A16,users_details!$A$1:$G$34,5,0)</f>
        <v>18</v>
      </c>
      <c r="D95" s="2" t="str" cm="1">
        <f t="array" ref="D95">_xlfn.IFS( AND(C95&gt;=18, C95&lt;=25), "Emerging Adults",  AND(C95&gt;=26, C95&lt;=35),  "Young Adults",  AND(C95&gt;=36, C95&lt;=45),  "Midlife Adults",  AND(C95&gt;=46, C95&lt;=55), "Mature Adults", C95&gt;=56,  "Older Adults", TRUE, "Age Not Mentioned")</f>
        <v>Emerging Adults</v>
      </c>
      <c r="E95" s="2" t="str">
        <f>VLOOKUP(user_activity!A16,users_details!$A$1:$G$34,6,0)</f>
        <v>Hell's Kitchen, Manhattan</v>
      </c>
      <c r="F95" s="2" t="str">
        <f>VLOOKUP(user_activity!A16,users_details!$A$1:$G$34,7,0)</f>
        <v>Hell's Kitchen</v>
      </c>
      <c r="G95" s="2" t="s">
        <v>72</v>
      </c>
      <c r="H95" s="7">
        <v>42487</v>
      </c>
      <c r="I95" s="9" t="str">
        <f t="shared" si="5"/>
        <v>Wednesday</v>
      </c>
      <c r="J95" s="9" t="str">
        <f t="shared" si="6"/>
        <v>April</v>
      </c>
      <c r="K95" s="2">
        <v>8.1800003050000001</v>
      </c>
      <c r="L95" s="2">
        <v>8.1800003050000001</v>
      </c>
      <c r="M95" s="2">
        <v>0</v>
      </c>
      <c r="N95" s="2">
        <v>6.2399997709999999</v>
      </c>
      <c r="O95" s="2">
        <v>0.23000000400000001</v>
      </c>
      <c r="P95" s="2">
        <v>1.7000000479999999</v>
      </c>
      <c r="Q95" s="2">
        <v>0</v>
      </c>
      <c r="R95" s="2">
        <v>45</v>
      </c>
      <c r="S95" s="2">
        <v>5</v>
      </c>
      <c r="T95" s="2">
        <v>104</v>
      </c>
      <c r="U95" s="2">
        <f t="shared" si="7"/>
        <v>154</v>
      </c>
      <c r="V95" s="2">
        <v>1286</v>
      </c>
      <c r="W95" s="2">
        <v>10232</v>
      </c>
      <c r="X95" s="2">
        <f t="shared" si="8"/>
        <v>10232</v>
      </c>
      <c r="Y95" s="2">
        <v>2008</v>
      </c>
      <c r="Z95" t="str" cm="1">
        <f t="array" ref="Z95">_xlfn.IFS(OR(R95&gt;66, S95&gt;38), "High Engagement", OR(AND(R95&gt;32, R95&lt;=66), AND(S95&gt;19, S95&lt;=38)), "Medium-High Engagement", OR(AND(R95&gt;4, R95&lt;=32), AND(S95&gt;6, S95&lt;=19)),"Medium Engagement", TRUE, "Low Engagement"
)</f>
        <v>Medium-High Engagement</v>
      </c>
      <c r="AA95">
        <f t="shared" si="9"/>
        <v>0.1962470680218921</v>
      </c>
    </row>
    <row r="96" spans="1:27" x14ac:dyDescent="0.35">
      <c r="A96" s="2">
        <v>2022484408</v>
      </c>
      <c r="B96" s="2" t="s">
        <v>86</v>
      </c>
      <c r="C96" s="2">
        <f>VLOOKUP(user_activity!A23,users_details!$A$1:$G$34,5,0)</f>
        <v>18</v>
      </c>
      <c r="D96" s="2" t="str" cm="1">
        <f t="array" ref="D96">_xlfn.IFS( AND(C96&gt;=18, C96&lt;=25), "Emerging Adults",  AND(C96&gt;=26, C96&lt;=35),  "Young Adults",  AND(C96&gt;=36, C96&lt;=45),  "Midlife Adults",  AND(C96&gt;=46, C96&lt;=55), "Mature Adults", C96&gt;=56,  "Older Adults", TRUE, "Age Not Mentioned")</f>
        <v>Emerging Adults</v>
      </c>
      <c r="E96" s="2" t="str">
        <f>VLOOKUP(user_activity!A23,users_details!$A$1:$G$34,6,0)</f>
        <v>Upper West Side, Manhattan</v>
      </c>
      <c r="F96" s="2" t="str">
        <f>VLOOKUP(user_activity!A23,users_details!$A$1:$G$34,7,0)</f>
        <v>Upper West Side</v>
      </c>
      <c r="G96" s="2" t="s">
        <v>72</v>
      </c>
      <c r="H96" s="7">
        <v>42405</v>
      </c>
      <c r="I96" s="9" t="str">
        <f t="shared" si="5"/>
        <v>Friday</v>
      </c>
      <c r="J96" s="9" t="str">
        <f t="shared" si="6"/>
        <v>February</v>
      </c>
      <c r="K96" s="2">
        <v>7.2899999619999996</v>
      </c>
      <c r="L96" s="2">
        <v>7.2899999619999996</v>
      </c>
      <c r="M96" s="2">
        <v>0</v>
      </c>
      <c r="N96" s="2">
        <v>2.6099998950000001</v>
      </c>
      <c r="O96" s="2">
        <v>0.34000000400000002</v>
      </c>
      <c r="P96" s="2">
        <v>4.329999924</v>
      </c>
      <c r="Q96" s="2">
        <v>0</v>
      </c>
      <c r="R96" s="2">
        <v>36</v>
      </c>
      <c r="S96" s="2">
        <v>8</v>
      </c>
      <c r="T96" s="2">
        <v>277</v>
      </c>
      <c r="U96" s="2">
        <f t="shared" si="7"/>
        <v>321</v>
      </c>
      <c r="V96" s="2">
        <v>1119</v>
      </c>
      <c r="W96" s="2">
        <v>10379</v>
      </c>
      <c r="X96" s="2">
        <f t="shared" si="8"/>
        <v>10379</v>
      </c>
      <c r="Y96" s="2">
        <v>2473</v>
      </c>
      <c r="Z96" t="str" cm="1">
        <f t="array" ref="Z96">_xlfn.IFS(OR(R96&gt;66, S96&gt;38), "High Engagement", OR(AND(R96&gt;32, R96&lt;=66), AND(S96&gt;19, S96&lt;=38)), "Medium-High Engagement", OR(AND(R96&gt;4, R96&lt;=32), AND(S96&gt;6, S96&lt;=19)),"Medium Engagement", TRUE, "Low Engagement"
)</f>
        <v>Medium-High Engagement</v>
      </c>
      <c r="AA96">
        <f t="shared" si="9"/>
        <v>0.2382695828114462</v>
      </c>
    </row>
    <row r="97" spans="1:27" x14ac:dyDescent="0.35">
      <c r="A97" s="2">
        <v>2022484408</v>
      </c>
      <c r="B97" s="2" t="s">
        <v>86</v>
      </c>
      <c r="C97" s="2">
        <f>VLOOKUP(user_activity!A31,users_details!$A$1:$G$34,5,0)</f>
        <v>18</v>
      </c>
      <c r="D97" s="2" t="str" cm="1">
        <f t="array" ref="D97">_xlfn.IFS( AND(C97&gt;=18, C97&lt;=25), "Emerging Adults",  AND(C97&gt;=26, C97&lt;=35),  "Young Adults",  AND(C97&gt;=36, C97&lt;=45),  "Midlife Adults",  AND(C97&gt;=46, C97&lt;=55), "Mature Adults", C97&gt;=56,  "Older Adults", TRUE, "Age Not Mentioned")</f>
        <v>Emerging Adults</v>
      </c>
      <c r="E97" s="2" t="str">
        <f>VLOOKUP(user_activity!A31,users_details!$A$1:$G$34,6,0)</f>
        <v>Upper West Side, Manhattan</v>
      </c>
      <c r="F97" s="2" t="str">
        <f>VLOOKUP(user_activity!A31,users_details!$A$1:$G$34,7,0)</f>
        <v>Upper West Side</v>
      </c>
      <c r="G97" s="2" t="s">
        <v>72</v>
      </c>
      <c r="H97" s="7">
        <v>42483</v>
      </c>
      <c r="I97" s="9" t="str">
        <f t="shared" si="5"/>
        <v>Saturday</v>
      </c>
      <c r="J97" s="9" t="str">
        <f t="shared" si="6"/>
        <v>April</v>
      </c>
      <c r="K97" s="2">
        <v>4.2100000380000004</v>
      </c>
      <c r="L97" s="2">
        <v>4.2100000380000004</v>
      </c>
      <c r="M97" s="2">
        <v>0</v>
      </c>
      <c r="N97" s="2">
        <v>0</v>
      </c>
      <c r="O97" s="2">
        <v>0</v>
      </c>
      <c r="P97" s="2">
        <v>4.2100000380000004</v>
      </c>
      <c r="Q97" s="2">
        <v>0</v>
      </c>
      <c r="R97" s="2">
        <v>0</v>
      </c>
      <c r="S97" s="2">
        <v>0</v>
      </c>
      <c r="T97" s="2">
        <v>249</v>
      </c>
      <c r="U97" s="2">
        <f t="shared" si="7"/>
        <v>249</v>
      </c>
      <c r="V97" s="2">
        <v>1191</v>
      </c>
      <c r="W97" s="2">
        <v>6001</v>
      </c>
      <c r="X97" s="2">
        <f t="shared" si="8"/>
        <v>6001</v>
      </c>
      <c r="Y97" s="2">
        <v>2069</v>
      </c>
      <c r="Z97" t="str" cm="1">
        <f t="array" ref="Z97">_xlfn.IFS(OR(R97&gt;66, S97&gt;38), "High Engagement", OR(AND(R97&gt;32, R97&lt;=66), AND(S97&gt;19, S97&lt;=38)), "Medium-High Engagement", OR(AND(R97&gt;4, R97&lt;=32), AND(S97&gt;6, S97&lt;=19)),"Medium Engagement", TRUE, "Low Engagement"
)</f>
        <v>Low Engagement</v>
      </c>
      <c r="AA97">
        <f t="shared" si="9"/>
        <v>0.34477587068821863</v>
      </c>
    </row>
    <row r="98" spans="1:27" x14ac:dyDescent="0.35">
      <c r="A98" s="2">
        <v>2022484408</v>
      </c>
      <c r="B98" s="2" t="s">
        <v>86</v>
      </c>
      <c r="C98" s="2">
        <f>VLOOKUP(user_activity!A33,users_details!$A$1:$G$34,5,0)</f>
        <v>18</v>
      </c>
      <c r="D98" s="2" t="str" cm="1">
        <f t="array" ref="D98">_xlfn.IFS( AND(C98&gt;=18, C98&lt;=25), "Emerging Adults",  AND(C98&gt;=26, C98&lt;=35),  "Young Adults",  AND(C98&gt;=36, C98&lt;=45),  "Midlife Adults",  AND(C98&gt;=46, C98&lt;=55), "Mature Adults", C98&gt;=56,  "Older Adults", TRUE, "Age Not Mentioned")</f>
        <v>Emerging Adults</v>
      </c>
      <c r="E98" s="2" t="str">
        <f>VLOOKUP(user_activity!A33,users_details!$A$1:$G$34,6,0)</f>
        <v>Upper West Side, Manhattan</v>
      </c>
      <c r="F98" s="2" t="str">
        <f>VLOOKUP(user_activity!A33,users_details!$A$1:$G$34,7,0)</f>
        <v>Upper West Side</v>
      </c>
      <c r="G98" s="2" t="s">
        <v>72</v>
      </c>
      <c r="H98" s="7">
        <v>42476</v>
      </c>
      <c r="I98" s="9" t="str">
        <f t="shared" si="5"/>
        <v>Saturday</v>
      </c>
      <c r="J98" s="9" t="str">
        <f t="shared" si="6"/>
        <v>April</v>
      </c>
      <c r="K98" s="2">
        <v>7.0900001530000001</v>
      </c>
      <c r="L98" s="2">
        <v>7.0900001530000001</v>
      </c>
      <c r="M98" s="2">
        <v>0</v>
      </c>
      <c r="N98" s="2">
        <v>3.1500000950000002</v>
      </c>
      <c r="O98" s="2">
        <v>0.55000001200000004</v>
      </c>
      <c r="P98" s="2">
        <v>3.3900001049999999</v>
      </c>
      <c r="Q98" s="2">
        <v>0</v>
      </c>
      <c r="R98" s="2">
        <v>41</v>
      </c>
      <c r="S98" s="2">
        <v>11</v>
      </c>
      <c r="T98" s="2">
        <v>151</v>
      </c>
      <c r="U98" s="2">
        <f t="shared" si="7"/>
        <v>203</v>
      </c>
      <c r="V98" s="2">
        <v>1237</v>
      </c>
      <c r="W98" s="2">
        <v>10100</v>
      </c>
      <c r="X98" s="2">
        <f t="shared" si="8"/>
        <v>10100</v>
      </c>
      <c r="Y98" s="2">
        <v>2177</v>
      </c>
      <c r="Z98" t="str" cm="1">
        <f t="array" ref="Z98">_xlfn.IFS(OR(R98&gt;66, S98&gt;38), "High Engagement", OR(AND(R98&gt;32, R98&lt;=66), AND(S98&gt;19, S98&lt;=38)), "Medium-High Engagement", OR(AND(R98&gt;4, R98&lt;=32), AND(S98&gt;6, S98&lt;=19)),"Medium Engagement", TRUE, "Low Engagement"
)</f>
        <v>Medium-High Engagement</v>
      </c>
      <c r="AA98">
        <f t="shared" si="9"/>
        <v>0.21554455445544554</v>
      </c>
    </row>
    <row r="99" spans="1:27" x14ac:dyDescent="0.35">
      <c r="A99" s="2">
        <v>8253242879</v>
      </c>
      <c r="B99" s="2" t="s">
        <v>84</v>
      </c>
      <c r="C99" s="2">
        <f>VLOOKUP(user_activity!A48,users_details!$A$1:$G$34,5,0)</f>
        <v>18</v>
      </c>
      <c r="D99" s="2" t="str" cm="1">
        <f t="array" ref="D99">_xlfn.IFS( AND(C99&gt;=18, C99&lt;=25), "Emerging Adults",  AND(C99&gt;=26, C99&lt;=35),  "Young Adults",  AND(C99&gt;=36, C99&lt;=45),  "Midlife Adults",  AND(C99&gt;=46, C99&lt;=55), "Mature Adults", C99&gt;=56,  "Older Adults", TRUE, "Age Not Mentioned")</f>
        <v>Emerging Adults</v>
      </c>
      <c r="E99" s="2" t="str">
        <f>VLOOKUP(user_activity!A48,users_details!$A$1:$G$34,6,0)</f>
        <v>Hell's Kitchen, Manhattan</v>
      </c>
      <c r="F99" s="2" t="str">
        <f>VLOOKUP(user_activity!A48,users_details!$A$1:$G$34,7,0)</f>
        <v>Hell's Kitchen</v>
      </c>
      <c r="G99" s="2" t="s">
        <v>72</v>
      </c>
      <c r="H99" s="7">
        <v>42480</v>
      </c>
      <c r="I99" s="9" t="str">
        <f t="shared" si="5"/>
        <v>Wednesday</v>
      </c>
      <c r="J99" s="9" t="str">
        <f t="shared" si="6"/>
        <v>April</v>
      </c>
      <c r="K99" s="2">
        <v>4.2699999809999998</v>
      </c>
      <c r="L99" s="2">
        <v>4.2699999809999998</v>
      </c>
      <c r="M99" s="2">
        <v>0</v>
      </c>
      <c r="N99" s="2">
        <v>0.33000001299999998</v>
      </c>
      <c r="O99" s="2">
        <v>0.81999999300000004</v>
      </c>
      <c r="P99" s="2">
        <v>3.1099998950000001</v>
      </c>
      <c r="Q99" s="2">
        <v>0.01</v>
      </c>
      <c r="R99" s="2">
        <v>5</v>
      </c>
      <c r="S99" s="2">
        <v>18</v>
      </c>
      <c r="T99" s="2">
        <v>216</v>
      </c>
      <c r="U99" s="2">
        <f t="shared" si="7"/>
        <v>239</v>
      </c>
      <c r="V99" s="2">
        <v>1201</v>
      </c>
      <c r="W99" s="2">
        <v>6466</v>
      </c>
      <c r="X99" s="2">
        <f t="shared" si="8"/>
        <v>6466</v>
      </c>
      <c r="Y99" s="2">
        <v>1931</v>
      </c>
      <c r="Z99" t="str" cm="1">
        <f t="array" ref="Z99">_xlfn.IFS(OR(R99&gt;66, S99&gt;38), "High Engagement", OR(AND(R99&gt;32, R99&lt;=66), AND(S99&gt;19, S99&lt;=38)), "Medium-High Engagement", OR(AND(R99&gt;4, R99&lt;=32), AND(S99&gt;6, S99&lt;=19)),"Medium Engagement", TRUE, "Low Engagement"
)</f>
        <v>Medium Engagement</v>
      </c>
      <c r="AA99">
        <f t="shared" si="9"/>
        <v>0.2986390349520569</v>
      </c>
    </row>
    <row r="100" spans="1:27" x14ac:dyDescent="0.35">
      <c r="A100" s="2">
        <v>2022484408</v>
      </c>
      <c r="B100" s="2" t="s">
        <v>86</v>
      </c>
      <c r="C100" s="2">
        <f>VLOOKUP(user_activity!A58,users_details!$A$1:$G$34,5,0)</f>
        <v>18</v>
      </c>
      <c r="D100" s="2" t="str" cm="1">
        <f t="array" ref="D100">_xlfn.IFS( AND(C100&gt;=18, C100&lt;=25), "Emerging Adults",  AND(C100&gt;=26, C100&lt;=35),  "Young Adults",  AND(C100&gt;=36, C100&lt;=45),  "Midlife Adults",  AND(C100&gt;=46, C100&lt;=55), "Mature Adults", C100&gt;=56,  "Older Adults", TRUE, "Age Not Mentioned")</f>
        <v>Emerging Adults</v>
      </c>
      <c r="E100" s="2" t="str">
        <f>VLOOKUP(user_activity!A58,users_details!$A$1:$G$34,6,0)</f>
        <v>Upper West Side, Manhattan</v>
      </c>
      <c r="F100" s="2" t="str">
        <f>VLOOKUP(user_activity!A58,users_details!$A$1:$G$34,7,0)</f>
        <v>Upper West Side</v>
      </c>
      <c r="G100" s="2" t="s">
        <v>72</v>
      </c>
      <c r="H100" s="7">
        <v>42486</v>
      </c>
      <c r="I100" s="9" t="str">
        <f t="shared" si="5"/>
        <v>Tuesday</v>
      </c>
      <c r="J100" s="9" t="str">
        <f t="shared" si="6"/>
        <v>April</v>
      </c>
      <c r="K100" s="2">
        <v>7.1900000569999998</v>
      </c>
      <c r="L100" s="2">
        <v>7.1900000569999998</v>
      </c>
      <c r="M100" s="2">
        <v>0</v>
      </c>
      <c r="N100" s="2">
        <v>1.4299999480000001</v>
      </c>
      <c r="O100" s="2">
        <v>0.66000002599999996</v>
      </c>
      <c r="P100" s="2">
        <v>5.1100001339999999</v>
      </c>
      <c r="Q100" s="2">
        <v>0</v>
      </c>
      <c r="R100" s="2">
        <v>55</v>
      </c>
      <c r="S100" s="2">
        <v>24</v>
      </c>
      <c r="T100" s="2">
        <v>275</v>
      </c>
      <c r="U100" s="2">
        <f t="shared" si="7"/>
        <v>354</v>
      </c>
      <c r="V100" s="2">
        <v>1086</v>
      </c>
      <c r="W100" s="2">
        <v>10119</v>
      </c>
      <c r="X100" s="2">
        <f t="shared" si="8"/>
        <v>10119</v>
      </c>
      <c r="Y100" s="2">
        <v>2793</v>
      </c>
      <c r="Z100" t="str" cm="1">
        <f t="array" ref="Z100">_xlfn.IFS(OR(R100&gt;66, S100&gt;38), "High Engagement", OR(AND(R100&gt;32, R100&lt;=66), AND(S100&gt;19, S100&lt;=38)), "Medium-High Engagement", OR(AND(R100&gt;4, R100&lt;=32), AND(S100&gt;6, S100&lt;=19)),"Medium Engagement", TRUE, "Low Engagement"
)</f>
        <v>Medium-High Engagement</v>
      </c>
      <c r="AA100">
        <f t="shared" si="9"/>
        <v>0.27601541654313666</v>
      </c>
    </row>
    <row r="101" spans="1:27" x14ac:dyDescent="0.35">
      <c r="A101" s="2">
        <v>8253242879</v>
      </c>
      <c r="B101" s="2" t="s">
        <v>84</v>
      </c>
      <c r="C101" s="2">
        <f>VLOOKUP(user_activity!A112,users_details!$A$1:$G$34,5,0)</f>
        <v>22</v>
      </c>
      <c r="D101" s="2" t="str" cm="1">
        <f t="array" ref="D101">_xlfn.IFS( AND(C101&gt;=18, C101&lt;=25), "Emerging Adults",  AND(C101&gt;=26, C101&lt;=35),  "Young Adults",  AND(C101&gt;=36, C101&lt;=45),  "Midlife Adults",  AND(C101&gt;=46, C101&lt;=55), "Mature Adults", C101&gt;=56,  "Older Adults", TRUE, "Age Not Mentioned")</f>
        <v>Emerging Adults</v>
      </c>
      <c r="E101" s="2" t="str">
        <f>VLOOKUP(user_activity!A112,users_details!$A$1:$G$34,6,0)</f>
        <v>Upper East Side, Manhattan</v>
      </c>
      <c r="F101" s="2" t="str">
        <f>VLOOKUP(user_activity!A112,users_details!$A$1:$G$34,7,0)</f>
        <v>Upper East Side</v>
      </c>
      <c r="G101" s="2" t="s">
        <v>72</v>
      </c>
      <c r="H101" s="7">
        <v>42486</v>
      </c>
      <c r="I101" s="9" t="str">
        <f t="shared" si="5"/>
        <v>Tuesday</v>
      </c>
      <c r="J101" s="9" t="str">
        <f t="shared" si="6"/>
        <v>April</v>
      </c>
      <c r="K101" s="2">
        <v>3.039999962</v>
      </c>
      <c r="L101" s="2">
        <v>3.039999962</v>
      </c>
      <c r="M101" s="2">
        <v>0</v>
      </c>
      <c r="N101" s="2">
        <v>1.1799999480000001</v>
      </c>
      <c r="O101" s="2">
        <v>0.49000000999999999</v>
      </c>
      <c r="P101" s="2">
        <v>1.3700000050000001</v>
      </c>
      <c r="Q101" s="2">
        <v>0</v>
      </c>
      <c r="R101" s="2">
        <v>19</v>
      </c>
      <c r="S101" s="2">
        <v>14</v>
      </c>
      <c r="T101" s="2">
        <v>108</v>
      </c>
      <c r="U101" s="2">
        <f t="shared" si="7"/>
        <v>141</v>
      </c>
      <c r="V101" s="2">
        <v>1299</v>
      </c>
      <c r="W101" s="2">
        <v>4562</v>
      </c>
      <c r="X101" s="2">
        <f t="shared" si="8"/>
        <v>4562</v>
      </c>
      <c r="Y101" s="2">
        <v>1813</v>
      </c>
      <c r="Z101" t="str" cm="1">
        <f t="array" ref="Z101">_xlfn.IFS(OR(R101&gt;66, S101&gt;38), "High Engagement", OR(AND(R101&gt;32, R101&lt;=66), AND(S101&gt;19, S101&lt;=38)), "Medium-High Engagement", OR(AND(R101&gt;4, R101&lt;=32), AND(S101&gt;6, S101&lt;=19)),"Medium Engagement", TRUE, "Low Engagement"
)</f>
        <v>Medium Engagement</v>
      </c>
      <c r="AA101">
        <f t="shared" si="9"/>
        <v>0.39741341516878564</v>
      </c>
    </row>
    <row r="102" spans="1:27" x14ac:dyDescent="0.35">
      <c r="A102" s="2">
        <v>8253242879</v>
      </c>
      <c r="B102" s="2" t="s">
        <v>84</v>
      </c>
      <c r="C102" s="2">
        <f>VLOOKUP(user_activity!A130,users_details!$A$1:$G$34,5,0)</f>
        <v>22</v>
      </c>
      <c r="D102" s="2" t="str" cm="1">
        <f t="array" ref="D102">_xlfn.IFS( AND(C102&gt;=18, C102&lt;=25), "Emerging Adults",  AND(C102&gt;=26, C102&lt;=35),  "Young Adults",  AND(C102&gt;=36, C102&lt;=45),  "Midlife Adults",  AND(C102&gt;=46, C102&lt;=55), "Mature Adults", C102&gt;=56,  "Older Adults", TRUE, "Age Not Mentioned")</f>
        <v>Emerging Adults</v>
      </c>
      <c r="E102" s="2" t="str">
        <f>VLOOKUP(user_activity!A130,users_details!$A$1:$G$34,6,0)</f>
        <v>Upper East Side, Manhattan</v>
      </c>
      <c r="F102" s="2" t="str">
        <f>VLOOKUP(user_activity!A130,users_details!$A$1:$G$34,7,0)</f>
        <v>Upper East Side</v>
      </c>
      <c r="G102" s="2" t="s">
        <v>72</v>
      </c>
      <c r="H102" s="7">
        <v>42482</v>
      </c>
      <c r="I102" s="9" t="str">
        <f t="shared" si="5"/>
        <v>Friday</v>
      </c>
      <c r="J102" s="9" t="str">
        <f t="shared" si="6"/>
        <v>April</v>
      </c>
      <c r="K102" s="2">
        <v>1.8700000050000001</v>
      </c>
      <c r="L102" s="2">
        <v>1.8700000050000001</v>
      </c>
      <c r="M102" s="2">
        <v>0</v>
      </c>
      <c r="N102" s="2">
        <v>0</v>
      </c>
      <c r="O102" s="2">
        <v>0</v>
      </c>
      <c r="P102" s="2">
        <v>1.8700000050000001</v>
      </c>
      <c r="Q102" s="2">
        <v>0</v>
      </c>
      <c r="R102" s="2">
        <v>0</v>
      </c>
      <c r="S102" s="2">
        <v>0</v>
      </c>
      <c r="T102" s="2">
        <v>120</v>
      </c>
      <c r="U102" s="2">
        <f t="shared" si="7"/>
        <v>120</v>
      </c>
      <c r="V102" s="2">
        <v>1320</v>
      </c>
      <c r="W102" s="2">
        <v>2824</v>
      </c>
      <c r="X102" s="2">
        <f t="shared" si="8"/>
        <v>2824</v>
      </c>
      <c r="Y102" s="2">
        <v>1651</v>
      </c>
      <c r="Z102" t="str" cm="1">
        <f t="array" ref="Z102">_xlfn.IFS(OR(R102&gt;66, S102&gt;38), "High Engagement", OR(AND(R102&gt;32, R102&lt;=66), AND(S102&gt;19, S102&lt;=38)), "Medium-High Engagement", OR(AND(R102&gt;4, R102&lt;=32), AND(S102&gt;6, S102&lt;=19)),"Medium Engagement", TRUE, "Low Engagement"
)</f>
        <v>Low Engagement</v>
      </c>
      <c r="AA102">
        <f t="shared" si="9"/>
        <v>0.58463172804532582</v>
      </c>
    </row>
    <row r="103" spans="1:27" x14ac:dyDescent="0.35">
      <c r="A103" s="2">
        <v>8253242879</v>
      </c>
      <c r="B103" s="2" t="s">
        <v>84</v>
      </c>
      <c r="C103" s="2">
        <f>VLOOKUP(user_activity!A205,users_details!$A$1:$G$34,5,0)</f>
        <v>23</v>
      </c>
      <c r="D103" s="2" t="str" cm="1">
        <f t="array" ref="D103">_xlfn.IFS( AND(C103&gt;=18, C103&lt;=25), "Emerging Adults",  AND(C103&gt;=26, C103&lt;=35),  "Young Adults",  AND(C103&gt;=36, C103&lt;=45),  "Midlife Adults",  AND(C103&gt;=46, C103&lt;=55), "Mature Adults", C103&gt;=56,  "Older Adults", TRUE, "Age Not Mentioned")</f>
        <v>Emerging Adults</v>
      </c>
      <c r="E103" s="2" t="str">
        <f>VLOOKUP(user_activity!A205,users_details!$A$1:$G$34,6,0)</f>
        <v>Washington Heights, Manhattan</v>
      </c>
      <c r="F103" s="2" t="str">
        <f>VLOOKUP(user_activity!A205,users_details!$A$1:$G$34,7,0)</f>
        <v>Washington Heights</v>
      </c>
      <c r="G103" s="2" t="s">
        <v>72</v>
      </c>
      <c r="H103" s="7">
        <v>42483</v>
      </c>
      <c r="I103" s="9" t="str">
        <f t="shared" si="5"/>
        <v>Saturday</v>
      </c>
      <c r="J103" s="9" t="str">
        <f t="shared" si="6"/>
        <v>April</v>
      </c>
      <c r="K103" s="2">
        <v>6.2600002290000001</v>
      </c>
      <c r="L103" s="2">
        <v>6.2600002290000001</v>
      </c>
      <c r="M103" s="2">
        <v>0</v>
      </c>
      <c r="N103" s="2">
        <v>2.0899999139999998</v>
      </c>
      <c r="O103" s="2">
        <v>1.039999962</v>
      </c>
      <c r="P103" s="2">
        <v>3.130000114</v>
      </c>
      <c r="Q103" s="2">
        <v>0</v>
      </c>
      <c r="R103" s="2">
        <v>30</v>
      </c>
      <c r="S103" s="2">
        <v>26</v>
      </c>
      <c r="T103" s="2">
        <v>191</v>
      </c>
      <c r="U103" s="2">
        <f t="shared" si="7"/>
        <v>247</v>
      </c>
      <c r="V103" s="2">
        <v>1193</v>
      </c>
      <c r="W103" s="2">
        <v>9282</v>
      </c>
      <c r="X103" s="2">
        <f t="shared" si="8"/>
        <v>9282</v>
      </c>
      <c r="Y103" s="2">
        <v>2132</v>
      </c>
      <c r="Z103" t="str" cm="1">
        <f t="array" ref="Z103">_xlfn.IFS(OR(R103&gt;66, S103&gt;38), "High Engagement", OR(AND(R103&gt;32, R103&lt;=66), AND(S103&gt;19, S103&lt;=38)), "Medium-High Engagement", OR(AND(R103&gt;4, R103&lt;=32), AND(S103&gt;6, S103&lt;=19)),"Medium Engagement", TRUE, "Low Engagement"
)</f>
        <v>Medium-High Engagement</v>
      </c>
      <c r="AA103">
        <f t="shared" si="9"/>
        <v>0.22969187675070027</v>
      </c>
    </row>
    <row r="104" spans="1:27" x14ac:dyDescent="0.35">
      <c r="A104" s="2">
        <v>8253242879</v>
      </c>
      <c r="B104" s="2" t="s">
        <v>84</v>
      </c>
      <c r="C104" s="2">
        <f>VLOOKUP(user_activity!A249,users_details!$A$1:$G$34,5,0)</f>
        <v>29</v>
      </c>
      <c r="D104" s="2" t="str" cm="1">
        <f t="array" ref="D104">_xlfn.IFS( AND(C104&gt;=18, C104&lt;=25), "Emerging Adults",  AND(C104&gt;=26, C104&lt;=35),  "Young Adults",  AND(C104&gt;=36, C104&lt;=45),  "Midlife Adults",  AND(C104&gt;=46, C104&lt;=55), "Mature Adults", C104&gt;=56,  "Older Adults", TRUE, "Age Not Mentioned")</f>
        <v>Young Adults</v>
      </c>
      <c r="E104" s="2" t="str">
        <f>VLOOKUP(user_activity!A249,users_details!$A$1:$G$34,6,0)</f>
        <v>Crown Heights, Brooklyn</v>
      </c>
      <c r="F104" s="2" t="str">
        <f>VLOOKUP(user_activity!A249,users_details!$A$1:$G$34,7,0)</f>
        <v>Crown Heights</v>
      </c>
      <c r="G104" s="2" t="s">
        <v>72</v>
      </c>
      <c r="H104" s="7">
        <v>42476</v>
      </c>
      <c r="I104" s="9" t="str">
        <f t="shared" si="5"/>
        <v>Saturday</v>
      </c>
      <c r="J104" s="9" t="str">
        <f t="shared" si="6"/>
        <v>April</v>
      </c>
      <c r="K104" s="2">
        <v>6.1399998660000001</v>
      </c>
      <c r="L104" s="2">
        <v>6.1399998660000001</v>
      </c>
      <c r="M104" s="2">
        <v>0</v>
      </c>
      <c r="N104" s="2">
        <v>0.43000000700000002</v>
      </c>
      <c r="O104" s="2">
        <v>3.2699999809999998</v>
      </c>
      <c r="P104" s="2">
        <v>2.4500000480000002</v>
      </c>
      <c r="Q104" s="2">
        <v>0</v>
      </c>
      <c r="R104" s="2">
        <v>6</v>
      </c>
      <c r="S104" s="2">
        <v>51</v>
      </c>
      <c r="T104" s="2">
        <v>115</v>
      </c>
      <c r="U104" s="2">
        <f t="shared" si="7"/>
        <v>172</v>
      </c>
      <c r="V104" s="2">
        <v>1268</v>
      </c>
      <c r="W104" s="2">
        <v>9256</v>
      </c>
      <c r="X104" s="2">
        <f t="shared" si="8"/>
        <v>9256</v>
      </c>
      <c r="Y104" s="2">
        <v>1880</v>
      </c>
      <c r="Z104" t="str" cm="1">
        <f t="array" ref="Z104">_xlfn.IFS(OR(R104&gt;66, S104&gt;38), "High Engagement", OR(AND(R104&gt;32, R104&lt;=66), AND(S104&gt;19, S104&lt;=38)), "Medium-High Engagement", OR(AND(R104&gt;4, R104&lt;=32), AND(S104&gt;6, S104&lt;=19)),"Medium Engagement", TRUE, "Low Engagement"
)</f>
        <v>High Engagement</v>
      </c>
      <c r="AA104">
        <f t="shared" si="9"/>
        <v>0.20311149524632671</v>
      </c>
    </row>
    <row r="105" spans="1:27" x14ac:dyDescent="0.35">
      <c r="A105" s="2">
        <v>2022484408</v>
      </c>
      <c r="B105" s="2" t="s">
        <v>86</v>
      </c>
      <c r="C105" s="2">
        <f>VLOOKUP(user_activity!A261,users_details!$A$1:$G$34,5,0)</f>
        <v>29</v>
      </c>
      <c r="D105" s="2" t="str" cm="1">
        <f t="array" ref="D105">_xlfn.IFS( AND(C105&gt;=18, C105&lt;=25), "Emerging Adults",  AND(C105&gt;=26, C105&lt;=35),  "Young Adults",  AND(C105&gt;=36, C105&lt;=45),  "Midlife Adults",  AND(C105&gt;=46, C105&lt;=55), "Mature Adults", C105&gt;=56,  "Older Adults", TRUE, "Age Not Mentioned")</f>
        <v>Young Adults</v>
      </c>
      <c r="E105" s="2" t="str">
        <f>VLOOKUP(user_activity!A261,users_details!$A$1:$G$34,6,0)</f>
        <v>East Village, Manhattan</v>
      </c>
      <c r="F105" s="2" t="str">
        <f>VLOOKUP(user_activity!A261,users_details!$A$1:$G$34,7,0)</f>
        <v>East Village</v>
      </c>
      <c r="G105" s="2" t="s">
        <v>72</v>
      </c>
      <c r="H105" s="7">
        <v>42473</v>
      </c>
      <c r="I105" s="9" t="str">
        <f t="shared" si="5"/>
        <v>Wednesday</v>
      </c>
      <c r="J105" s="9" t="str">
        <f t="shared" si="6"/>
        <v>April</v>
      </c>
      <c r="K105" s="2">
        <v>8.5</v>
      </c>
      <c r="L105" s="2">
        <v>8.5</v>
      </c>
      <c r="M105" s="2">
        <v>0</v>
      </c>
      <c r="N105" s="2">
        <v>2.9900000100000002</v>
      </c>
      <c r="O105" s="2">
        <v>0.10000000100000001</v>
      </c>
      <c r="P105" s="2">
        <v>5.4099998469999999</v>
      </c>
      <c r="Q105" s="2">
        <v>0</v>
      </c>
      <c r="R105" s="2">
        <v>43</v>
      </c>
      <c r="S105" s="2">
        <v>5</v>
      </c>
      <c r="T105" s="2">
        <v>292</v>
      </c>
      <c r="U105" s="2">
        <f t="shared" si="7"/>
        <v>340</v>
      </c>
      <c r="V105" s="2">
        <v>1100</v>
      </c>
      <c r="W105" s="2">
        <v>12024</v>
      </c>
      <c r="X105" s="2">
        <f t="shared" si="8"/>
        <v>12024</v>
      </c>
      <c r="Y105" s="2">
        <v>2601</v>
      </c>
      <c r="Z105" t="str" cm="1">
        <f t="array" ref="Z105">_xlfn.IFS(OR(R105&gt;66, S105&gt;38), "High Engagement", OR(AND(R105&gt;32, R105&lt;=66), AND(S105&gt;19, S105&lt;=38)), "Medium-High Engagement", OR(AND(R105&gt;4, R105&lt;=32), AND(S105&gt;6, S105&lt;=19)),"Medium Engagement", TRUE, "Low Engagement"
)</f>
        <v>Medium-High Engagement</v>
      </c>
      <c r="AA105">
        <f t="shared" si="9"/>
        <v>0.21631736526946108</v>
      </c>
    </row>
    <row r="106" spans="1:27" x14ac:dyDescent="0.35">
      <c r="A106" s="2">
        <v>2022484408</v>
      </c>
      <c r="B106" s="2" t="s">
        <v>86</v>
      </c>
      <c r="C106" s="2">
        <f>VLOOKUP(user_activity!A298,users_details!$A$1:$G$34,5,0)</f>
        <v>29</v>
      </c>
      <c r="D106" s="2" t="str" cm="1">
        <f t="array" ref="D106">_xlfn.IFS( AND(C106&gt;=18, C106&lt;=25), "Emerging Adults",  AND(C106&gt;=26, C106&lt;=35),  "Young Adults",  AND(C106&gt;=36, C106&lt;=45),  "Midlife Adults",  AND(C106&gt;=46, C106&lt;=55), "Mature Adults", C106&gt;=56,  "Older Adults", TRUE, "Age Not Mentioned")</f>
        <v>Young Adults</v>
      </c>
      <c r="E106" s="2" t="str">
        <f>VLOOKUP(user_activity!A298,users_details!$A$1:$G$34,6,0)</f>
        <v>East Village, Manhattan</v>
      </c>
      <c r="F106" s="2" t="str">
        <f>VLOOKUP(user_activity!A298,users_details!$A$1:$G$34,7,0)</f>
        <v>East Village</v>
      </c>
      <c r="G106" s="2" t="s">
        <v>72</v>
      </c>
      <c r="H106" s="7">
        <v>42490</v>
      </c>
      <c r="I106" s="9" t="str">
        <f t="shared" si="5"/>
        <v>Saturday</v>
      </c>
      <c r="J106" s="9" t="str">
        <f t="shared" si="6"/>
        <v>April</v>
      </c>
      <c r="K106" s="2">
        <v>12.90999985</v>
      </c>
      <c r="L106" s="2">
        <v>12.90999985</v>
      </c>
      <c r="M106" s="2">
        <v>0</v>
      </c>
      <c r="N106" s="2">
        <v>0.939999998</v>
      </c>
      <c r="O106" s="2">
        <v>1.3999999759999999</v>
      </c>
      <c r="P106" s="2">
        <v>10.56999969</v>
      </c>
      <c r="Q106" s="2">
        <v>0</v>
      </c>
      <c r="R106" s="2">
        <v>13</v>
      </c>
      <c r="S106" s="2">
        <v>23</v>
      </c>
      <c r="T106" s="2">
        <v>361</v>
      </c>
      <c r="U106" s="2">
        <f t="shared" si="7"/>
        <v>397</v>
      </c>
      <c r="V106" s="2">
        <v>1043</v>
      </c>
      <c r="W106" s="2">
        <v>18387</v>
      </c>
      <c r="X106" s="2">
        <f t="shared" si="8"/>
        <v>18387</v>
      </c>
      <c r="Y106" s="2">
        <v>2732</v>
      </c>
      <c r="Z106" t="str" cm="1">
        <f t="array" ref="Z106">_xlfn.IFS(OR(R106&gt;66, S106&gt;38), "High Engagement", OR(AND(R106&gt;32, R106&lt;=66), AND(S106&gt;19, S106&lt;=38)), "Medium-High Engagement", OR(AND(R106&gt;4, R106&lt;=32), AND(S106&gt;6, S106&lt;=19)),"Medium Engagement", TRUE, "Low Engagement"
)</f>
        <v>Medium-High Engagement</v>
      </c>
      <c r="AA106">
        <f t="shared" si="9"/>
        <v>0.1485832381573938</v>
      </c>
    </row>
    <row r="107" spans="1:27" x14ac:dyDescent="0.35">
      <c r="A107" s="2">
        <v>2022484408</v>
      </c>
      <c r="B107" s="2" t="s">
        <v>86</v>
      </c>
      <c r="C107" s="2">
        <f>VLOOKUP(user_activity!A305,users_details!$A$1:$G$34,5,0)</f>
        <v>30</v>
      </c>
      <c r="D107" s="2" t="str" cm="1">
        <f t="array" ref="D107">_xlfn.IFS( AND(C107&gt;=18, C107&lt;=25), "Emerging Adults",  AND(C107&gt;=26, C107&lt;=35),  "Young Adults",  AND(C107&gt;=36, C107&lt;=45),  "Midlife Adults",  AND(C107&gt;=46, C107&lt;=55), "Mature Adults", C107&gt;=56,  "Older Adults", TRUE, "Age Not Mentioned")</f>
        <v>Young Adults</v>
      </c>
      <c r="E107" s="2" t="str">
        <f>VLOOKUP(user_activity!A305,users_details!$A$1:$G$34,6,0)</f>
        <v>Midtown, Manhattan</v>
      </c>
      <c r="F107" s="2" t="str">
        <f>VLOOKUP(user_activity!A305,users_details!$A$1:$G$34,7,0)</f>
        <v>Midtown</v>
      </c>
      <c r="G107" s="2" t="s">
        <v>72</v>
      </c>
      <c r="H107" s="7">
        <v>42618</v>
      </c>
      <c r="I107" s="9" t="str">
        <f t="shared" si="5"/>
        <v>Monday</v>
      </c>
      <c r="J107" s="9" t="str">
        <f t="shared" si="6"/>
        <v>September</v>
      </c>
      <c r="K107" s="2">
        <v>9.3900003430000005</v>
      </c>
      <c r="L107" s="2">
        <v>9.3900003430000005</v>
      </c>
      <c r="M107" s="2">
        <v>0</v>
      </c>
      <c r="N107" s="2">
        <v>2.119999886</v>
      </c>
      <c r="O107" s="2">
        <v>1.6299999949999999</v>
      </c>
      <c r="P107" s="2">
        <v>5.6399998660000001</v>
      </c>
      <c r="Q107" s="2">
        <v>0</v>
      </c>
      <c r="R107" s="2">
        <v>35</v>
      </c>
      <c r="S107" s="2">
        <v>47</v>
      </c>
      <c r="T107" s="2">
        <v>297</v>
      </c>
      <c r="U107" s="2">
        <f t="shared" si="7"/>
        <v>379</v>
      </c>
      <c r="V107" s="2">
        <v>1061</v>
      </c>
      <c r="W107" s="2">
        <v>13379</v>
      </c>
      <c r="X107" s="2">
        <f t="shared" si="8"/>
        <v>13379</v>
      </c>
      <c r="Y107" s="2">
        <v>2709</v>
      </c>
      <c r="Z107" t="str" cm="1">
        <f t="array" ref="Z107">_xlfn.IFS(OR(R107&gt;66, S107&gt;38), "High Engagement", OR(AND(R107&gt;32, R107&lt;=66), AND(S107&gt;19, S107&lt;=38)), "Medium-High Engagement", OR(AND(R107&gt;4, R107&lt;=32), AND(S107&gt;6, S107&lt;=19)),"Medium Engagement", TRUE, "Low Engagement"
)</f>
        <v>High Engagement</v>
      </c>
      <c r="AA107">
        <f t="shared" si="9"/>
        <v>0.20248150085955602</v>
      </c>
    </row>
    <row r="108" spans="1:27" x14ac:dyDescent="0.35">
      <c r="A108" s="2">
        <v>2022484408</v>
      </c>
      <c r="B108" s="2" t="s">
        <v>86</v>
      </c>
      <c r="C108" s="2">
        <f>VLOOKUP(user_activity!A315,users_details!$A$1:$G$34,5,0)</f>
        <v>30</v>
      </c>
      <c r="D108" s="2" t="str" cm="1">
        <f t="array" ref="D108">_xlfn.IFS( AND(C108&gt;=18, C108&lt;=25), "Emerging Adults",  AND(C108&gt;=26, C108&lt;=35),  "Young Adults",  AND(C108&gt;=36, C108&lt;=45),  "Midlife Adults",  AND(C108&gt;=46, C108&lt;=55), "Mature Adults", C108&gt;=56,  "Older Adults", TRUE, "Age Not Mentioned")</f>
        <v>Young Adults</v>
      </c>
      <c r="E108" s="2" t="str">
        <f>VLOOKUP(user_activity!A315,users_details!$A$1:$G$34,6,0)</f>
        <v>Clinton Hill, Brooklyn</v>
      </c>
      <c r="F108" s="2" t="str">
        <f>VLOOKUP(user_activity!A315,users_details!$A$1:$G$34,7,0)</f>
        <v>Clinton Hill</v>
      </c>
      <c r="G108" s="2" t="s">
        <v>72</v>
      </c>
      <c r="H108" s="7">
        <v>42482</v>
      </c>
      <c r="I108" s="9" t="str">
        <f t="shared" si="5"/>
        <v>Friday</v>
      </c>
      <c r="J108" s="9" t="str">
        <f t="shared" si="6"/>
        <v>April</v>
      </c>
      <c r="K108" s="2">
        <v>9.3299999239999991</v>
      </c>
      <c r="L108" s="2">
        <v>9.3299999239999991</v>
      </c>
      <c r="M108" s="2">
        <v>0</v>
      </c>
      <c r="N108" s="2">
        <v>4.4299998279999997</v>
      </c>
      <c r="O108" s="2">
        <v>0.41999998700000002</v>
      </c>
      <c r="P108" s="2">
        <v>4.4699997900000001</v>
      </c>
      <c r="Q108" s="2">
        <v>0</v>
      </c>
      <c r="R108" s="2">
        <v>52</v>
      </c>
      <c r="S108" s="2">
        <v>10</v>
      </c>
      <c r="T108" s="2">
        <v>273</v>
      </c>
      <c r="U108" s="2">
        <f t="shared" si="7"/>
        <v>335</v>
      </c>
      <c r="V108" s="2">
        <v>1105</v>
      </c>
      <c r="W108" s="2">
        <v>12954</v>
      </c>
      <c r="X108" s="2">
        <f t="shared" si="8"/>
        <v>12954</v>
      </c>
      <c r="Y108" s="2">
        <v>2638</v>
      </c>
      <c r="Z108" t="str" cm="1">
        <f t="array" ref="Z108">_xlfn.IFS(OR(R108&gt;66, S108&gt;38), "High Engagement", OR(AND(R108&gt;32, R108&lt;=66), AND(S108&gt;19, S108&lt;=38)), "Medium-High Engagement", OR(AND(R108&gt;4, R108&lt;=32), AND(S108&gt;6, S108&lt;=19)),"Medium Engagement", TRUE, "Low Engagement"
)</f>
        <v>Medium-High Engagement</v>
      </c>
      <c r="AA108">
        <f t="shared" si="9"/>
        <v>0.20364366218928517</v>
      </c>
    </row>
    <row r="109" spans="1:27" x14ac:dyDescent="0.35">
      <c r="A109" s="2">
        <v>2022484408</v>
      </c>
      <c r="B109" s="2" t="s">
        <v>86</v>
      </c>
      <c r="C109" s="2">
        <f>VLOOKUP(user_activity!A321,users_details!$A$1:$G$34,5,0)</f>
        <v>30</v>
      </c>
      <c r="D109" s="2" t="str" cm="1">
        <f t="array" ref="D109">_xlfn.IFS( AND(C109&gt;=18, C109&lt;=25), "Emerging Adults",  AND(C109&gt;=26, C109&lt;=35),  "Young Adults",  AND(C109&gt;=36, C109&lt;=45),  "Midlife Adults",  AND(C109&gt;=46, C109&lt;=55), "Mature Adults", C109&gt;=56,  "Older Adults", TRUE, "Age Not Mentioned")</f>
        <v>Young Adults</v>
      </c>
      <c r="E109" s="2" t="str">
        <f>VLOOKUP(user_activity!A321,users_details!$A$1:$G$34,6,0)</f>
        <v>Midtown, Manhattan</v>
      </c>
      <c r="F109" s="2" t="str">
        <f>VLOOKUP(user_activity!A321,users_details!$A$1:$G$34,7,0)</f>
        <v>Midtown</v>
      </c>
      <c r="G109" s="2" t="s">
        <v>72</v>
      </c>
      <c r="H109" s="7">
        <v>42487</v>
      </c>
      <c r="I109" s="9" t="str">
        <f t="shared" si="5"/>
        <v>Wednesday</v>
      </c>
      <c r="J109" s="9" t="str">
        <f t="shared" si="6"/>
        <v>April</v>
      </c>
      <c r="K109" s="2">
        <v>7.1300001139999996</v>
      </c>
      <c r="L109" s="2">
        <v>7.1300001139999996</v>
      </c>
      <c r="M109" s="2">
        <v>0</v>
      </c>
      <c r="N109" s="2">
        <v>1.039999962</v>
      </c>
      <c r="O109" s="2">
        <v>0.97000002900000004</v>
      </c>
      <c r="P109" s="2">
        <v>5.1199998860000004</v>
      </c>
      <c r="Q109" s="2">
        <v>0</v>
      </c>
      <c r="R109" s="2">
        <v>19</v>
      </c>
      <c r="S109" s="2">
        <v>20</v>
      </c>
      <c r="T109" s="2">
        <v>282</v>
      </c>
      <c r="U109" s="2">
        <f t="shared" si="7"/>
        <v>321</v>
      </c>
      <c r="V109" s="2">
        <v>1119</v>
      </c>
      <c r="W109" s="2">
        <v>10159</v>
      </c>
      <c r="X109" s="2">
        <f t="shared" si="8"/>
        <v>10159</v>
      </c>
      <c r="Y109" s="2">
        <v>2463</v>
      </c>
      <c r="Z109" t="str" cm="1">
        <f t="array" ref="Z109">_xlfn.IFS(OR(R109&gt;66, S109&gt;38), "High Engagement", OR(AND(R109&gt;32, R109&lt;=66), AND(S109&gt;19, S109&lt;=38)), "Medium-High Engagement", OR(AND(R109&gt;4, R109&lt;=32), AND(S109&gt;6, S109&lt;=19)),"Medium Engagement", TRUE, "Low Engagement"
)</f>
        <v>Medium-High Engagement</v>
      </c>
      <c r="AA109">
        <f t="shared" si="9"/>
        <v>0.24244512255143222</v>
      </c>
    </row>
    <row r="110" spans="1:27" x14ac:dyDescent="0.35">
      <c r="A110" s="2">
        <v>2022484408</v>
      </c>
      <c r="B110" s="2" t="s">
        <v>86</v>
      </c>
      <c r="C110" s="2">
        <f>VLOOKUP(user_activity!A324,users_details!$A$1:$G$34,5,0)</f>
        <v>30</v>
      </c>
      <c r="D110" s="2" t="str" cm="1">
        <f t="array" ref="D110">_xlfn.IFS( AND(C110&gt;=18, C110&lt;=25), "Emerging Adults",  AND(C110&gt;=26, C110&lt;=35),  "Young Adults",  AND(C110&gt;=36, C110&lt;=45),  "Midlife Adults",  AND(C110&gt;=46, C110&lt;=55), "Mature Adults", C110&gt;=56,  "Older Adults", TRUE, "Age Not Mentioned")</f>
        <v>Young Adults</v>
      </c>
      <c r="E110" s="2" t="str">
        <f>VLOOKUP(user_activity!A324,users_details!$A$1:$G$34,6,0)</f>
        <v>Midtown, Manhattan</v>
      </c>
      <c r="F110" s="2" t="str">
        <f>VLOOKUP(user_activity!A324,users_details!$A$1:$G$34,7,0)</f>
        <v>Midtown</v>
      </c>
      <c r="G110" s="2" t="s">
        <v>72</v>
      </c>
      <c r="H110" s="7">
        <v>42374</v>
      </c>
      <c r="I110" s="9" t="str">
        <f t="shared" si="5"/>
        <v>Tuesday</v>
      </c>
      <c r="J110" s="9" t="str">
        <f t="shared" si="6"/>
        <v>January</v>
      </c>
      <c r="K110" s="2">
        <v>7.4000000950000002</v>
      </c>
      <c r="L110" s="2">
        <v>7.4000000950000002</v>
      </c>
      <c r="M110" s="2">
        <v>0</v>
      </c>
      <c r="N110" s="2">
        <v>1.940000057</v>
      </c>
      <c r="O110" s="2">
        <v>0.959999979</v>
      </c>
      <c r="P110" s="2">
        <v>4.5</v>
      </c>
      <c r="Q110" s="2">
        <v>0</v>
      </c>
      <c r="R110" s="2">
        <v>25</v>
      </c>
      <c r="S110" s="2">
        <v>28</v>
      </c>
      <c r="T110" s="2">
        <v>245</v>
      </c>
      <c r="U110" s="2">
        <f t="shared" si="7"/>
        <v>298</v>
      </c>
      <c r="V110" s="2">
        <v>1142</v>
      </c>
      <c r="W110" s="2">
        <v>10538</v>
      </c>
      <c r="X110" s="2">
        <f t="shared" si="8"/>
        <v>10538</v>
      </c>
      <c r="Y110" s="2">
        <v>2380</v>
      </c>
      <c r="Z110" t="str" cm="1">
        <f t="array" ref="Z110">_xlfn.IFS(OR(R110&gt;66, S110&gt;38), "High Engagement", OR(AND(R110&gt;32, R110&lt;=66), AND(S110&gt;19, S110&lt;=38)), "Medium-High Engagement", OR(AND(R110&gt;4, R110&lt;=32), AND(S110&gt;6, S110&lt;=19)),"Medium Engagement", TRUE, "Low Engagement"
)</f>
        <v>Medium-High Engagement</v>
      </c>
      <c r="AA110">
        <f t="shared" si="9"/>
        <v>0.22584930726893149</v>
      </c>
    </row>
    <row r="111" spans="1:27" x14ac:dyDescent="0.35">
      <c r="A111" s="2">
        <v>8253242879</v>
      </c>
      <c r="B111" s="2" t="s">
        <v>84</v>
      </c>
      <c r="C111" s="2">
        <f>VLOOKUP(user_activity!A343,users_details!$A$1:$G$34,5,0)</f>
        <v>30</v>
      </c>
      <c r="D111" s="2" t="str" cm="1">
        <f t="array" ref="D111">_xlfn.IFS( AND(C111&gt;=18, C111&lt;=25), "Emerging Adults",  AND(C111&gt;=26, C111&lt;=35),  "Young Adults",  AND(C111&gt;=36, C111&lt;=45),  "Midlife Adults",  AND(C111&gt;=46, C111&lt;=55), "Mature Adults", C111&gt;=56,  "Older Adults", TRUE, "Age Not Mentioned")</f>
        <v>Young Adults</v>
      </c>
      <c r="E111" s="2" t="str">
        <f>VLOOKUP(user_activity!A343,users_details!$A$1:$G$34,6,0)</f>
        <v>Midtown, Manhattan</v>
      </c>
      <c r="F111" s="2" t="str">
        <f>VLOOKUP(user_activity!A343,users_details!$A$1:$G$34,7,0)</f>
        <v>Midtown</v>
      </c>
      <c r="G111" s="2" t="s">
        <v>72</v>
      </c>
      <c r="H111" s="7">
        <v>42490</v>
      </c>
      <c r="I111" s="9" t="str">
        <f t="shared" si="5"/>
        <v>Saturday</v>
      </c>
      <c r="J111" s="9" t="str">
        <f t="shared" si="6"/>
        <v>April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f t="shared" si="7"/>
        <v>0</v>
      </c>
      <c r="V111" s="2">
        <v>1440</v>
      </c>
      <c r="W111" s="2">
        <v>0</v>
      </c>
      <c r="X111" s="2">
        <f t="shared" si="8"/>
        <v>7405.5</v>
      </c>
      <c r="Y111" s="2">
        <v>0</v>
      </c>
      <c r="Z111" t="str" cm="1">
        <f t="array" ref="Z111">_xlfn.IFS(OR(R111&gt;66, S111&gt;38), "High Engagement", OR(AND(R111&gt;32, R111&lt;=66), AND(S111&gt;19, S111&lt;=38)), "Medium-High Engagement", OR(AND(R111&gt;4, R111&lt;=32), AND(S111&gt;6, S111&lt;=19)),"Medium Engagement", TRUE, "Low Engagement"
)</f>
        <v>Low Engagement</v>
      </c>
      <c r="AA111">
        <f t="shared" si="9"/>
        <v>0</v>
      </c>
    </row>
    <row r="112" spans="1:27" x14ac:dyDescent="0.35">
      <c r="A112" s="2">
        <v>2022484408</v>
      </c>
      <c r="B112" s="2" t="s">
        <v>86</v>
      </c>
      <c r="C112" s="2">
        <f>VLOOKUP(user_activity!A377,users_details!$A$1:$G$34,5,0)</f>
        <v>31</v>
      </c>
      <c r="D112" s="2" t="str" cm="1">
        <f t="array" ref="D112">_xlfn.IFS( AND(C112&gt;=18, C112&lt;=25), "Emerging Adults",  AND(C112&gt;=26, C112&lt;=35),  "Young Adults",  AND(C112&gt;=36, C112&lt;=45),  "Midlife Adults",  AND(C112&gt;=46, C112&lt;=55), "Mature Adults", C112&gt;=56,  "Older Adults", TRUE, "Age Not Mentioned")</f>
        <v>Young Adults</v>
      </c>
      <c r="E112" s="2" t="str">
        <f>VLOOKUP(user_activity!A377,users_details!$A$1:$G$34,6,0)</f>
        <v>Midtown, Manhattan</v>
      </c>
      <c r="F112" s="2" t="str">
        <f>VLOOKUP(user_activity!A377,users_details!$A$1:$G$34,7,0)</f>
        <v>Midtown</v>
      </c>
      <c r="G112" s="2" t="s">
        <v>72</v>
      </c>
      <c r="H112" s="7">
        <v>42648</v>
      </c>
      <c r="I112" s="9" t="str">
        <f t="shared" si="5"/>
        <v>Wednesday</v>
      </c>
      <c r="J112" s="9" t="str">
        <f t="shared" si="6"/>
        <v>October</v>
      </c>
      <c r="K112" s="2">
        <v>8.9799995419999998</v>
      </c>
      <c r="L112" s="2">
        <v>8.9799995419999998</v>
      </c>
      <c r="M112" s="2">
        <v>0</v>
      </c>
      <c r="N112" s="2">
        <v>2.2200000289999999</v>
      </c>
      <c r="O112" s="2">
        <v>1.210000038</v>
      </c>
      <c r="P112" s="2">
        <v>5.5599999430000002</v>
      </c>
      <c r="Q112" s="2">
        <v>0</v>
      </c>
      <c r="R112" s="2">
        <v>57</v>
      </c>
      <c r="S112" s="2">
        <v>28</v>
      </c>
      <c r="T112" s="2">
        <v>271</v>
      </c>
      <c r="U112" s="2">
        <f t="shared" si="7"/>
        <v>356</v>
      </c>
      <c r="V112" s="2">
        <v>1084</v>
      </c>
      <c r="W112" s="2">
        <v>12798</v>
      </c>
      <c r="X112" s="2">
        <f t="shared" si="8"/>
        <v>12798</v>
      </c>
      <c r="Y112" s="2">
        <v>2797</v>
      </c>
      <c r="Z112" t="str" cm="1">
        <f t="array" ref="Z112">_xlfn.IFS(OR(R112&gt;66, S112&gt;38), "High Engagement", OR(AND(R112&gt;32, R112&lt;=66), AND(S112&gt;19, S112&lt;=38)), "Medium-High Engagement", OR(AND(R112&gt;4, R112&lt;=32), AND(S112&gt;6, S112&lt;=19)),"Medium Engagement", TRUE, "Low Engagement"
)</f>
        <v>Medium-High Engagement</v>
      </c>
      <c r="AA112">
        <f t="shared" si="9"/>
        <v>0.21854977340209408</v>
      </c>
    </row>
    <row r="113" spans="1:27" x14ac:dyDescent="0.35">
      <c r="A113" s="2">
        <v>2022484408</v>
      </c>
      <c r="B113" s="2" t="s">
        <v>86</v>
      </c>
      <c r="C113" s="2">
        <f>VLOOKUP(user_activity!A388,users_details!$A$1:$G$34,5,0)</f>
        <v>32</v>
      </c>
      <c r="D113" s="2" t="str" cm="1">
        <f t="array" ref="D113">_xlfn.IFS( AND(C113&gt;=18, C113&lt;=25), "Emerging Adults",  AND(C113&gt;=26, C113&lt;=35),  "Young Adults",  AND(C113&gt;=36, C113&lt;=45),  "Midlife Adults",  AND(C113&gt;=46, C113&lt;=55), "Mature Adults", C113&gt;=56,  "Older Adults", TRUE, "Age Not Mentioned")</f>
        <v>Young Adults</v>
      </c>
      <c r="E113" s="2" t="str">
        <f>VLOOKUP(user_activity!A388,users_details!$A$1:$G$34,6,0)</f>
        <v>East Harlem, Manhattan</v>
      </c>
      <c r="F113" s="2" t="str">
        <f>VLOOKUP(user_activity!A388,users_details!$A$1:$G$34,7,0)</f>
        <v>East Harlem</v>
      </c>
      <c r="G113" s="2" t="s">
        <v>72</v>
      </c>
      <c r="H113" s="7">
        <v>42465</v>
      </c>
      <c r="I113" s="9" t="str">
        <f t="shared" si="5"/>
        <v>Tuesday</v>
      </c>
      <c r="J113" s="9" t="str">
        <f t="shared" si="6"/>
        <v>April</v>
      </c>
      <c r="K113" s="2">
        <v>8.2899999619999996</v>
      </c>
      <c r="L113" s="2">
        <v>8.2899999619999996</v>
      </c>
      <c r="M113" s="2">
        <v>0</v>
      </c>
      <c r="N113" s="2">
        <v>2.5099999899999998</v>
      </c>
      <c r="O113" s="2">
        <v>0.93000000699999996</v>
      </c>
      <c r="P113" s="2">
        <v>4.8499999049999998</v>
      </c>
      <c r="Q113" s="2">
        <v>0</v>
      </c>
      <c r="R113" s="2">
        <v>36</v>
      </c>
      <c r="S113" s="2">
        <v>27</v>
      </c>
      <c r="T113" s="2">
        <v>272</v>
      </c>
      <c r="U113" s="2">
        <f t="shared" si="7"/>
        <v>335</v>
      </c>
      <c r="V113" s="2">
        <v>1105</v>
      </c>
      <c r="W113" s="2">
        <v>11768</v>
      </c>
      <c r="X113" s="2">
        <f t="shared" si="8"/>
        <v>11768</v>
      </c>
      <c r="Y113" s="2">
        <v>2649</v>
      </c>
      <c r="Z113" t="str" cm="1">
        <f t="array" ref="Z113">_xlfn.IFS(OR(R113&gt;66, S113&gt;38), "High Engagement", OR(AND(R113&gt;32, R113&lt;=66), AND(S113&gt;19, S113&lt;=38)), "Medium-High Engagement", OR(AND(R113&gt;4, R113&lt;=32), AND(S113&gt;6, S113&lt;=19)),"Medium Engagement", TRUE, "Low Engagement"
)</f>
        <v>Medium-High Engagement</v>
      </c>
      <c r="AA113">
        <f t="shared" si="9"/>
        <v>0.22510197144799457</v>
      </c>
    </row>
    <row r="114" spans="1:27" x14ac:dyDescent="0.35">
      <c r="A114" s="2">
        <v>2022484408</v>
      </c>
      <c r="B114" s="2" t="s">
        <v>86</v>
      </c>
      <c r="C114" s="2">
        <f>VLOOKUP(user_activity!A392,users_details!$A$1:$G$34,5,0)</f>
        <v>32</v>
      </c>
      <c r="D114" s="2" t="str" cm="1">
        <f t="array" ref="D114">_xlfn.IFS( AND(C114&gt;=18, C114&lt;=25), "Emerging Adults",  AND(C114&gt;=26, C114&lt;=35),  "Young Adults",  AND(C114&gt;=36, C114&lt;=45),  "Midlife Adults",  AND(C114&gt;=46, C114&lt;=55), "Mature Adults", C114&gt;=56,  "Older Adults", TRUE, "Age Not Mentioned")</f>
        <v>Young Adults</v>
      </c>
      <c r="E114" s="2" t="str">
        <f>VLOOKUP(user_activity!A392,users_details!$A$1:$G$34,6,0)</f>
        <v>East Harlem, Manhattan</v>
      </c>
      <c r="F114" s="2" t="str">
        <f>VLOOKUP(user_activity!A392,users_details!$A$1:$G$34,7,0)</f>
        <v>East Harlem</v>
      </c>
      <c r="G114" s="2" t="s">
        <v>72</v>
      </c>
      <c r="H114" s="7">
        <v>42481</v>
      </c>
      <c r="I114" s="9" t="str">
        <f t="shared" si="5"/>
        <v>Thursday</v>
      </c>
      <c r="J114" s="9" t="str">
        <f t="shared" si="6"/>
        <v>April</v>
      </c>
      <c r="K114" s="2">
        <v>8.7399997710000008</v>
      </c>
      <c r="L114" s="2">
        <v>8.7399997710000008</v>
      </c>
      <c r="M114" s="2">
        <v>0</v>
      </c>
      <c r="N114" s="2">
        <v>3.329999924</v>
      </c>
      <c r="O114" s="2">
        <v>1.1100000139999999</v>
      </c>
      <c r="P114" s="2">
        <v>4.3099999430000002</v>
      </c>
      <c r="Q114" s="2">
        <v>0</v>
      </c>
      <c r="R114" s="2">
        <v>104</v>
      </c>
      <c r="S114" s="2">
        <v>53</v>
      </c>
      <c r="T114" s="2">
        <v>255</v>
      </c>
      <c r="U114" s="2">
        <f t="shared" si="7"/>
        <v>412</v>
      </c>
      <c r="V114" s="2">
        <v>1028</v>
      </c>
      <c r="W114" s="2">
        <v>12453</v>
      </c>
      <c r="X114" s="2">
        <f t="shared" si="8"/>
        <v>12453</v>
      </c>
      <c r="Y114" s="2">
        <v>3158</v>
      </c>
      <c r="Z114" t="str" cm="1">
        <f t="array" ref="Z114">_xlfn.IFS(OR(R114&gt;66, S114&gt;38), "High Engagement", OR(AND(R114&gt;32, R114&lt;=66), AND(S114&gt;19, S114&lt;=38)), "Medium-High Engagement", OR(AND(R114&gt;4, R114&lt;=32), AND(S114&gt;6, S114&lt;=19)),"Medium Engagement", TRUE, "Low Engagement"
)</f>
        <v>High Engagement</v>
      </c>
      <c r="AA114">
        <f t="shared" si="9"/>
        <v>0.25359351160362964</v>
      </c>
    </row>
    <row r="115" spans="1:27" x14ac:dyDescent="0.35">
      <c r="A115" s="2">
        <v>2022484408</v>
      </c>
      <c r="B115" s="2" t="s">
        <v>86</v>
      </c>
      <c r="C115" s="2">
        <f>VLOOKUP(user_activity!A422,users_details!$A$1:$G$34,5,0)</f>
        <v>32</v>
      </c>
      <c r="D115" s="2" t="str" cm="1">
        <f t="array" ref="D115">_xlfn.IFS( AND(C115&gt;=18, C115&lt;=25), "Emerging Adults",  AND(C115&gt;=26, C115&lt;=35),  "Young Adults",  AND(C115&gt;=36, C115&lt;=45),  "Midlife Adults",  AND(C115&gt;=46, C115&lt;=55), "Mature Adults", C115&gt;=56,  "Older Adults", TRUE, "Age Not Mentioned")</f>
        <v>Young Adults</v>
      </c>
      <c r="E115" s="2" t="str">
        <f>VLOOKUP(user_activity!A422,users_details!$A$1:$G$34,6,0)</f>
        <v>Greenpoint, Brooklyn</v>
      </c>
      <c r="F115" s="2" t="str">
        <f>VLOOKUP(user_activity!A422,users_details!$A$1:$G$34,7,0)</f>
        <v>Greenpoint</v>
      </c>
      <c r="G115" s="2" t="s">
        <v>72</v>
      </c>
      <c r="H115" s="7">
        <v>42485</v>
      </c>
      <c r="I115" s="9" t="str">
        <f t="shared" si="5"/>
        <v>Monday</v>
      </c>
      <c r="J115" s="9" t="str">
        <f t="shared" si="6"/>
        <v>April</v>
      </c>
      <c r="K115" s="2">
        <v>8.0100002289999992</v>
      </c>
      <c r="L115" s="2">
        <v>8.0100002289999992</v>
      </c>
      <c r="M115" s="2">
        <v>0</v>
      </c>
      <c r="N115" s="2">
        <v>3.329999924</v>
      </c>
      <c r="O115" s="2">
        <v>0.219999999</v>
      </c>
      <c r="P115" s="2">
        <v>4.4600000380000004</v>
      </c>
      <c r="Q115" s="2">
        <v>0</v>
      </c>
      <c r="R115" s="2">
        <v>44</v>
      </c>
      <c r="S115" s="2">
        <v>8</v>
      </c>
      <c r="T115" s="2">
        <v>217</v>
      </c>
      <c r="U115" s="2">
        <f t="shared" si="7"/>
        <v>269</v>
      </c>
      <c r="V115" s="2">
        <v>1171</v>
      </c>
      <c r="W115" s="2">
        <v>11369</v>
      </c>
      <c r="X115" s="2">
        <f t="shared" si="8"/>
        <v>11369</v>
      </c>
      <c r="Y115" s="2">
        <v>2470</v>
      </c>
      <c r="Z115" t="str" cm="1">
        <f t="array" ref="Z115">_xlfn.IFS(OR(R115&gt;66, S115&gt;38), "High Engagement", OR(AND(R115&gt;32, R115&lt;=66), AND(S115&gt;19, S115&lt;=38)), "Medium-High Engagement", OR(AND(R115&gt;4, R115&lt;=32), AND(S115&gt;6, S115&lt;=19)),"Medium Engagement", TRUE, "Low Engagement"
)</f>
        <v>Medium-High Engagement</v>
      </c>
      <c r="AA115">
        <f t="shared" si="9"/>
        <v>0.21725745448148473</v>
      </c>
    </row>
    <row r="116" spans="1:27" x14ac:dyDescent="0.35">
      <c r="A116" s="2">
        <v>2022484408</v>
      </c>
      <c r="B116" s="2" t="s">
        <v>86</v>
      </c>
      <c r="C116" s="2">
        <f>VLOOKUP(user_activity!A428,users_details!$A$1:$G$34,5,0)</f>
        <v>32</v>
      </c>
      <c r="D116" s="2" t="str" cm="1">
        <f t="array" ref="D116">_xlfn.IFS( AND(C116&gt;=18, C116&lt;=25), "Emerging Adults",  AND(C116&gt;=26, C116&lt;=35),  "Young Adults",  AND(C116&gt;=36, C116&lt;=45),  "Midlife Adults",  AND(C116&gt;=46, C116&lt;=55), "Mature Adults", C116&gt;=56,  "Older Adults", TRUE, "Age Not Mentioned")</f>
        <v>Young Adults</v>
      </c>
      <c r="E116" s="2" t="str">
        <f>VLOOKUP(user_activity!A428,users_details!$A$1:$G$34,6,0)</f>
        <v>East Harlem, Manhattan</v>
      </c>
      <c r="F116" s="2" t="str">
        <f>VLOOKUP(user_activity!A428,users_details!$A$1:$G$34,7,0)</f>
        <v>East Harlem</v>
      </c>
      <c r="G116" s="2" t="s">
        <v>72</v>
      </c>
      <c r="H116" s="7">
        <v>42526</v>
      </c>
      <c r="I116" s="9" t="str">
        <f t="shared" si="5"/>
        <v>Sunday</v>
      </c>
      <c r="J116" s="9" t="str">
        <f t="shared" si="6"/>
        <v>June</v>
      </c>
      <c r="K116" s="2">
        <v>7.1799998279999997</v>
      </c>
      <c r="L116" s="2">
        <v>7.1799998279999997</v>
      </c>
      <c r="M116" s="2">
        <v>0</v>
      </c>
      <c r="N116" s="2">
        <v>1.8700000050000001</v>
      </c>
      <c r="O116" s="2">
        <v>0.670000017</v>
      </c>
      <c r="P116" s="2">
        <v>4.6399998660000001</v>
      </c>
      <c r="Q116" s="2">
        <v>0</v>
      </c>
      <c r="R116" s="2">
        <v>24</v>
      </c>
      <c r="S116" s="2">
        <v>17</v>
      </c>
      <c r="T116" s="2">
        <v>295</v>
      </c>
      <c r="U116" s="2">
        <f t="shared" si="7"/>
        <v>336</v>
      </c>
      <c r="V116" s="2">
        <v>1104</v>
      </c>
      <c r="W116" s="2">
        <v>10227</v>
      </c>
      <c r="X116" s="2">
        <f t="shared" si="8"/>
        <v>10227</v>
      </c>
      <c r="Y116" s="2">
        <v>2498</v>
      </c>
      <c r="Z116" t="str" cm="1">
        <f t="array" ref="Z116">_xlfn.IFS(OR(R116&gt;66, S116&gt;38), "High Engagement", OR(AND(R116&gt;32, R116&lt;=66), AND(S116&gt;19, S116&lt;=38)), "Medium-High Engagement", OR(AND(R116&gt;4, R116&lt;=32), AND(S116&gt;6, S116&lt;=19)),"Medium Engagement", TRUE, "Low Engagement"
)</f>
        <v>Medium Engagement</v>
      </c>
      <c r="AA116">
        <f t="shared" si="9"/>
        <v>0.24425540236628532</v>
      </c>
    </row>
    <row r="117" spans="1:27" x14ac:dyDescent="0.35">
      <c r="A117" s="2">
        <v>2022484408</v>
      </c>
      <c r="B117" s="2" t="s">
        <v>86</v>
      </c>
      <c r="C117" s="2">
        <f>VLOOKUP(user_activity!A433,users_details!$A$1:$G$34,5,0)</f>
        <v>32</v>
      </c>
      <c r="D117" s="2" t="str" cm="1">
        <f t="array" ref="D117">_xlfn.IFS( AND(C117&gt;=18, C117&lt;=25), "Emerging Adults",  AND(C117&gt;=26, C117&lt;=35),  "Young Adults",  AND(C117&gt;=36, C117&lt;=45),  "Midlife Adults",  AND(C117&gt;=46, C117&lt;=55), "Mature Adults", C117&gt;=56,  "Older Adults", TRUE, "Age Not Mentioned")</f>
        <v>Young Adults</v>
      </c>
      <c r="E117" s="2" t="str">
        <f>VLOOKUP(user_activity!A433,users_details!$A$1:$G$34,6,0)</f>
        <v>East Harlem, Manhattan</v>
      </c>
      <c r="F117" s="2" t="str">
        <f>VLOOKUP(user_activity!A433,users_details!$A$1:$G$34,7,0)</f>
        <v>East Harlem</v>
      </c>
      <c r="G117" s="2" t="s">
        <v>72</v>
      </c>
      <c r="H117" s="7">
        <v>42495</v>
      </c>
      <c r="I117" s="9" t="str">
        <f t="shared" si="5"/>
        <v>Thursday</v>
      </c>
      <c r="J117" s="9" t="str">
        <f t="shared" si="6"/>
        <v>May</v>
      </c>
      <c r="K117" s="2">
        <v>8.3500003809999992</v>
      </c>
      <c r="L117" s="2">
        <v>8.3500003809999992</v>
      </c>
      <c r="M117" s="2">
        <v>0</v>
      </c>
      <c r="N117" s="2">
        <v>2.789999962</v>
      </c>
      <c r="O117" s="2">
        <v>0.86000001400000003</v>
      </c>
      <c r="P117" s="2">
        <v>4.6999998090000004</v>
      </c>
      <c r="Q117" s="2">
        <v>0</v>
      </c>
      <c r="R117" s="2">
        <v>55</v>
      </c>
      <c r="S117" s="2">
        <v>20</v>
      </c>
      <c r="T117" s="2">
        <v>253</v>
      </c>
      <c r="U117" s="2">
        <f t="shared" si="7"/>
        <v>328</v>
      </c>
      <c r="V117" s="2">
        <v>1112</v>
      </c>
      <c r="W117" s="2">
        <v>11895</v>
      </c>
      <c r="X117" s="2">
        <f t="shared" si="8"/>
        <v>11895</v>
      </c>
      <c r="Y117" s="2">
        <v>2609</v>
      </c>
      <c r="Z117" t="str" cm="1">
        <f t="array" ref="Z117">_xlfn.IFS(OR(R117&gt;66, S117&gt;38), "High Engagement", OR(AND(R117&gt;32, R117&lt;=66), AND(S117&gt;19, S117&lt;=38)), "Medium-High Engagement", OR(AND(R117&gt;4, R117&lt;=32), AND(S117&gt;6, S117&lt;=19)),"Medium Engagement", TRUE, "Low Engagement"
)</f>
        <v>Medium-High Engagement</v>
      </c>
      <c r="AA117">
        <f t="shared" si="9"/>
        <v>0.21933585540142916</v>
      </c>
    </row>
    <row r="118" spans="1:27" x14ac:dyDescent="0.35">
      <c r="A118" s="2">
        <v>2022484408</v>
      </c>
      <c r="B118" s="2" t="s">
        <v>86</v>
      </c>
      <c r="C118" s="2">
        <f>VLOOKUP(user_activity!A453,users_details!$A$1:$G$34,5,0)</f>
        <v>33</v>
      </c>
      <c r="D118" s="2" t="str" cm="1">
        <f t="array" ref="D118">_xlfn.IFS( AND(C118&gt;=18, C118&lt;=25), "Emerging Adults",  AND(C118&gt;=26, C118&lt;=35),  "Young Adults",  AND(C118&gt;=36, C118&lt;=45),  "Midlife Adults",  AND(C118&gt;=46, C118&lt;=55), "Mature Adults", C118&gt;=56,  "Older Adults", TRUE, "Age Not Mentioned")</f>
        <v>Young Adults</v>
      </c>
      <c r="E118" s="2" t="str">
        <f>VLOOKUP(user_activity!A453,users_details!$A$1:$G$34,6,0)</f>
        <v>Greenpoint, Brooklyn</v>
      </c>
      <c r="F118" s="2" t="str">
        <f>VLOOKUP(user_activity!A453,users_details!$A$1:$G$34,7,0)</f>
        <v>Greenpoint</v>
      </c>
      <c r="G118" s="2" t="s">
        <v>72</v>
      </c>
      <c r="H118" s="7">
        <v>42556</v>
      </c>
      <c r="I118" s="9" t="str">
        <f t="shared" si="5"/>
        <v>Tuesday</v>
      </c>
      <c r="J118" s="9" t="str">
        <f t="shared" si="6"/>
        <v>July</v>
      </c>
      <c r="K118" s="2">
        <v>4.7100000380000004</v>
      </c>
      <c r="L118" s="2">
        <v>4.7100000380000004</v>
      </c>
      <c r="M118" s="2">
        <v>0</v>
      </c>
      <c r="N118" s="2">
        <v>1.6100000139999999</v>
      </c>
      <c r="O118" s="2">
        <v>7.9999998000000003E-2</v>
      </c>
      <c r="P118" s="2">
        <v>3.0199999809999998</v>
      </c>
      <c r="Q118" s="2">
        <v>0</v>
      </c>
      <c r="R118" s="2">
        <v>20</v>
      </c>
      <c r="S118" s="2">
        <v>2</v>
      </c>
      <c r="T118" s="2">
        <v>149</v>
      </c>
      <c r="U118" s="2">
        <f t="shared" si="7"/>
        <v>171</v>
      </c>
      <c r="V118" s="2">
        <v>1269</v>
      </c>
      <c r="W118" s="2">
        <v>6708</v>
      </c>
      <c r="X118" s="2">
        <f t="shared" si="8"/>
        <v>6708</v>
      </c>
      <c r="Y118" s="2">
        <v>1995</v>
      </c>
      <c r="Z118" t="str" cm="1">
        <f t="array" ref="Z118">_xlfn.IFS(OR(R118&gt;66, S118&gt;38), "High Engagement", OR(AND(R118&gt;32, R118&lt;=66), AND(S118&gt;19, S118&lt;=38)), "Medium-High Engagement", OR(AND(R118&gt;4, R118&lt;=32), AND(S118&gt;6, S118&lt;=19)),"Medium Engagement", TRUE, "Low Engagement"
)</f>
        <v>Medium Engagement</v>
      </c>
      <c r="AA118">
        <f t="shared" si="9"/>
        <v>0.2974060822898032</v>
      </c>
    </row>
    <row r="119" spans="1:27" x14ac:dyDescent="0.35">
      <c r="A119" s="2">
        <v>8253242879</v>
      </c>
      <c r="B119" s="2" t="s">
        <v>84</v>
      </c>
      <c r="C119" s="2">
        <f>VLOOKUP(user_activity!A464,users_details!$A$1:$G$34,5,0)</f>
        <v>33</v>
      </c>
      <c r="D119" s="2" t="str" cm="1">
        <f t="array" ref="D119">_xlfn.IFS( AND(C119&gt;=18, C119&lt;=25), "Emerging Adults",  AND(C119&gt;=26, C119&lt;=35),  "Young Adults",  AND(C119&gt;=36, C119&lt;=45),  "Midlife Adults",  AND(C119&gt;=46, C119&lt;=55), "Mature Adults", C119&gt;=56,  "Older Adults", TRUE, "Age Not Mentioned")</f>
        <v>Young Adults</v>
      </c>
      <c r="E119" s="2" t="str">
        <f>VLOOKUP(user_activity!A464,users_details!$A$1:$G$34,6,0)</f>
        <v>Greenpoint, Brooklyn</v>
      </c>
      <c r="F119" s="2" t="str">
        <f>VLOOKUP(user_activity!A464,users_details!$A$1:$G$34,7,0)</f>
        <v>Greenpoint</v>
      </c>
      <c r="G119" s="2" t="s">
        <v>72</v>
      </c>
      <c r="H119" s="7">
        <v>42481</v>
      </c>
      <c r="I119" s="9" t="str">
        <f t="shared" si="5"/>
        <v>Thursday</v>
      </c>
      <c r="J119" s="9" t="str">
        <f t="shared" si="6"/>
        <v>April</v>
      </c>
      <c r="K119" s="2">
        <v>8.5600004199999997</v>
      </c>
      <c r="L119" s="2">
        <v>8.5600004199999997</v>
      </c>
      <c r="M119" s="2">
        <v>0</v>
      </c>
      <c r="N119" s="2">
        <v>5.8800001139999996</v>
      </c>
      <c r="O119" s="2">
        <v>0.93000000699999996</v>
      </c>
      <c r="P119" s="2">
        <v>1.75</v>
      </c>
      <c r="Q119" s="2">
        <v>0</v>
      </c>
      <c r="R119" s="2">
        <v>49</v>
      </c>
      <c r="S119" s="2">
        <v>20</v>
      </c>
      <c r="T119" s="2">
        <v>172</v>
      </c>
      <c r="U119" s="2">
        <f t="shared" si="7"/>
        <v>241</v>
      </c>
      <c r="V119" s="2">
        <v>1199</v>
      </c>
      <c r="W119" s="2">
        <v>11268</v>
      </c>
      <c r="X119" s="2">
        <f t="shared" si="8"/>
        <v>11268</v>
      </c>
      <c r="Y119" s="2">
        <v>2218</v>
      </c>
      <c r="Z119" t="str" cm="1">
        <f t="array" ref="Z119">_xlfn.IFS(OR(R119&gt;66, S119&gt;38), "High Engagement", OR(AND(R119&gt;32, R119&lt;=66), AND(S119&gt;19, S119&lt;=38)), "Medium-High Engagement", OR(AND(R119&gt;4, R119&lt;=32), AND(S119&gt;6, S119&lt;=19)),"Medium Engagement", TRUE, "Low Engagement"
)</f>
        <v>Medium-High Engagement</v>
      </c>
      <c r="AA119">
        <f t="shared" si="9"/>
        <v>0.19684061057862975</v>
      </c>
    </row>
    <row r="120" spans="1:27" x14ac:dyDescent="0.35">
      <c r="A120" s="2">
        <v>2022484408</v>
      </c>
      <c r="B120" s="2" t="s">
        <v>86</v>
      </c>
      <c r="C120" s="2">
        <f>VLOOKUP(user_activity!A481,users_details!$A$1:$G$34,5,0)</f>
        <v>33</v>
      </c>
      <c r="D120" s="2" t="str" cm="1">
        <f t="array" ref="D120">_xlfn.IFS( AND(C120&gt;=18, C120&lt;=25), "Emerging Adults",  AND(C120&gt;=26, C120&lt;=35),  "Young Adults",  AND(C120&gt;=36, C120&lt;=45),  "Midlife Adults",  AND(C120&gt;=46, C120&lt;=55), "Mature Adults", C120&gt;=56,  "Older Adults", TRUE, "Age Not Mentioned")</f>
        <v>Young Adults</v>
      </c>
      <c r="E120" s="2" t="str">
        <f>VLOOKUP(user_activity!A481,users_details!$A$1:$G$34,6,0)</f>
        <v>Greenpoint, Brooklyn</v>
      </c>
      <c r="F120" s="2" t="str">
        <f>VLOOKUP(user_activity!A481,users_details!$A$1:$G$34,7,0)</f>
        <v>Greenpoint</v>
      </c>
      <c r="G120" s="2" t="s">
        <v>72</v>
      </c>
      <c r="H120" s="7">
        <v>42709</v>
      </c>
      <c r="I120" s="9" t="str">
        <f t="shared" si="5"/>
        <v>Monday</v>
      </c>
      <c r="J120" s="9" t="str">
        <f t="shared" si="6"/>
        <v>December</v>
      </c>
      <c r="K120" s="2">
        <v>6.4099998469999999</v>
      </c>
      <c r="L120" s="2">
        <v>6.4099998469999999</v>
      </c>
      <c r="M120" s="2">
        <v>0</v>
      </c>
      <c r="N120" s="2">
        <v>1.2799999710000001</v>
      </c>
      <c r="O120" s="2">
        <v>0.670000017</v>
      </c>
      <c r="P120" s="2">
        <v>4.4400000569999998</v>
      </c>
      <c r="Q120" s="2">
        <v>0</v>
      </c>
      <c r="R120" s="2">
        <v>16</v>
      </c>
      <c r="S120" s="2">
        <v>16</v>
      </c>
      <c r="T120" s="2">
        <v>236</v>
      </c>
      <c r="U120" s="2">
        <f t="shared" si="7"/>
        <v>268</v>
      </c>
      <c r="V120" s="2">
        <v>728</v>
      </c>
      <c r="W120" s="2">
        <v>9117</v>
      </c>
      <c r="X120" s="2">
        <f t="shared" si="8"/>
        <v>9117</v>
      </c>
      <c r="Y120" s="2">
        <v>1853</v>
      </c>
      <c r="Z120" t="str" cm="1">
        <f t="array" ref="Z120">_xlfn.IFS(OR(R120&gt;66, S120&gt;38), "High Engagement", OR(AND(R120&gt;32, R120&lt;=66), AND(S120&gt;19, S120&lt;=38)), "Medium-High Engagement", OR(AND(R120&gt;4, R120&lt;=32), AND(S120&gt;6, S120&lt;=19)),"Medium Engagement", TRUE, "Low Engagement"
)</f>
        <v>Medium Engagement</v>
      </c>
      <c r="AA120">
        <f t="shared" si="9"/>
        <v>0.20324668202259516</v>
      </c>
    </row>
    <row r="121" spans="1:27" x14ac:dyDescent="0.35">
      <c r="A121" s="2">
        <v>8253242879</v>
      </c>
      <c r="B121" s="2" t="s">
        <v>84</v>
      </c>
      <c r="C121" s="2">
        <f>VLOOKUP(user_activity!A489,users_details!$A$1:$G$34,5,0)</f>
        <v>33</v>
      </c>
      <c r="D121" s="2" t="str" cm="1">
        <f t="array" ref="D121">_xlfn.IFS( AND(C121&gt;=18, C121&lt;=25), "Emerging Adults",  AND(C121&gt;=26, C121&lt;=35),  "Young Adults",  AND(C121&gt;=36, C121&lt;=45),  "Midlife Adults",  AND(C121&gt;=46, C121&lt;=55), "Mature Adults", C121&gt;=56,  "Older Adults", TRUE, "Age Not Mentioned")</f>
        <v>Young Adults</v>
      </c>
      <c r="E121" s="2" t="str">
        <f>VLOOKUP(user_activity!A489,users_details!$A$1:$G$34,6,0)</f>
        <v>Greenpoint, Brooklyn</v>
      </c>
      <c r="F121" s="2" t="str">
        <f>VLOOKUP(user_activity!A489,users_details!$A$1:$G$34,7,0)</f>
        <v>Greenpoint</v>
      </c>
      <c r="G121" s="2" t="s">
        <v>72</v>
      </c>
      <c r="H121" s="7">
        <v>42479</v>
      </c>
      <c r="I121" s="9" t="str">
        <f t="shared" si="5"/>
        <v>Tuesday</v>
      </c>
      <c r="J121" s="9" t="str">
        <f t="shared" si="6"/>
        <v>April</v>
      </c>
      <c r="K121" s="2">
        <v>2.7799999710000001</v>
      </c>
      <c r="L121" s="2">
        <v>2.7799999710000001</v>
      </c>
      <c r="M121" s="2">
        <v>0</v>
      </c>
      <c r="N121" s="2">
        <v>0</v>
      </c>
      <c r="O121" s="2">
        <v>0</v>
      </c>
      <c r="P121" s="2">
        <v>2.7799999710000001</v>
      </c>
      <c r="Q121" s="2">
        <v>0</v>
      </c>
      <c r="R121" s="2">
        <v>0</v>
      </c>
      <c r="S121" s="2">
        <v>0</v>
      </c>
      <c r="T121" s="2">
        <v>164</v>
      </c>
      <c r="U121" s="2">
        <f t="shared" si="7"/>
        <v>164</v>
      </c>
      <c r="V121" s="2">
        <v>1276</v>
      </c>
      <c r="W121" s="2">
        <v>4212</v>
      </c>
      <c r="X121" s="2">
        <f t="shared" si="8"/>
        <v>4212</v>
      </c>
      <c r="Y121" s="2">
        <v>1763</v>
      </c>
      <c r="Z121" t="str" cm="1">
        <f t="array" ref="Z121">_xlfn.IFS(OR(R121&gt;66, S121&gt;38), "High Engagement", OR(AND(R121&gt;32, R121&lt;=66), AND(S121&gt;19, S121&lt;=38)), "Medium-High Engagement", OR(AND(R121&gt;4, R121&lt;=32), AND(S121&gt;6, S121&lt;=19)),"Medium Engagement", TRUE, "Low Engagement"
)</f>
        <v>Low Engagement</v>
      </c>
      <c r="AA121">
        <f t="shared" si="9"/>
        <v>0.41856600189933524</v>
      </c>
    </row>
    <row r="122" spans="1:27" x14ac:dyDescent="0.35">
      <c r="A122" s="2">
        <v>2022484408</v>
      </c>
      <c r="B122" s="2" t="s">
        <v>86</v>
      </c>
      <c r="C122" s="2">
        <f>VLOOKUP(user_activity!A555,users_details!$A$1:$G$34,5,0)</f>
        <v>38</v>
      </c>
      <c r="D122" s="2" t="str" cm="1">
        <f t="array" ref="D122">_xlfn.IFS( AND(C122&gt;=18, C122&lt;=25), "Emerging Adults",  AND(C122&gt;=26, C122&lt;=35),  "Young Adults",  AND(C122&gt;=36, C122&lt;=45),  "Midlife Adults",  AND(C122&gt;=46, C122&lt;=55), "Mature Adults", C122&gt;=56,  "Older Adults", TRUE, "Age Not Mentioned")</f>
        <v>Midlife Adults</v>
      </c>
      <c r="E122" s="2" t="str">
        <f>VLOOKUP(user_activity!A555,users_details!$A$1:$G$34,6,0)</f>
        <v>Midtown, Manhattan</v>
      </c>
      <c r="F122" s="2" t="str">
        <f>VLOOKUP(user_activity!A555,users_details!$A$1:$G$34,7,0)</f>
        <v>Midtown</v>
      </c>
      <c r="G122" s="2" t="s">
        <v>72</v>
      </c>
      <c r="H122" s="7">
        <v>42434</v>
      </c>
      <c r="I122" s="9" t="str">
        <f t="shared" si="5"/>
        <v>Saturday</v>
      </c>
      <c r="J122" s="9" t="str">
        <f t="shared" si="6"/>
        <v>March</v>
      </c>
      <c r="K122" s="2">
        <v>8.7399997710000008</v>
      </c>
      <c r="L122" s="2">
        <v>8.7399997710000008</v>
      </c>
      <c r="M122" s="2">
        <v>0</v>
      </c>
      <c r="N122" s="2">
        <v>3.9900000100000002</v>
      </c>
      <c r="O122" s="2">
        <v>0.46000000800000002</v>
      </c>
      <c r="P122" s="2">
        <v>4.2800002099999999</v>
      </c>
      <c r="Q122" s="2">
        <v>0</v>
      </c>
      <c r="R122" s="2">
        <v>72</v>
      </c>
      <c r="S122" s="2">
        <v>14</v>
      </c>
      <c r="T122" s="2">
        <v>250</v>
      </c>
      <c r="U122" s="2">
        <f t="shared" si="7"/>
        <v>336</v>
      </c>
      <c r="V122" s="2">
        <v>1104</v>
      </c>
      <c r="W122" s="2">
        <v>12183</v>
      </c>
      <c r="X122" s="2">
        <f t="shared" si="8"/>
        <v>12183</v>
      </c>
      <c r="Y122" s="2">
        <v>2752</v>
      </c>
      <c r="Z122" t="str" cm="1">
        <f t="array" ref="Z122">_xlfn.IFS(OR(R122&gt;66, S122&gt;38), "High Engagement", OR(AND(R122&gt;32, R122&lt;=66), AND(S122&gt;19, S122&lt;=38)), "Medium-High Engagement", OR(AND(R122&gt;4, R122&lt;=32), AND(S122&gt;6, S122&lt;=19)),"Medium Engagement", TRUE, "Low Engagement"
)</f>
        <v>High Engagement</v>
      </c>
      <c r="AA122">
        <f t="shared" si="9"/>
        <v>0.22588853320200278</v>
      </c>
    </row>
    <row r="123" spans="1:27" x14ac:dyDescent="0.35">
      <c r="A123" s="2">
        <v>2022484408</v>
      </c>
      <c r="B123" s="2" t="s">
        <v>86</v>
      </c>
      <c r="C123" s="2">
        <f>VLOOKUP(user_activity!A561,users_details!$A$1:$G$34,5,0)</f>
        <v>38</v>
      </c>
      <c r="D123" s="2" t="str" cm="1">
        <f t="array" ref="D123">_xlfn.IFS( AND(C123&gt;=18, C123&lt;=25), "Emerging Adults",  AND(C123&gt;=26, C123&lt;=35),  "Young Adults",  AND(C123&gt;=36, C123&lt;=45),  "Midlife Adults",  AND(C123&gt;=46, C123&lt;=55), "Mature Adults", C123&gt;=56,  "Older Adults", TRUE, "Age Not Mentioned")</f>
        <v>Midlife Adults</v>
      </c>
      <c r="E123" s="2" t="str">
        <f>VLOOKUP(user_activity!A561,users_details!$A$1:$G$34,6,0)</f>
        <v>East Harlem, Manhattan</v>
      </c>
      <c r="F123" s="2" t="str">
        <f>VLOOKUP(user_activity!A561,users_details!$A$1:$G$34,7,0)</f>
        <v>East Harlem</v>
      </c>
      <c r="G123" s="2" t="s">
        <v>72</v>
      </c>
      <c r="H123" s="7">
        <v>42708</v>
      </c>
      <c r="I123" s="9" t="str">
        <f t="shared" si="5"/>
        <v>Sunday</v>
      </c>
      <c r="J123" s="9" t="str">
        <f t="shared" si="6"/>
        <v>December</v>
      </c>
      <c r="K123" s="2">
        <v>8.3400001530000001</v>
      </c>
      <c r="L123" s="2">
        <v>8.3400001530000001</v>
      </c>
      <c r="M123" s="2">
        <v>0</v>
      </c>
      <c r="N123" s="2">
        <v>3.3099999430000002</v>
      </c>
      <c r="O123" s="2">
        <v>0.769999981</v>
      </c>
      <c r="P123" s="2">
        <v>4.2600002290000001</v>
      </c>
      <c r="Q123" s="2">
        <v>0</v>
      </c>
      <c r="R123" s="2">
        <v>42</v>
      </c>
      <c r="S123" s="2">
        <v>14</v>
      </c>
      <c r="T123" s="2">
        <v>227</v>
      </c>
      <c r="U123" s="2">
        <f t="shared" si="7"/>
        <v>283</v>
      </c>
      <c r="V123" s="2">
        <v>1157</v>
      </c>
      <c r="W123" s="2">
        <v>11875</v>
      </c>
      <c r="X123" s="2">
        <f t="shared" si="8"/>
        <v>11875</v>
      </c>
      <c r="Y123" s="2">
        <v>2390</v>
      </c>
      <c r="Z123" t="str" cm="1">
        <f t="array" ref="Z123">_xlfn.IFS(OR(R123&gt;66, S123&gt;38), "High Engagement", OR(AND(R123&gt;32, R123&lt;=66), AND(S123&gt;19, S123&lt;=38)), "Medium-High Engagement", OR(AND(R123&gt;4, R123&lt;=32), AND(S123&gt;6, S123&lt;=19)),"Medium Engagement", TRUE, "Low Engagement"
)</f>
        <v>Medium-High Engagement</v>
      </c>
      <c r="AA123">
        <f t="shared" si="9"/>
        <v>0.20126315789473684</v>
      </c>
    </row>
    <row r="124" spans="1:27" x14ac:dyDescent="0.35">
      <c r="A124" s="2">
        <v>2022484408</v>
      </c>
      <c r="B124" s="2" t="s">
        <v>86</v>
      </c>
      <c r="C124" s="2">
        <f>VLOOKUP(user_activity!A573,users_details!$A$1:$G$34,5,0)</f>
        <v>38</v>
      </c>
      <c r="D124" s="2" t="str" cm="1">
        <f t="array" ref="D124">_xlfn.IFS( AND(C124&gt;=18, C124&lt;=25), "Emerging Adults",  AND(C124&gt;=26, C124&lt;=35),  "Young Adults",  AND(C124&gt;=36, C124&lt;=45),  "Midlife Adults",  AND(C124&gt;=46, C124&lt;=55), "Mature Adults", C124&gt;=56,  "Older Adults", TRUE, "Age Not Mentioned")</f>
        <v>Midlife Adults</v>
      </c>
      <c r="E124" s="2" t="str">
        <f>VLOOKUP(user_activity!A573,users_details!$A$1:$G$34,6,0)</f>
        <v>Midtown, Manhattan</v>
      </c>
      <c r="F124" s="2" t="str">
        <f>VLOOKUP(user_activity!A573,users_details!$A$1:$G$34,7,0)</f>
        <v>Midtown</v>
      </c>
      <c r="G124" s="2" t="s">
        <v>72</v>
      </c>
      <c r="H124" s="7">
        <v>42587</v>
      </c>
      <c r="I124" s="9" t="str">
        <f t="shared" si="5"/>
        <v>Friday</v>
      </c>
      <c r="J124" s="9" t="str">
        <f t="shared" si="6"/>
        <v>August</v>
      </c>
      <c r="K124" s="2">
        <v>2.3099999430000002</v>
      </c>
      <c r="L124" s="2">
        <v>2.3099999430000002</v>
      </c>
      <c r="M124" s="2">
        <v>0</v>
      </c>
      <c r="N124" s="2">
        <v>0</v>
      </c>
      <c r="O124" s="2">
        <v>0</v>
      </c>
      <c r="P124" s="2">
        <v>2.3099999430000002</v>
      </c>
      <c r="Q124" s="2">
        <v>0</v>
      </c>
      <c r="R124" s="2">
        <v>0</v>
      </c>
      <c r="S124" s="2">
        <v>0</v>
      </c>
      <c r="T124" s="2">
        <v>135</v>
      </c>
      <c r="U124" s="2">
        <f t="shared" si="7"/>
        <v>135</v>
      </c>
      <c r="V124" s="2">
        <v>1305</v>
      </c>
      <c r="W124" s="2">
        <v>3292</v>
      </c>
      <c r="X124" s="2">
        <f t="shared" si="8"/>
        <v>3292</v>
      </c>
      <c r="Y124" s="2">
        <v>1848</v>
      </c>
      <c r="Z124" t="str" cm="1">
        <f t="array" ref="Z124">_xlfn.IFS(OR(R124&gt;66, S124&gt;38), "High Engagement", OR(AND(R124&gt;32, R124&lt;=66), AND(S124&gt;19, S124&lt;=38)), "Medium-High Engagement", OR(AND(R124&gt;4, R124&lt;=32), AND(S124&gt;6, S124&lt;=19)),"Medium Engagement", TRUE, "Low Engagement"
)</f>
        <v>Low Engagement</v>
      </c>
      <c r="AA124">
        <f t="shared" si="9"/>
        <v>0.5613608748481167</v>
      </c>
    </row>
    <row r="125" spans="1:27" x14ac:dyDescent="0.35">
      <c r="A125" s="2">
        <v>2022484408</v>
      </c>
      <c r="B125" s="2" t="s">
        <v>86</v>
      </c>
      <c r="C125" s="2">
        <f>VLOOKUP(user_activity!A584,users_details!$A$1:$G$34,5,0)</f>
        <v>38</v>
      </c>
      <c r="D125" s="2" t="str" cm="1">
        <f t="array" ref="D125">_xlfn.IFS( AND(C125&gt;=18, C125&lt;=25), "Emerging Adults",  AND(C125&gt;=26, C125&lt;=35),  "Young Adults",  AND(C125&gt;=36, C125&lt;=45),  "Midlife Adults",  AND(C125&gt;=46, C125&lt;=55), "Mature Adults", C125&gt;=56,  "Older Adults", TRUE, "Age Not Mentioned")</f>
        <v>Midlife Adults</v>
      </c>
      <c r="E125" s="2" t="str">
        <f>VLOOKUP(user_activity!A584,users_details!$A$1:$G$34,6,0)</f>
        <v>Midtown, Manhattan</v>
      </c>
      <c r="F125" s="2" t="str">
        <f>VLOOKUP(user_activity!A584,users_details!$A$1:$G$34,7,0)</f>
        <v>Midtown</v>
      </c>
      <c r="G125" s="2" t="s">
        <v>72</v>
      </c>
      <c r="H125" s="7">
        <v>42475</v>
      </c>
      <c r="I125" s="9" t="str">
        <f t="shared" si="5"/>
        <v>Friday</v>
      </c>
      <c r="J125" s="9" t="str">
        <f t="shared" si="6"/>
        <v>April</v>
      </c>
      <c r="K125" s="2">
        <v>8.0299997330000004</v>
      </c>
      <c r="L125" s="2">
        <v>8.0299997330000004</v>
      </c>
      <c r="M125" s="2">
        <v>0</v>
      </c>
      <c r="N125" s="2">
        <v>1.940000057</v>
      </c>
      <c r="O125" s="2">
        <v>0.310000002</v>
      </c>
      <c r="P125" s="2">
        <v>5.7800002099999999</v>
      </c>
      <c r="Q125" s="2">
        <v>0</v>
      </c>
      <c r="R125" s="2">
        <v>27</v>
      </c>
      <c r="S125" s="2">
        <v>9</v>
      </c>
      <c r="T125" s="2">
        <v>282</v>
      </c>
      <c r="U125" s="2">
        <f t="shared" si="7"/>
        <v>318</v>
      </c>
      <c r="V125" s="2">
        <v>1122</v>
      </c>
      <c r="W125" s="2">
        <v>11034</v>
      </c>
      <c r="X125" s="2">
        <f t="shared" si="8"/>
        <v>11034</v>
      </c>
      <c r="Y125" s="2">
        <v>2525</v>
      </c>
      <c r="Z125" t="str" cm="1">
        <f t="array" ref="Z125">_xlfn.IFS(OR(R125&gt;66, S125&gt;38), "High Engagement", OR(AND(R125&gt;32, R125&lt;=66), AND(S125&gt;19, S125&lt;=38)), "Medium-High Engagement", OR(AND(R125&gt;4, R125&lt;=32), AND(S125&gt;6, S125&lt;=19)),"Medium Engagement", TRUE, "Low Engagement"
)</f>
        <v>Medium Engagement</v>
      </c>
      <c r="AA125">
        <f t="shared" si="9"/>
        <v>0.22883813666847924</v>
      </c>
    </row>
    <row r="126" spans="1:27" x14ac:dyDescent="0.35">
      <c r="A126" s="2">
        <v>2022484408</v>
      </c>
      <c r="B126" s="2" t="s">
        <v>86</v>
      </c>
      <c r="C126" s="2">
        <f>VLOOKUP(user_activity!A586,users_details!$A$1:$G$34,5,0)</f>
        <v>38</v>
      </c>
      <c r="D126" s="2" t="str" cm="1">
        <f t="array" ref="D126">_xlfn.IFS( AND(C126&gt;=18, C126&lt;=25), "Emerging Adults",  AND(C126&gt;=26, C126&lt;=35),  "Young Adults",  AND(C126&gt;=36, C126&lt;=45),  "Midlife Adults",  AND(C126&gt;=46, C126&lt;=55), "Mature Adults", C126&gt;=56,  "Older Adults", TRUE, "Age Not Mentioned")</f>
        <v>Midlife Adults</v>
      </c>
      <c r="E126" s="2" t="str">
        <f>VLOOKUP(user_activity!A586,users_details!$A$1:$G$34,6,0)</f>
        <v>Midtown, Manhattan</v>
      </c>
      <c r="F126" s="2" t="str">
        <f>VLOOKUP(user_activity!A586,users_details!$A$1:$G$34,7,0)</f>
        <v>Midtown</v>
      </c>
      <c r="G126" s="2" t="s">
        <v>72</v>
      </c>
      <c r="H126" s="7">
        <v>42489</v>
      </c>
      <c r="I126" s="9" t="str">
        <f t="shared" si="5"/>
        <v>Friday</v>
      </c>
      <c r="J126" s="9" t="str">
        <f t="shared" si="6"/>
        <v>April</v>
      </c>
      <c r="K126" s="2">
        <v>7.1900000569999998</v>
      </c>
      <c r="L126" s="2">
        <v>7.1900000569999998</v>
      </c>
      <c r="M126" s="2">
        <v>0</v>
      </c>
      <c r="N126" s="2">
        <v>0.47999998900000002</v>
      </c>
      <c r="O126" s="2">
        <v>1.210000038</v>
      </c>
      <c r="P126" s="2">
        <v>5.5</v>
      </c>
      <c r="Q126" s="2">
        <v>0</v>
      </c>
      <c r="R126" s="2">
        <v>21</v>
      </c>
      <c r="S126" s="2">
        <v>40</v>
      </c>
      <c r="T126" s="2">
        <v>281</v>
      </c>
      <c r="U126" s="2">
        <f t="shared" si="7"/>
        <v>342</v>
      </c>
      <c r="V126" s="2">
        <v>1098</v>
      </c>
      <c r="W126" s="2">
        <v>10245</v>
      </c>
      <c r="X126" s="2">
        <f t="shared" si="8"/>
        <v>10245</v>
      </c>
      <c r="Y126" s="2">
        <v>2611</v>
      </c>
      <c r="Z126" t="str" cm="1">
        <f t="array" ref="Z126">_xlfn.IFS(OR(R126&gt;66, S126&gt;38), "High Engagement", OR(AND(R126&gt;32, R126&lt;=66), AND(S126&gt;19, S126&lt;=38)), "Medium-High Engagement", OR(AND(R126&gt;4, R126&lt;=32), AND(S126&gt;6, S126&lt;=19)),"Medium Engagement", TRUE, "Low Engagement"
)</f>
        <v>High Engagement</v>
      </c>
      <c r="AA126">
        <f t="shared" si="9"/>
        <v>0.25485602733040508</v>
      </c>
    </row>
    <row r="127" spans="1:27" x14ac:dyDescent="0.35">
      <c r="A127" s="2">
        <v>8253242879</v>
      </c>
      <c r="B127" s="2" t="s">
        <v>84</v>
      </c>
      <c r="C127" s="2">
        <f>VLOOKUP(user_activity!A612,users_details!$A$1:$G$34,5,0)</f>
        <v>41</v>
      </c>
      <c r="D127" s="2" t="str" cm="1">
        <f t="array" ref="D127">_xlfn.IFS( AND(C127&gt;=18, C127&lt;=25), "Emerging Adults",  AND(C127&gt;=26, C127&lt;=35),  "Young Adults",  AND(C127&gt;=36, C127&lt;=45),  "Midlife Adults",  AND(C127&gt;=46, C127&lt;=55), "Mature Adults", C127&gt;=56,  "Older Adults", TRUE, "Age Not Mentioned")</f>
        <v>Midlife Adults</v>
      </c>
      <c r="E127" s="2" t="str">
        <f>VLOOKUP(user_activity!A612,users_details!$A$1:$G$34,6,0)</f>
        <v>East Harlem, Manhattan</v>
      </c>
      <c r="F127" s="2" t="str">
        <f>VLOOKUP(user_activity!A612,users_details!$A$1:$G$34,7,0)</f>
        <v>East Harlem</v>
      </c>
      <c r="G127" s="2" t="s">
        <v>72</v>
      </c>
      <c r="H127" s="7">
        <v>42474</v>
      </c>
      <c r="I127" s="9" t="str">
        <f t="shared" si="5"/>
        <v>Thursday</v>
      </c>
      <c r="J127" s="9" t="str">
        <f t="shared" si="6"/>
        <v>April</v>
      </c>
      <c r="K127" s="2">
        <v>3.460000038</v>
      </c>
      <c r="L127" s="2">
        <v>3.460000038</v>
      </c>
      <c r="M127" s="2">
        <v>0</v>
      </c>
      <c r="N127" s="2">
        <v>1.9299999480000001</v>
      </c>
      <c r="O127" s="2">
        <v>0.99000001000000004</v>
      </c>
      <c r="P127" s="2">
        <v>0.540000021</v>
      </c>
      <c r="Q127" s="2">
        <v>0</v>
      </c>
      <c r="R127" s="2">
        <v>29</v>
      </c>
      <c r="S127" s="2">
        <v>16</v>
      </c>
      <c r="T127" s="2">
        <v>33</v>
      </c>
      <c r="U127" s="2">
        <f t="shared" si="7"/>
        <v>78</v>
      </c>
      <c r="V127" s="2">
        <v>1362</v>
      </c>
      <c r="W127" s="2">
        <v>5234</v>
      </c>
      <c r="X127" s="2">
        <f t="shared" si="8"/>
        <v>5234</v>
      </c>
      <c r="Y127" s="2">
        <v>1705</v>
      </c>
      <c r="Z127" t="str" cm="1">
        <f t="array" ref="Z127">_xlfn.IFS(OR(R127&gt;66, S127&gt;38), "High Engagement", OR(AND(R127&gt;32, R127&lt;=66), AND(S127&gt;19, S127&lt;=38)), "Medium-High Engagement", OR(AND(R127&gt;4, R127&lt;=32), AND(S127&gt;6, S127&lt;=19)),"Medium Engagement", TRUE, "Low Engagement"
)</f>
        <v>Medium Engagement</v>
      </c>
      <c r="AA127">
        <f t="shared" si="9"/>
        <v>0.32575468093236531</v>
      </c>
    </row>
    <row r="128" spans="1:27" x14ac:dyDescent="0.35">
      <c r="A128" s="2">
        <v>8253242879</v>
      </c>
      <c r="B128" s="2" t="s">
        <v>84</v>
      </c>
      <c r="C128" s="2">
        <f>VLOOKUP(user_activity!A613,users_details!$A$1:$G$34,5,0)</f>
        <v>41</v>
      </c>
      <c r="D128" s="2" t="str" cm="1">
        <f t="array" ref="D128">_xlfn.IFS( AND(C128&gt;=18, C128&lt;=25), "Emerging Adults",  AND(C128&gt;=26, C128&lt;=35),  "Young Adults",  AND(C128&gt;=36, C128&lt;=45),  "Midlife Adults",  AND(C128&gt;=46, C128&lt;=55), "Mature Adults", C128&gt;=56,  "Older Adults", TRUE, "Age Not Mentioned")</f>
        <v>Midlife Adults</v>
      </c>
      <c r="E128" s="2" t="str">
        <f>VLOOKUP(user_activity!A613,users_details!$A$1:$G$34,6,0)</f>
        <v>East Harlem, Manhattan</v>
      </c>
      <c r="F128" s="2" t="str">
        <f>VLOOKUP(user_activity!A613,users_details!$A$1:$G$34,7,0)</f>
        <v>East Harlem</v>
      </c>
      <c r="G128" s="2" t="s">
        <v>72</v>
      </c>
      <c r="H128" s="7">
        <v>42484</v>
      </c>
      <c r="I128" s="9" t="str">
        <f t="shared" si="5"/>
        <v>Sunday</v>
      </c>
      <c r="J128" s="9" t="str">
        <f t="shared" si="6"/>
        <v>April</v>
      </c>
      <c r="K128" s="2">
        <v>7.1300001139999996</v>
      </c>
      <c r="L128" s="2">
        <v>7.1300001139999996</v>
      </c>
      <c r="M128" s="2">
        <v>0</v>
      </c>
      <c r="N128" s="2">
        <v>5.5999999049999998</v>
      </c>
      <c r="O128" s="2">
        <v>0.189999998</v>
      </c>
      <c r="P128" s="2">
        <v>1.3400000329999999</v>
      </c>
      <c r="Q128" s="2">
        <v>0</v>
      </c>
      <c r="R128" s="2">
        <v>41</v>
      </c>
      <c r="S128" s="2">
        <v>4</v>
      </c>
      <c r="T128" s="2">
        <v>82</v>
      </c>
      <c r="U128" s="2">
        <f t="shared" si="7"/>
        <v>127</v>
      </c>
      <c r="V128" s="2">
        <v>1313</v>
      </c>
      <c r="W128" s="2">
        <v>8905</v>
      </c>
      <c r="X128" s="2">
        <f t="shared" si="8"/>
        <v>8905</v>
      </c>
      <c r="Y128" s="2">
        <v>1976</v>
      </c>
      <c r="Z128" t="str" cm="1">
        <f t="array" ref="Z128">_xlfn.IFS(OR(R128&gt;66, S128&gt;38), "High Engagement", OR(AND(R128&gt;32, R128&lt;=66), AND(S128&gt;19, S128&lt;=38)), "Medium-High Engagement", OR(AND(R128&gt;4, R128&lt;=32), AND(S128&gt;6, S128&lt;=19)),"Medium Engagement", TRUE, "Low Engagement"
)</f>
        <v>Medium-High Engagement</v>
      </c>
      <c r="AA128">
        <f t="shared" si="9"/>
        <v>0.22189781021897811</v>
      </c>
    </row>
    <row r="129" spans="1:27" x14ac:dyDescent="0.35">
      <c r="A129" s="2">
        <v>8253242879</v>
      </c>
      <c r="B129" s="2" t="s">
        <v>84</v>
      </c>
      <c r="C129" s="2">
        <f>VLOOKUP(user_activity!A616,users_details!$A$1:$G$34,5,0)</f>
        <v>41</v>
      </c>
      <c r="D129" s="2" t="str" cm="1">
        <f t="array" ref="D129">_xlfn.IFS( AND(C129&gt;=18, C129&lt;=25), "Emerging Adults",  AND(C129&gt;=26, C129&lt;=35),  "Young Adults",  AND(C129&gt;=36, C129&lt;=45),  "Midlife Adults",  AND(C129&gt;=46, C129&lt;=55), "Mature Adults", C129&gt;=56,  "Older Adults", TRUE, "Age Not Mentioned")</f>
        <v>Midlife Adults</v>
      </c>
      <c r="E129" s="2" t="str">
        <f>VLOOKUP(user_activity!A616,users_details!$A$1:$G$34,6,0)</f>
        <v>East Harlem, Manhattan</v>
      </c>
      <c r="F129" s="2" t="str">
        <f>VLOOKUP(user_activity!A616,users_details!$A$1:$G$34,7,0)</f>
        <v>East Harlem</v>
      </c>
      <c r="G129" s="2" t="s">
        <v>72</v>
      </c>
      <c r="H129" s="7">
        <v>42708</v>
      </c>
      <c r="I129" s="9" t="str">
        <f t="shared" si="5"/>
        <v>Sunday</v>
      </c>
      <c r="J129" s="9" t="str">
        <f t="shared" si="6"/>
        <v>December</v>
      </c>
      <c r="K129" s="2">
        <v>7.1599998469999999</v>
      </c>
      <c r="L129" s="2">
        <v>7.1599998469999999</v>
      </c>
      <c r="M129" s="2">
        <v>0</v>
      </c>
      <c r="N129" s="2">
        <v>5.4299998279999997</v>
      </c>
      <c r="O129" s="2">
        <v>0.14000000100000001</v>
      </c>
      <c r="P129" s="2">
        <v>1.5900000329999999</v>
      </c>
      <c r="Q129" s="2">
        <v>0</v>
      </c>
      <c r="R129" s="2">
        <v>40</v>
      </c>
      <c r="S129" s="2">
        <v>2</v>
      </c>
      <c r="T129" s="2">
        <v>154</v>
      </c>
      <c r="U129" s="2">
        <f t="shared" si="7"/>
        <v>196</v>
      </c>
      <c r="V129" s="2">
        <v>1244</v>
      </c>
      <c r="W129" s="2">
        <v>9033</v>
      </c>
      <c r="X129" s="2">
        <f t="shared" si="8"/>
        <v>9033</v>
      </c>
      <c r="Y129" s="2">
        <v>2044</v>
      </c>
      <c r="Z129" t="str" cm="1">
        <f t="array" ref="Z129">_xlfn.IFS(OR(R129&gt;66, S129&gt;38), "High Engagement", OR(AND(R129&gt;32, R129&lt;=66), AND(S129&gt;19, S129&lt;=38)), "Medium-High Engagement", OR(AND(R129&gt;4, R129&lt;=32), AND(S129&gt;6, S129&lt;=19)),"Medium Engagement", TRUE, "Low Engagement"
)</f>
        <v>Medium-High Engagement</v>
      </c>
      <c r="AA129">
        <f t="shared" si="9"/>
        <v>0.22628141259825085</v>
      </c>
    </row>
    <row r="130" spans="1:27" x14ac:dyDescent="0.35">
      <c r="A130" s="2">
        <v>2022484408</v>
      </c>
      <c r="B130" s="2" t="s">
        <v>86</v>
      </c>
      <c r="C130" s="2">
        <f>VLOOKUP(user_activity!A619,users_details!$A$1:$G$34,5,0)</f>
        <v>41</v>
      </c>
      <c r="D130" s="2" t="str" cm="1">
        <f t="array" ref="D130">_xlfn.IFS( AND(C130&gt;=18, C130&lt;=25), "Emerging Adults",  AND(C130&gt;=26, C130&lt;=35),  "Young Adults",  AND(C130&gt;=36, C130&lt;=45),  "Midlife Adults",  AND(C130&gt;=46, C130&lt;=55), "Mature Adults", C130&gt;=56,  "Older Adults", TRUE, "Age Not Mentioned")</f>
        <v>Midlife Adults</v>
      </c>
      <c r="E130" s="2" t="str">
        <f>VLOOKUP(user_activity!A619,users_details!$A$1:$G$34,6,0)</f>
        <v>East Harlem, Manhattan</v>
      </c>
      <c r="F130" s="2" t="str">
        <f>VLOOKUP(user_activity!A619,users_details!$A$1:$G$34,7,0)</f>
        <v>East Harlem</v>
      </c>
      <c r="G130" s="2" t="s">
        <v>72</v>
      </c>
      <c r="H130" s="7">
        <v>42480</v>
      </c>
      <c r="I130" s="9" t="str">
        <f t="shared" ref="I130:I193" si="10">TEXT(H130, "dddd")</f>
        <v>Wednesday</v>
      </c>
      <c r="J130" s="9" t="str">
        <f t="shared" ref="J130:J193" si="11">TEXT(H130, "mmmm")</f>
        <v>April</v>
      </c>
      <c r="K130" s="2">
        <v>10.670000079999999</v>
      </c>
      <c r="L130" s="2">
        <v>10.670000079999999</v>
      </c>
      <c r="M130" s="2">
        <v>0</v>
      </c>
      <c r="N130" s="2">
        <v>3.3399999139999998</v>
      </c>
      <c r="O130" s="2">
        <v>1.9299999480000001</v>
      </c>
      <c r="P130" s="2">
        <v>5.4000000950000002</v>
      </c>
      <c r="Q130" s="2">
        <v>0</v>
      </c>
      <c r="R130" s="2">
        <v>48</v>
      </c>
      <c r="S130" s="2">
        <v>63</v>
      </c>
      <c r="T130" s="2">
        <v>276</v>
      </c>
      <c r="U130" s="2">
        <f t="shared" ref="U130:U193" si="12">R130+S130+T130</f>
        <v>387</v>
      </c>
      <c r="V130" s="2">
        <v>1053</v>
      </c>
      <c r="W130" s="2">
        <v>15112</v>
      </c>
      <c r="X130" s="2">
        <f t="shared" ref="X130:X193" si="13">IF(W130=0,MEDIAN($W$2:$W$941),W130)</f>
        <v>15112</v>
      </c>
      <c r="Y130" s="2">
        <v>2897</v>
      </c>
      <c r="Z130" t="str" cm="1">
        <f t="array" ref="Z130">_xlfn.IFS(OR(R130&gt;66, S130&gt;38), "High Engagement", OR(AND(R130&gt;32, R130&lt;=66), AND(S130&gt;19, S130&lt;=38)), "Medium-High Engagement", OR(AND(R130&gt;4, R130&lt;=32), AND(S130&gt;6, S130&lt;=19)),"Medium Engagement", TRUE, "Low Engagement"
)</f>
        <v>High Engagement</v>
      </c>
      <c r="AA130">
        <f t="shared" si="9"/>
        <v>0.19170195870831128</v>
      </c>
    </row>
    <row r="131" spans="1:27" x14ac:dyDescent="0.35">
      <c r="A131" s="2">
        <v>8253242879</v>
      </c>
      <c r="B131" s="2" t="s">
        <v>84</v>
      </c>
      <c r="C131" s="2">
        <f>VLOOKUP(user_activity!A675,users_details!$A$1:$G$34,5,0)</f>
        <v>49</v>
      </c>
      <c r="D131" s="2" t="str" cm="1">
        <f t="array" ref="D131">_xlfn.IFS( AND(C131&gt;=18, C131&lt;=25), "Emerging Adults",  AND(C131&gt;=26, C131&lt;=35),  "Young Adults",  AND(C131&gt;=36, C131&lt;=45),  "Midlife Adults",  AND(C131&gt;=46, C131&lt;=55), "Mature Adults", C131&gt;=56,  "Older Adults", TRUE, "Age Not Mentioned")</f>
        <v>Mature Adults</v>
      </c>
      <c r="E131" s="2" t="str">
        <f>VLOOKUP(user_activity!A675,users_details!$A$1:$G$34,6,0)</f>
        <v>Upper West Side, Manhattan</v>
      </c>
      <c r="F131" s="2" t="str">
        <f>VLOOKUP(user_activity!A675,users_details!$A$1:$G$34,7,0)</f>
        <v>Upper West Side</v>
      </c>
      <c r="G131" s="2" t="s">
        <v>72</v>
      </c>
      <c r="H131" s="7">
        <v>42473</v>
      </c>
      <c r="I131" s="9" t="str">
        <f t="shared" si="10"/>
        <v>Wednesday</v>
      </c>
      <c r="J131" s="9" t="str">
        <f t="shared" si="11"/>
        <v>April</v>
      </c>
      <c r="K131" s="2">
        <v>6.0999999049999998</v>
      </c>
      <c r="L131" s="2">
        <v>6.0999999049999998</v>
      </c>
      <c r="M131" s="2">
        <v>0</v>
      </c>
      <c r="N131" s="2">
        <v>4.170000076</v>
      </c>
      <c r="O131" s="2">
        <v>0.62999999500000003</v>
      </c>
      <c r="P131" s="2">
        <v>1.309999943</v>
      </c>
      <c r="Q131" s="2">
        <v>0</v>
      </c>
      <c r="R131" s="2">
        <v>35</v>
      </c>
      <c r="S131" s="2">
        <v>11</v>
      </c>
      <c r="T131" s="2">
        <v>96</v>
      </c>
      <c r="U131" s="2">
        <f t="shared" si="12"/>
        <v>142</v>
      </c>
      <c r="V131" s="2">
        <v>1298</v>
      </c>
      <c r="W131" s="2">
        <v>8053</v>
      </c>
      <c r="X131" s="2">
        <f t="shared" si="13"/>
        <v>8053</v>
      </c>
      <c r="Y131" s="2">
        <v>1935</v>
      </c>
      <c r="Z131" t="str" cm="1">
        <f t="array" ref="Z131">_xlfn.IFS(OR(R131&gt;66, S131&gt;38), "High Engagement", OR(AND(R131&gt;32, R131&lt;=66), AND(S131&gt;19, S131&lt;=38)), "Medium-High Engagement", OR(AND(R131&gt;4, R131&lt;=32), AND(S131&gt;6, S131&lt;=19)),"Medium Engagement", TRUE, "Low Engagement"
)</f>
        <v>Medium-High Engagement</v>
      </c>
      <c r="AA131">
        <f t="shared" ref="AA131:AA194" si="14">IF(W131&gt;0, Y131/W131, 0)</f>
        <v>0.24028312430150253</v>
      </c>
    </row>
    <row r="132" spans="1:27" x14ac:dyDescent="0.35">
      <c r="A132" s="2">
        <v>2022484408</v>
      </c>
      <c r="B132" s="2" t="s">
        <v>86</v>
      </c>
      <c r="C132" s="2">
        <f>VLOOKUP(user_activity!A685,users_details!$A$1:$G$34,5,0)</f>
        <v>49</v>
      </c>
      <c r="D132" s="2" t="str" cm="1">
        <f t="array" ref="D132">_xlfn.IFS( AND(C132&gt;=18, C132&lt;=25), "Emerging Adults",  AND(C132&gt;=26, C132&lt;=35),  "Young Adults",  AND(C132&gt;=36, C132&lt;=45),  "Midlife Adults",  AND(C132&gt;=46, C132&lt;=55), "Mature Adults", C132&gt;=56,  "Older Adults", TRUE, "Age Not Mentioned")</f>
        <v>Mature Adults</v>
      </c>
      <c r="E132" s="2" t="str">
        <f>VLOOKUP(user_activity!A685,users_details!$A$1:$G$34,6,0)</f>
        <v>Upper West Side, Manhattan</v>
      </c>
      <c r="F132" s="2" t="str">
        <f>VLOOKUP(user_activity!A685,users_details!$A$1:$G$34,7,0)</f>
        <v>Upper West Side</v>
      </c>
      <c r="G132" s="2" t="s">
        <v>72</v>
      </c>
      <c r="H132" s="7">
        <v>42679</v>
      </c>
      <c r="I132" s="9" t="str">
        <f t="shared" si="10"/>
        <v>Saturday</v>
      </c>
      <c r="J132" s="9" t="str">
        <f t="shared" si="11"/>
        <v>November</v>
      </c>
      <c r="K132" s="2">
        <v>9.3199996949999999</v>
      </c>
      <c r="L132" s="2">
        <v>9.3199996949999999</v>
      </c>
      <c r="M132" s="2">
        <v>0</v>
      </c>
      <c r="N132" s="2">
        <v>4.1799998279999997</v>
      </c>
      <c r="O132" s="2">
        <v>1.1499999759999999</v>
      </c>
      <c r="P132" s="2">
        <v>3.9900000100000002</v>
      </c>
      <c r="Q132" s="2">
        <v>0</v>
      </c>
      <c r="R132" s="2">
        <v>58</v>
      </c>
      <c r="S132" s="2">
        <v>25</v>
      </c>
      <c r="T132" s="2">
        <v>224</v>
      </c>
      <c r="U132" s="2">
        <f t="shared" si="12"/>
        <v>307</v>
      </c>
      <c r="V132" s="2">
        <v>1133</v>
      </c>
      <c r="W132" s="2">
        <v>13272</v>
      </c>
      <c r="X132" s="2">
        <f t="shared" si="13"/>
        <v>13272</v>
      </c>
      <c r="Y132" s="2">
        <v>2544</v>
      </c>
      <c r="Z132" t="str" cm="1">
        <f t="array" ref="Z132">_xlfn.IFS(OR(R132&gt;66, S132&gt;38), "High Engagement", OR(AND(R132&gt;32, R132&lt;=66), AND(S132&gt;19, S132&lt;=38)), "Medium-High Engagement", OR(AND(R132&gt;4, R132&lt;=32), AND(S132&gt;6, S132&lt;=19)),"Medium Engagement", TRUE, "Low Engagement"
)</f>
        <v>Medium-High Engagement</v>
      </c>
      <c r="AA132">
        <f t="shared" si="14"/>
        <v>0.19168173598553345</v>
      </c>
    </row>
    <row r="133" spans="1:27" x14ac:dyDescent="0.35">
      <c r="A133" s="2">
        <v>8253242879</v>
      </c>
      <c r="B133" s="2" t="s">
        <v>84</v>
      </c>
      <c r="C133" s="2">
        <f>VLOOKUP(user_activity!A718,users_details!$A$1:$G$34,5,0)</f>
        <v>53</v>
      </c>
      <c r="D133" s="2" t="str" cm="1">
        <f t="array" ref="D133">_xlfn.IFS( AND(C133&gt;=18, C133&lt;=25), "Emerging Adults",  AND(C133&gt;=26, C133&lt;=35),  "Young Adults",  AND(C133&gt;=36, C133&lt;=45),  "Midlife Adults",  AND(C133&gt;=46, C133&lt;=55), "Mature Adults", C133&gt;=56,  "Older Adults", TRUE, "Age Not Mentioned")</f>
        <v>Mature Adults</v>
      </c>
      <c r="E133" s="2" t="str">
        <f>VLOOKUP(user_activity!A718,users_details!$A$1:$G$34,6,0)</f>
        <v>Harlem, Manhattan</v>
      </c>
      <c r="F133" s="2" t="str">
        <f>VLOOKUP(user_activity!A718,users_details!$A$1:$G$34,7,0)</f>
        <v>Harlem</v>
      </c>
      <c r="G133" s="2" t="s">
        <v>72</v>
      </c>
      <c r="H133" s="7">
        <v>42489</v>
      </c>
      <c r="I133" s="9" t="str">
        <f t="shared" si="10"/>
        <v>Friday</v>
      </c>
      <c r="J133" s="9" t="str">
        <f t="shared" si="11"/>
        <v>April</v>
      </c>
      <c r="K133" s="2">
        <v>4.2600002290000001</v>
      </c>
      <c r="L133" s="2">
        <v>4.2600002290000001</v>
      </c>
      <c r="M133" s="2">
        <v>0</v>
      </c>
      <c r="N133" s="2">
        <v>1.289999962</v>
      </c>
      <c r="O133" s="2">
        <v>0.540000021</v>
      </c>
      <c r="P133" s="2">
        <v>2.4000000950000002</v>
      </c>
      <c r="Q133" s="2">
        <v>0</v>
      </c>
      <c r="R133" s="2">
        <v>16</v>
      </c>
      <c r="S133" s="2">
        <v>14</v>
      </c>
      <c r="T133" s="2">
        <v>136</v>
      </c>
      <c r="U133" s="2">
        <f t="shared" si="12"/>
        <v>166</v>
      </c>
      <c r="V133" s="2">
        <v>1257</v>
      </c>
      <c r="W133" s="2">
        <v>6260</v>
      </c>
      <c r="X133" s="2">
        <f t="shared" si="13"/>
        <v>6260</v>
      </c>
      <c r="Y133" s="2">
        <v>1854</v>
      </c>
      <c r="Z133" t="str" cm="1">
        <f t="array" ref="Z133">_xlfn.IFS(OR(R133&gt;66, S133&gt;38), "High Engagement", OR(AND(R133&gt;32, R133&lt;=66), AND(S133&gt;19, S133&lt;=38)), "Medium-High Engagement", OR(AND(R133&gt;4, R133&lt;=32), AND(S133&gt;6, S133&lt;=19)),"Medium Engagement", TRUE, "Low Engagement"
)</f>
        <v>Medium Engagement</v>
      </c>
      <c r="AA133">
        <f t="shared" si="14"/>
        <v>0.29616613418530352</v>
      </c>
    </row>
    <row r="134" spans="1:27" x14ac:dyDescent="0.35">
      <c r="A134" s="2">
        <v>8253242879</v>
      </c>
      <c r="B134" s="2" t="s">
        <v>84</v>
      </c>
      <c r="C134" s="2">
        <f>VLOOKUP(user_activity!A750,users_details!$A$1:$G$34,5,0)</f>
        <v>53</v>
      </c>
      <c r="D134" s="2" t="str" cm="1">
        <f t="array" ref="D134">_xlfn.IFS( AND(C134&gt;=18, C134&lt;=25), "Emerging Adults",  AND(C134&gt;=26, C134&lt;=35),  "Young Adults",  AND(C134&gt;=36, C134&lt;=45),  "Midlife Adults",  AND(C134&gt;=46, C134&lt;=55), "Mature Adults", C134&gt;=56,  "Older Adults", TRUE, "Age Not Mentioned")</f>
        <v>Mature Adults</v>
      </c>
      <c r="E134" s="2" t="str">
        <f>VLOOKUP(user_activity!A750,users_details!$A$1:$G$34,6,0)</f>
        <v>Harlem, Manhattan</v>
      </c>
      <c r="F134" s="2" t="str">
        <f>VLOOKUP(user_activity!A750,users_details!$A$1:$G$34,7,0)</f>
        <v>Harlem</v>
      </c>
      <c r="G134" s="2" t="s">
        <v>72</v>
      </c>
      <c r="H134" s="7">
        <v>42475</v>
      </c>
      <c r="I134" s="9" t="str">
        <f t="shared" si="10"/>
        <v>Friday</v>
      </c>
      <c r="J134" s="9" t="str">
        <f t="shared" si="11"/>
        <v>April</v>
      </c>
      <c r="K134" s="2">
        <v>1.769999981</v>
      </c>
      <c r="L134" s="2">
        <v>1.769999981</v>
      </c>
      <c r="M134" s="2">
        <v>0</v>
      </c>
      <c r="N134" s="2">
        <v>0</v>
      </c>
      <c r="O134" s="2">
        <v>0</v>
      </c>
      <c r="P134" s="2">
        <v>1.7599999900000001</v>
      </c>
      <c r="Q134" s="2">
        <v>0</v>
      </c>
      <c r="R134" s="2">
        <v>0</v>
      </c>
      <c r="S134" s="2">
        <v>0</v>
      </c>
      <c r="T134" s="2">
        <v>105</v>
      </c>
      <c r="U134" s="2">
        <f t="shared" si="12"/>
        <v>105</v>
      </c>
      <c r="V134" s="2">
        <v>1335</v>
      </c>
      <c r="W134" s="2">
        <v>2672</v>
      </c>
      <c r="X134" s="2">
        <f t="shared" si="13"/>
        <v>2672</v>
      </c>
      <c r="Y134" s="2">
        <v>1632</v>
      </c>
      <c r="Z134" t="str" cm="1">
        <f t="array" ref="Z134">_xlfn.IFS(OR(R134&gt;66, S134&gt;38), "High Engagement", OR(AND(R134&gt;32, R134&lt;=66), AND(S134&gt;19, S134&lt;=38)), "Medium-High Engagement", OR(AND(R134&gt;4, R134&lt;=32), AND(S134&gt;6, S134&lt;=19)),"Medium Engagement", TRUE, "Low Engagement"
)</f>
        <v>Low Engagement</v>
      </c>
      <c r="AA134">
        <f t="shared" si="14"/>
        <v>0.6107784431137725</v>
      </c>
    </row>
    <row r="135" spans="1:27" x14ac:dyDescent="0.35">
      <c r="A135" s="2">
        <v>2022484408</v>
      </c>
      <c r="B135" s="2" t="s">
        <v>86</v>
      </c>
      <c r="C135" s="2">
        <f>VLOOKUP(user_activity!A759,users_details!$A$1:$G$34,5,0)</f>
        <v>53</v>
      </c>
      <c r="D135" s="2" t="str" cm="1">
        <f t="array" ref="D135">_xlfn.IFS( AND(C135&gt;=18, C135&lt;=25), "Emerging Adults",  AND(C135&gt;=26, C135&lt;=35),  "Young Adults",  AND(C135&gt;=36, C135&lt;=45),  "Midlife Adults",  AND(C135&gt;=46, C135&lt;=55), "Mature Adults", C135&gt;=56,  "Older Adults", TRUE, "Age Not Mentioned")</f>
        <v>Mature Adults</v>
      </c>
      <c r="E135" s="2" t="str">
        <f>VLOOKUP(user_activity!A759,users_details!$A$1:$G$34,6,0)</f>
        <v>Harlem, Manhattan</v>
      </c>
      <c r="F135" s="2" t="str">
        <f>VLOOKUP(user_activity!A759,users_details!$A$1:$G$34,7,0)</f>
        <v>Harlem</v>
      </c>
      <c r="G135" s="2" t="s">
        <v>72</v>
      </c>
      <c r="H135" s="7">
        <v>42477</v>
      </c>
      <c r="I135" s="9" t="str">
        <f t="shared" si="10"/>
        <v>Sunday</v>
      </c>
      <c r="J135" s="9" t="str">
        <f t="shared" si="11"/>
        <v>April</v>
      </c>
      <c r="K135" s="2">
        <v>11.399999619999999</v>
      </c>
      <c r="L135" s="2">
        <v>11.399999619999999</v>
      </c>
      <c r="M135" s="2">
        <v>0</v>
      </c>
      <c r="N135" s="2">
        <v>3.869999886</v>
      </c>
      <c r="O135" s="2">
        <v>0.66000002599999996</v>
      </c>
      <c r="P135" s="2">
        <v>6.8800001139999996</v>
      </c>
      <c r="Q135" s="2">
        <v>0</v>
      </c>
      <c r="R135" s="2">
        <v>28</v>
      </c>
      <c r="S135" s="2">
        <v>29</v>
      </c>
      <c r="T135" s="2">
        <v>331</v>
      </c>
      <c r="U135" s="2">
        <f t="shared" si="12"/>
        <v>388</v>
      </c>
      <c r="V135" s="2">
        <v>1052</v>
      </c>
      <c r="W135" s="2">
        <v>15112</v>
      </c>
      <c r="X135" s="2">
        <f t="shared" si="13"/>
        <v>15112</v>
      </c>
      <c r="Y135" s="2">
        <v>2782</v>
      </c>
      <c r="Z135" t="str" cm="1">
        <f t="array" ref="Z135">_xlfn.IFS(OR(R135&gt;66, S135&gt;38), "High Engagement", OR(AND(R135&gt;32, R135&lt;=66), AND(S135&gt;19, S135&lt;=38)), "Medium-High Engagement", OR(AND(R135&gt;4, R135&lt;=32), AND(S135&gt;6, S135&lt;=19)),"Medium Engagement", TRUE, "Low Engagement"
)</f>
        <v>Medium-High Engagement</v>
      </c>
      <c r="AA135">
        <f t="shared" si="14"/>
        <v>0.18409211222869243</v>
      </c>
    </row>
    <row r="136" spans="1:27" x14ac:dyDescent="0.35">
      <c r="A136" s="2">
        <v>2022484408</v>
      </c>
      <c r="B136" s="2" t="s">
        <v>86</v>
      </c>
      <c r="C136" s="2">
        <f>VLOOKUP(user_activity!A763,users_details!$A$1:$G$34,5,0)</f>
        <v>53</v>
      </c>
      <c r="D136" s="2" t="str" cm="1">
        <f t="array" ref="D136">_xlfn.IFS( AND(C136&gt;=18, C136&lt;=25), "Emerging Adults",  AND(C136&gt;=26, C136&lt;=35),  "Young Adults",  AND(C136&gt;=36, C136&lt;=45),  "Midlife Adults",  AND(C136&gt;=46, C136&lt;=55), "Mature Adults", C136&gt;=56,  "Older Adults", TRUE, "Age Not Mentioned")</f>
        <v>Mature Adults</v>
      </c>
      <c r="E136" s="2" t="str">
        <f>VLOOKUP(user_activity!A763,users_details!$A$1:$G$34,6,0)</f>
        <v>Williamsburg, Brooklyn</v>
      </c>
      <c r="F136" s="2" t="str">
        <f>VLOOKUP(user_activity!A763,users_details!$A$1:$G$34,7,0)</f>
        <v>Williamsburg</v>
      </c>
      <c r="G136" s="2" t="s">
        <v>72</v>
      </c>
      <c r="H136" s="7">
        <v>42488</v>
      </c>
      <c r="I136" s="9" t="str">
        <f t="shared" si="10"/>
        <v>Thursday</v>
      </c>
      <c r="J136" s="9" t="str">
        <f t="shared" si="11"/>
        <v>April</v>
      </c>
      <c r="K136" s="2">
        <v>7.1199998860000004</v>
      </c>
      <c r="L136" s="2">
        <v>7.1199998860000004</v>
      </c>
      <c r="M136" s="2">
        <v>0</v>
      </c>
      <c r="N136" s="2">
        <v>0.40999999599999998</v>
      </c>
      <c r="O136" s="2">
        <v>1.3300000430000001</v>
      </c>
      <c r="P136" s="2">
        <v>5.3899998660000001</v>
      </c>
      <c r="Q136" s="2">
        <v>0</v>
      </c>
      <c r="R136" s="2">
        <v>6</v>
      </c>
      <c r="S136" s="2">
        <v>20</v>
      </c>
      <c r="T136" s="2">
        <v>291</v>
      </c>
      <c r="U136" s="2">
        <f t="shared" si="12"/>
        <v>317</v>
      </c>
      <c r="V136" s="2">
        <v>1123</v>
      </c>
      <c r="W136" s="2">
        <v>10140</v>
      </c>
      <c r="X136" s="2">
        <f t="shared" si="13"/>
        <v>10140</v>
      </c>
      <c r="Y136" s="2">
        <v>2296</v>
      </c>
      <c r="Z136" t="str" cm="1">
        <f t="array" ref="Z136">_xlfn.IFS(OR(R136&gt;66, S136&gt;38), "High Engagement", OR(AND(R136&gt;32, R136&lt;=66), AND(S136&gt;19, S136&lt;=38)), "Medium-High Engagement", OR(AND(R136&gt;4, R136&lt;=32), AND(S136&gt;6, S136&lt;=19)),"Medium Engagement", TRUE, "Low Engagement"
)</f>
        <v>Medium-High Engagement</v>
      </c>
      <c r="AA136">
        <f t="shared" si="14"/>
        <v>0.22642998027613412</v>
      </c>
    </row>
    <row r="137" spans="1:27" x14ac:dyDescent="0.35">
      <c r="A137" s="2">
        <v>8253242879</v>
      </c>
      <c r="B137" s="2" t="s">
        <v>84</v>
      </c>
      <c r="C137" s="2">
        <f>VLOOKUP(user_activity!A766,users_details!$A$1:$G$34,5,0)</f>
        <v>53</v>
      </c>
      <c r="D137" s="2" t="str" cm="1">
        <f t="array" ref="D137">_xlfn.IFS( AND(C137&gt;=18, C137&lt;=25), "Emerging Adults",  AND(C137&gt;=26, C137&lt;=35),  "Young Adults",  AND(C137&gt;=36, C137&lt;=45),  "Midlife Adults",  AND(C137&gt;=46, C137&lt;=55), "Mature Adults", C137&gt;=56,  "Older Adults", TRUE, "Age Not Mentioned")</f>
        <v>Mature Adults</v>
      </c>
      <c r="E137" s="2" t="str">
        <f>VLOOKUP(user_activity!A766,users_details!$A$1:$G$34,6,0)</f>
        <v>Williamsburg, Brooklyn</v>
      </c>
      <c r="F137" s="2" t="str">
        <f>VLOOKUP(user_activity!A766,users_details!$A$1:$G$34,7,0)</f>
        <v>Williamsburg</v>
      </c>
      <c r="G137" s="2" t="s">
        <v>72</v>
      </c>
      <c r="H137" s="7">
        <v>42477</v>
      </c>
      <c r="I137" s="9" t="str">
        <f t="shared" si="10"/>
        <v>Sunday</v>
      </c>
      <c r="J137" s="9" t="str">
        <f t="shared" si="11"/>
        <v>April</v>
      </c>
      <c r="K137" s="2">
        <v>7.9099998469999999</v>
      </c>
      <c r="L137" s="2">
        <v>7.9099998469999999</v>
      </c>
      <c r="M137" s="2">
        <v>0</v>
      </c>
      <c r="N137" s="2">
        <v>5.4299998279999997</v>
      </c>
      <c r="O137" s="2">
        <v>0.15000000599999999</v>
      </c>
      <c r="P137" s="2">
        <v>2.329999924</v>
      </c>
      <c r="Q137" s="2">
        <v>0</v>
      </c>
      <c r="R137" s="2">
        <v>41</v>
      </c>
      <c r="S137" s="2">
        <v>5</v>
      </c>
      <c r="T137" s="2">
        <v>157</v>
      </c>
      <c r="U137" s="2">
        <f t="shared" si="12"/>
        <v>203</v>
      </c>
      <c r="V137" s="2">
        <v>1237</v>
      </c>
      <c r="W137" s="2">
        <v>10204</v>
      </c>
      <c r="X137" s="2">
        <f t="shared" si="13"/>
        <v>10204</v>
      </c>
      <c r="Y137" s="2">
        <v>2112</v>
      </c>
      <c r="Z137" t="str" cm="1">
        <f t="array" ref="Z137">_xlfn.IFS(OR(R137&gt;66, S137&gt;38), "High Engagement", OR(AND(R137&gt;32, R137&lt;=66), AND(S137&gt;19, S137&lt;=38)), "Medium-High Engagement", OR(AND(R137&gt;4, R137&lt;=32), AND(S137&gt;6, S137&lt;=19)),"Medium Engagement", TRUE, "Low Engagement"
)</f>
        <v>Medium-High Engagement</v>
      </c>
      <c r="AA137">
        <f t="shared" si="14"/>
        <v>0.20697765582124658</v>
      </c>
    </row>
    <row r="138" spans="1:27" x14ac:dyDescent="0.35">
      <c r="A138" s="2">
        <v>8253242879</v>
      </c>
      <c r="B138" s="2" t="s">
        <v>84</v>
      </c>
      <c r="C138" s="2">
        <f>VLOOKUP(user_activity!A824,users_details!$A$1:$G$34,5,0)</f>
        <v>56</v>
      </c>
      <c r="D138" s="2" t="str" cm="1">
        <f t="array" ref="D138">_xlfn.IFS( AND(C138&gt;=18, C138&lt;=25), "Emerging Adults",  AND(C138&gt;=26, C138&lt;=35),  "Young Adults",  AND(C138&gt;=36, C138&lt;=45),  "Midlife Adults",  AND(C138&gt;=46, C138&lt;=55), "Mature Adults", C138&gt;=56,  "Older Adults", TRUE, "Age Not Mentioned")</f>
        <v>Older Adults</v>
      </c>
      <c r="E138" s="2" t="str">
        <f>VLOOKUP(user_activity!A824,users_details!$A$1:$G$34,6,0)</f>
        <v>Flatbush, Brooklyn</v>
      </c>
      <c r="F138" s="2" t="str">
        <f>VLOOKUP(user_activity!A824,users_details!$A$1:$G$34,7,0)</f>
        <v>Flatbush</v>
      </c>
      <c r="G138" s="2" t="s">
        <v>72</v>
      </c>
      <c r="H138" s="7">
        <v>42485</v>
      </c>
      <c r="I138" s="9" t="str">
        <f t="shared" si="10"/>
        <v>Monday</v>
      </c>
      <c r="J138" s="9" t="str">
        <f t="shared" si="11"/>
        <v>April</v>
      </c>
      <c r="K138" s="2">
        <v>4.5100002290000001</v>
      </c>
      <c r="L138" s="2">
        <v>4.5100002290000001</v>
      </c>
      <c r="M138" s="2">
        <v>0</v>
      </c>
      <c r="N138" s="2">
        <v>0.36000001399999998</v>
      </c>
      <c r="O138" s="2">
        <v>2.3900001049999999</v>
      </c>
      <c r="P138" s="2">
        <v>1.769999981</v>
      </c>
      <c r="Q138" s="2">
        <v>0</v>
      </c>
      <c r="R138" s="2">
        <v>7</v>
      </c>
      <c r="S138" s="2">
        <v>54</v>
      </c>
      <c r="T138" s="2">
        <v>118</v>
      </c>
      <c r="U138" s="2">
        <f t="shared" si="12"/>
        <v>179</v>
      </c>
      <c r="V138" s="2">
        <v>1261</v>
      </c>
      <c r="W138" s="2">
        <v>6829</v>
      </c>
      <c r="X138" s="2">
        <f t="shared" si="13"/>
        <v>6829</v>
      </c>
      <c r="Y138" s="2">
        <v>1909</v>
      </c>
      <c r="Z138" t="str" cm="1">
        <f t="array" ref="Z138">_xlfn.IFS(OR(R138&gt;66, S138&gt;38), "High Engagement", OR(AND(R138&gt;32, R138&lt;=66), AND(S138&gt;19, S138&lt;=38)), "Medium-High Engagement", OR(AND(R138&gt;4, R138&lt;=32), AND(S138&gt;6, S138&lt;=19)),"Medium Engagement", TRUE, "Low Engagement"
)</f>
        <v>High Engagement</v>
      </c>
      <c r="AA138">
        <f t="shared" si="14"/>
        <v>0.27954312490847855</v>
      </c>
    </row>
    <row r="139" spans="1:27" x14ac:dyDescent="0.35">
      <c r="A139" s="2">
        <v>2022484408</v>
      </c>
      <c r="B139" s="2" t="s">
        <v>86</v>
      </c>
      <c r="C139" s="2">
        <f>VLOOKUP(user_activity!A826,users_details!$A$1:$G$34,5,0)</f>
        <v>56</v>
      </c>
      <c r="D139" s="2" t="str" cm="1">
        <f t="array" ref="D139">_xlfn.IFS( AND(C139&gt;=18, C139&lt;=25), "Emerging Adults",  AND(C139&gt;=26, C139&lt;=35),  "Young Adults",  AND(C139&gt;=36, C139&lt;=45),  "Midlife Adults",  AND(C139&gt;=46, C139&lt;=55), "Mature Adults", C139&gt;=56,  "Older Adults", TRUE, "Age Not Mentioned")</f>
        <v>Older Adults</v>
      </c>
      <c r="E139" s="2" t="str">
        <f>VLOOKUP(user_activity!A826,users_details!$A$1:$G$34,6,0)</f>
        <v>Flatbush, Brooklyn</v>
      </c>
      <c r="F139" s="2" t="str">
        <f>VLOOKUP(user_activity!A826,users_details!$A$1:$G$34,7,0)</f>
        <v>Flatbush</v>
      </c>
      <c r="G139" s="2" t="s">
        <v>72</v>
      </c>
      <c r="H139" s="7">
        <v>42474</v>
      </c>
      <c r="I139" s="9" t="str">
        <f t="shared" si="10"/>
        <v>Thursday</v>
      </c>
      <c r="J139" s="9" t="str">
        <f t="shared" si="11"/>
        <v>April</v>
      </c>
      <c r="K139" s="2">
        <v>7.5</v>
      </c>
      <c r="L139" s="2">
        <v>7.5</v>
      </c>
      <c r="M139" s="2">
        <v>0</v>
      </c>
      <c r="N139" s="2">
        <v>2.4800000190000002</v>
      </c>
      <c r="O139" s="2">
        <v>0.209999993</v>
      </c>
      <c r="P139" s="2">
        <v>4.8200001720000003</v>
      </c>
      <c r="Q139" s="2">
        <v>0</v>
      </c>
      <c r="R139" s="2">
        <v>32</v>
      </c>
      <c r="S139" s="2">
        <v>3</v>
      </c>
      <c r="T139" s="2">
        <v>257</v>
      </c>
      <c r="U139" s="2">
        <f t="shared" si="12"/>
        <v>292</v>
      </c>
      <c r="V139" s="2">
        <v>1148</v>
      </c>
      <c r="W139" s="2">
        <v>10690</v>
      </c>
      <c r="X139" s="2">
        <f t="shared" si="13"/>
        <v>10690</v>
      </c>
      <c r="Y139" s="2">
        <v>2312</v>
      </c>
      <c r="Z139" t="str" cm="1">
        <f t="array" ref="Z139">_xlfn.IFS(OR(R139&gt;66, S139&gt;38), "High Engagement", OR(AND(R139&gt;32, R139&lt;=66), AND(S139&gt;19, S139&lt;=38)), "Medium-High Engagement", OR(AND(R139&gt;4, R139&lt;=32), AND(S139&gt;6, S139&lt;=19)),"Medium Engagement", TRUE, "Low Engagement"
)</f>
        <v>Medium Engagement</v>
      </c>
      <c r="AA139">
        <f t="shared" si="14"/>
        <v>0.21627689429373245</v>
      </c>
    </row>
    <row r="140" spans="1:27" x14ac:dyDescent="0.35">
      <c r="A140" s="2">
        <v>8253242879</v>
      </c>
      <c r="B140" s="2" t="s">
        <v>84</v>
      </c>
      <c r="C140" s="2">
        <f>VLOOKUP(user_activity!A846,users_details!$A$1:$G$34,5,0)</f>
        <v>56</v>
      </c>
      <c r="D140" s="2" t="str" cm="1">
        <f t="array" ref="D140">_xlfn.IFS( AND(C140&gt;=18, C140&lt;=25), "Emerging Adults",  AND(C140&gt;=26, C140&lt;=35),  "Young Adults",  AND(C140&gt;=36, C140&lt;=45),  "Midlife Adults",  AND(C140&gt;=46, C140&lt;=55), "Mature Adults", C140&gt;=56,  "Older Adults", TRUE, "Age Not Mentioned")</f>
        <v>Older Adults</v>
      </c>
      <c r="E140" s="2" t="str">
        <f>VLOOKUP(user_activity!A846,users_details!$A$1:$G$34,6,0)</f>
        <v>Flatbush, Brooklyn</v>
      </c>
      <c r="F140" s="2" t="str">
        <f>VLOOKUP(user_activity!A846,users_details!$A$1:$G$34,7,0)</f>
        <v>Flatbush</v>
      </c>
      <c r="G140" s="2" t="s">
        <v>72</v>
      </c>
      <c r="H140" s="7">
        <v>42488</v>
      </c>
      <c r="I140" s="9" t="str">
        <f t="shared" si="10"/>
        <v>Thursday</v>
      </c>
      <c r="J140" s="9" t="str">
        <f t="shared" si="11"/>
        <v>April</v>
      </c>
      <c r="K140" s="2">
        <v>1.7999999520000001</v>
      </c>
      <c r="L140" s="2">
        <v>1.7999999520000001</v>
      </c>
      <c r="M140" s="2">
        <v>0</v>
      </c>
      <c r="N140" s="2">
        <v>0.670000017</v>
      </c>
      <c r="O140" s="2">
        <v>0.77999997099999996</v>
      </c>
      <c r="P140" s="2">
        <v>0.34000000400000002</v>
      </c>
      <c r="Q140" s="2">
        <v>0</v>
      </c>
      <c r="R140" s="2">
        <v>11</v>
      </c>
      <c r="S140" s="2">
        <v>16</v>
      </c>
      <c r="T140" s="2">
        <v>20</v>
      </c>
      <c r="U140" s="2">
        <f t="shared" si="12"/>
        <v>47</v>
      </c>
      <c r="V140" s="2">
        <v>1393</v>
      </c>
      <c r="W140" s="2">
        <v>2718</v>
      </c>
      <c r="X140" s="2">
        <f t="shared" si="13"/>
        <v>2718</v>
      </c>
      <c r="Y140" s="2">
        <v>1580</v>
      </c>
      <c r="Z140" t="str" cm="1">
        <f t="array" ref="Z140">_xlfn.IFS(OR(R140&gt;66, S140&gt;38), "High Engagement", OR(AND(R140&gt;32, R140&lt;=66), AND(S140&gt;19, S140&lt;=38)), "Medium-High Engagement", OR(AND(R140&gt;4, R140&lt;=32), AND(S140&gt;6, S140&lt;=19)),"Medium Engagement", TRUE, "Low Engagement"
)</f>
        <v>Medium Engagement</v>
      </c>
      <c r="AA140">
        <f t="shared" si="14"/>
        <v>0.58130978660779986</v>
      </c>
    </row>
    <row r="141" spans="1:27" x14ac:dyDescent="0.35">
      <c r="A141" s="2">
        <v>2022484408</v>
      </c>
      <c r="B141" s="2" t="s">
        <v>86</v>
      </c>
      <c r="C141" s="2">
        <f>VLOOKUP(user_activity!A849,users_details!$A$1:$G$34,5,0)</f>
        <v>56</v>
      </c>
      <c r="D141" s="2" t="str" cm="1">
        <f t="array" ref="D141">_xlfn.IFS( AND(C141&gt;=18, C141&lt;=25), "Emerging Adults",  AND(C141&gt;=26, C141&lt;=35),  "Young Adults",  AND(C141&gt;=36, C141&lt;=45),  "Midlife Adults",  AND(C141&gt;=46, C141&lt;=55), "Mature Adults", C141&gt;=56,  "Older Adults", TRUE, "Age Not Mentioned")</f>
        <v>Older Adults</v>
      </c>
      <c r="E141" s="2" t="str">
        <f>VLOOKUP(user_activity!A849,users_details!$A$1:$G$34,6,0)</f>
        <v>Flatbush, Brooklyn</v>
      </c>
      <c r="F141" s="2" t="str">
        <f>VLOOKUP(user_activity!A849,users_details!$A$1:$G$34,7,0)</f>
        <v>Flatbush</v>
      </c>
      <c r="G141" s="2" t="s">
        <v>72</v>
      </c>
      <c r="H141" s="7">
        <v>42479</v>
      </c>
      <c r="I141" s="9" t="str">
        <f t="shared" si="10"/>
        <v>Tuesday</v>
      </c>
      <c r="J141" s="9" t="str">
        <f t="shared" si="11"/>
        <v>April</v>
      </c>
      <c r="K141" s="2">
        <v>8.5299997330000004</v>
      </c>
      <c r="L141" s="2">
        <v>8.5299997330000004</v>
      </c>
      <c r="M141" s="2">
        <v>0</v>
      </c>
      <c r="N141" s="2">
        <v>3.289999962</v>
      </c>
      <c r="O141" s="2">
        <v>0.23999999499999999</v>
      </c>
      <c r="P141" s="2">
        <v>5</v>
      </c>
      <c r="Q141" s="2">
        <v>0</v>
      </c>
      <c r="R141" s="2">
        <v>31</v>
      </c>
      <c r="S141" s="2">
        <v>7</v>
      </c>
      <c r="T141" s="2">
        <v>250</v>
      </c>
      <c r="U141" s="2">
        <f t="shared" si="12"/>
        <v>288</v>
      </c>
      <c r="V141" s="2">
        <v>1152</v>
      </c>
      <c r="W141" s="2">
        <v>11548</v>
      </c>
      <c r="X141" s="2">
        <f t="shared" si="13"/>
        <v>11548</v>
      </c>
      <c r="Y141" s="2">
        <v>2489</v>
      </c>
      <c r="Z141" t="str" cm="1">
        <f t="array" ref="Z141">_xlfn.IFS(OR(R141&gt;66, S141&gt;38), "High Engagement", OR(AND(R141&gt;32, R141&lt;=66), AND(S141&gt;19, S141&lt;=38)), "Medium-High Engagement", OR(AND(R141&gt;4, R141&lt;=32), AND(S141&gt;6, S141&lt;=19)),"Medium Engagement", TRUE, "Low Engagement"
)</f>
        <v>Medium Engagement</v>
      </c>
      <c r="AA141">
        <f t="shared" si="14"/>
        <v>0.21553515760304814</v>
      </c>
    </row>
    <row r="142" spans="1:27" x14ac:dyDescent="0.35">
      <c r="A142" s="2">
        <v>2022484408</v>
      </c>
      <c r="B142" s="2" t="s">
        <v>86</v>
      </c>
      <c r="C142" s="2">
        <f>VLOOKUP(user_activity!A882,users_details!$A$1:$G$34,5,0)</f>
        <v>58</v>
      </c>
      <c r="D142" s="2" t="str" cm="1">
        <f t="array" ref="D142">_xlfn.IFS( AND(C142&gt;=18, C142&lt;=25), "Emerging Adults",  AND(C142&gt;=26, C142&lt;=35),  "Young Adults",  AND(C142&gt;=36, C142&lt;=45),  "Midlife Adults",  AND(C142&gt;=46, C142&lt;=55), "Mature Adults", C142&gt;=56,  "Older Adults", TRUE, "Age Not Mentioned")</f>
        <v>Older Adults</v>
      </c>
      <c r="E142" s="2" t="str">
        <f>VLOOKUP(user_activity!A882,users_details!$A$1:$G$34,6,0)</f>
        <v>East Village, Manhattan</v>
      </c>
      <c r="F142" s="2" t="str">
        <f>VLOOKUP(user_activity!A882,users_details!$A$1:$G$34,7,0)</f>
        <v>East Village</v>
      </c>
      <c r="G142" s="2" t="s">
        <v>72</v>
      </c>
      <c r="H142" s="7">
        <v>42484</v>
      </c>
      <c r="I142" s="9" t="str">
        <f t="shared" si="10"/>
        <v>Sunday</v>
      </c>
      <c r="J142" s="9" t="str">
        <f t="shared" si="11"/>
        <v>April</v>
      </c>
      <c r="K142" s="2">
        <v>10.27999973</v>
      </c>
      <c r="L142" s="2">
        <v>10.27999973</v>
      </c>
      <c r="M142" s="2">
        <v>0</v>
      </c>
      <c r="N142" s="2">
        <v>4.5500001909999996</v>
      </c>
      <c r="O142" s="2">
        <v>1.1499999759999999</v>
      </c>
      <c r="P142" s="2">
        <v>4.579999924</v>
      </c>
      <c r="Q142" s="2">
        <v>0</v>
      </c>
      <c r="R142" s="2">
        <v>37</v>
      </c>
      <c r="S142" s="2">
        <v>26</v>
      </c>
      <c r="T142" s="2">
        <v>216</v>
      </c>
      <c r="U142" s="2">
        <f t="shared" si="12"/>
        <v>279</v>
      </c>
      <c r="V142" s="2">
        <v>1161</v>
      </c>
      <c r="W142" s="2">
        <v>13481</v>
      </c>
      <c r="X142" s="2">
        <f t="shared" si="13"/>
        <v>13481</v>
      </c>
      <c r="Y142" s="2">
        <v>2529</v>
      </c>
      <c r="Z142" t="str" cm="1">
        <f t="array" ref="Z142">_xlfn.IFS(OR(R142&gt;66, S142&gt;38), "High Engagement", OR(AND(R142&gt;32, R142&lt;=66), AND(S142&gt;19, S142&lt;=38)), "Medium-High Engagement", OR(AND(R142&gt;4, R142&lt;=32), AND(S142&gt;6, S142&lt;=19)),"Medium Engagement", TRUE, "Low Engagement"
)</f>
        <v>Medium-High Engagement</v>
      </c>
      <c r="AA142">
        <f t="shared" si="14"/>
        <v>0.18759735924634671</v>
      </c>
    </row>
    <row r="143" spans="1:27" x14ac:dyDescent="0.35">
      <c r="A143" s="2">
        <v>2022484408</v>
      </c>
      <c r="B143" s="2" t="s">
        <v>86</v>
      </c>
      <c r="C143" s="2">
        <f>VLOOKUP(user_activity!A911,users_details!$A$1:$G$34,5,0)</f>
        <v>59</v>
      </c>
      <c r="D143" s="2" t="str" cm="1">
        <f t="array" ref="D143">_xlfn.IFS( AND(C143&gt;=18, C143&lt;=25), "Emerging Adults",  AND(C143&gt;=26, C143&lt;=35),  "Young Adults",  AND(C143&gt;=36, C143&lt;=45),  "Midlife Adults",  AND(C143&gt;=46, C143&lt;=55), "Mature Adults", C143&gt;=56,  "Older Adults", TRUE, "Age Not Mentioned")</f>
        <v>Older Adults</v>
      </c>
      <c r="E143" s="2" t="str">
        <f>VLOOKUP(user_activity!A911,users_details!$A$1:$G$34,6,0)</f>
        <v>Upper West Side, Manhattan</v>
      </c>
      <c r="F143" s="2" t="str">
        <f>VLOOKUP(user_activity!A911,users_details!$A$1:$G$34,7,0)</f>
        <v>Upper West Side</v>
      </c>
      <c r="G143" s="2" t="s">
        <v>72</v>
      </c>
      <c r="H143" s="7">
        <v>42478</v>
      </c>
      <c r="I143" s="9" t="str">
        <f t="shared" si="10"/>
        <v>Monday</v>
      </c>
      <c r="J143" s="9" t="str">
        <f t="shared" si="11"/>
        <v>April</v>
      </c>
      <c r="K143" s="2">
        <v>10.06999969</v>
      </c>
      <c r="L143" s="2">
        <v>10.06999969</v>
      </c>
      <c r="M143" s="2">
        <v>0</v>
      </c>
      <c r="N143" s="2">
        <v>3.6400001049999999</v>
      </c>
      <c r="O143" s="2">
        <v>0.119999997</v>
      </c>
      <c r="P143" s="2">
        <v>6.3000001909999996</v>
      </c>
      <c r="Q143" s="2">
        <v>0</v>
      </c>
      <c r="R143" s="2">
        <v>48</v>
      </c>
      <c r="S143" s="2">
        <v>3</v>
      </c>
      <c r="T143" s="2">
        <v>311</v>
      </c>
      <c r="U143" s="2">
        <f t="shared" si="12"/>
        <v>362</v>
      </c>
      <c r="V143" s="2">
        <v>1078</v>
      </c>
      <c r="W143" s="2">
        <v>14131</v>
      </c>
      <c r="X143" s="2">
        <f t="shared" si="13"/>
        <v>14131</v>
      </c>
      <c r="Y143" s="2">
        <v>2770</v>
      </c>
      <c r="Z143" t="str" cm="1">
        <f t="array" ref="Z143">_xlfn.IFS(OR(R143&gt;66, S143&gt;38), "High Engagement", OR(AND(R143&gt;32, R143&lt;=66), AND(S143&gt;19, S143&lt;=38)), "Medium-High Engagement", OR(AND(R143&gt;4, R143&lt;=32), AND(S143&gt;6, S143&lt;=19)),"Medium Engagement", TRUE, "Low Engagement"
)</f>
        <v>Medium-High Engagement</v>
      </c>
      <c r="AA143">
        <f t="shared" si="14"/>
        <v>0.19602292831363669</v>
      </c>
    </row>
    <row r="144" spans="1:27" x14ac:dyDescent="0.35">
      <c r="A144" s="2">
        <v>8253242879</v>
      </c>
      <c r="B144" s="2" t="s">
        <v>84</v>
      </c>
      <c r="C144" s="2">
        <f>VLOOKUP(user_activity!A915,users_details!$A$1:$G$34,5,0)</f>
        <v>60</v>
      </c>
      <c r="D144" s="2" t="str" cm="1">
        <f t="array" ref="D144">_xlfn.IFS( AND(C144&gt;=18, C144&lt;=25), "Emerging Adults",  AND(C144&gt;=26, C144&lt;=35),  "Young Adults",  AND(C144&gt;=36, C144&lt;=45),  "Midlife Adults",  AND(C144&gt;=46, C144&lt;=55), "Mature Adults", C144&gt;=56,  "Older Adults", TRUE, "Age Not Mentioned")</f>
        <v>Older Adults</v>
      </c>
      <c r="E144" s="2" t="str">
        <f>VLOOKUP(user_activity!A915,users_details!$A$1:$G$34,6,0)</f>
        <v>East Village, Manhattan</v>
      </c>
      <c r="F144" s="2" t="str">
        <f>VLOOKUP(user_activity!A915,users_details!$A$1:$G$34,7,0)</f>
        <v>East Village</v>
      </c>
      <c r="G144" s="2" t="s">
        <v>72</v>
      </c>
      <c r="H144" s="7">
        <v>42478</v>
      </c>
      <c r="I144" s="9" t="str">
        <f t="shared" si="10"/>
        <v>Monday</v>
      </c>
      <c r="J144" s="9" t="str">
        <f t="shared" si="11"/>
        <v>April</v>
      </c>
      <c r="K144" s="2">
        <v>3.4800000190000002</v>
      </c>
      <c r="L144" s="2">
        <v>3.4800000190000002</v>
      </c>
      <c r="M144" s="2">
        <v>0</v>
      </c>
      <c r="N144" s="2">
        <v>1.039999962</v>
      </c>
      <c r="O144" s="2">
        <v>0.62999999500000003</v>
      </c>
      <c r="P144" s="2">
        <v>1.7999999520000001</v>
      </c>
      <c r="Q144" s="2">
        <v>0</v>
      </c>
      <c r="R144" s="2">
        <v>16</v>
      </c>
      <c r="S144" s="2">
        <v>16</v>
      </c>
      <c r="T144" s="2">
        <v>130</v>
      </c>
      <c r="U144" s="2">
        <f t="shared" si="12"/>
        <v>162</v>
      </c>
      <c r="V144" s="2">
        <v>1278</v>
      </c>
      <c r="W144" s="2">
        <v>5151</v>
      </c>
      <c r="X144" s="2">
        <f t="shared" si="13"/>
        <v>5151</v>
      </c>
      <c r="Y144" s="2">
        <v>1829</v>
      </c>
      <c r="Z144" t="str" cm="1">
        <f t="array" ref="Z144">_xlfn.IFS(OR(R144&gt;66, S144&gt;38), "High Engagement", OR(AND(R144&gt;32, R144&lt;=66), AND(S144&gt;19, S144&lt;=38)), "Medium-High Engagement", OR(AND(R144&gt;4, R144&lt;=32), AND(S144&gt;6, S144&lt;=19)),"Medium Engagement", TRUE, "Low Engagement"
)</f>
        <v>Medium Engagement</v>
      </c>
      <c r="AA144">
        <f t="shared" si="14"/>
        <v>0.35507668413900212</v>
      </c>
    </row>
    <row r="145" spans="1:27" x14ac:dyDescent="0.35">
      <c r="A145" s="2">
        <v>8877689391</v>
      </c>
      <c r="B145" s="2" t="s">
        <v>98</v>
      </c>
      <c r="C145" s="2">
        <f>VLOOKUP(user_activity!A57,users_details!$A$1:$G$34,5,0)</f>
        <v>18</v>
      </c>
      <c r="D145" s="2" t="str" cm="1">
        <f t="array" ref="D145">_xlfn.IFS( AND(C145&gt;=18, C145&lt;=25), "Emerging Adults",  AND(C145&gt;=26, C145&lt;=35),  "Young Adults",  AND(C145&gt;=36, C145&lt;=45),  "Midlife Adults",  AND(C145&gt;=46, C145&lt;=55), "Mature Adults", C145&gt;=56,  "Older Adults", TRUE, "Age Not Mentioned")</f>
        <v>Emerging Adults</v>
      </c>
      <c r="E145" s="2" t="str">
        <f>VLOOKUP(user_activity!A57,users_details!$A$1:$G$34,6,0)</f>
        <v>Hell's Kitchen, Manhattan</v>
      </c>
      <c r="F145" s="2" t="str">
        <f>VLOOKUP(user_activity!A57,users_details!$A$1:$G$34,7,0)</f>
        <v>Hell's Kitchen</v>
      </c>
      <c r="G145" s="2" t="s">
        <v>71</v>
      </c>
      <c r="H145" s="7">
        <v>42488</v>
      </c>
      <c r="I145" s="9" t="str">
        <f t="shared" si="10"/>
        <v>Thursday</v>
      </c>
      <c r="J145" s="9" t="str">
        <f t="shared" si="11"/>
        <v>April</v>
      </c>
      <c r="K145" s="2">
        <v>11.30000019</v>
      </c>
      <c r="L145" s="2">
        <v>11.30000019</v>
      </c>
      <c r="M145" s="2">
        <v>0</v>
      </c>
      <c r="N145" s="2">
        <v>4.9299998279999997</v>
      </c>
      <c r="O145" s="2">
        <v>0.37999999499999998</v>
      </c>
      <c r="P145" s="2">
        <v>5.9699997900000001</v>
      </c>
      <c r="Q145" s="2">
        <v>0</v>
      </c>
      <c r="R145" s="2">
        <v>58</v>
      </c>
      <c r="S145" s="2">
        <v>8</v>
      </c>
      <c r="T145" s="2">
        <v>231</v>
      </c>
      <c r="U145" s="2">
        <f t="shared" si="12"/>
        <v>297</v>
      </c>
      <c r="V145" s="2">
        <v>1143</v>
      </c>
      <c r="W145" s="2">
        <v>14890</v>
      </c>
      <c r="X145" s="2">
        <f t="shared" si="13"/>
        <v>14890</v>
      </c>
      <c r="Y145" s="2">
        <v>3060</v>
      </c>
      <c r="Z145" t="str" cm="1">
        <f t="array" ref="Z145">_xlfn.IFS(OR(R145&gt;66, S145&gt;38), "High Engagement", OR(AND(R145&gt;32, R145&lt;=66), AND(S145&gt;19, S145&lt;=38)), "Medium-High Engagement", OR(AND(R145&gt;4, R145&lt;=32), AND(S145&gt;6, S145&lt;=19)),"Medium Engagement", TRUE, "Low Engagement"
)</f>
        <v>Medium-High Engagement</v>
      </c>
      <c r="AA145">
        <f t="shared" si="14"/>
        <v>0.20550705171255876</v>
      </c>
    </row>
    <row r="146" spans="1:27" x14ac:dyDescent="0.35">
      <c r="A146" s="2">
        <v>8877689391</v>
      </c>
      <c r="B146" s="2" t="s">
        <v>98</v>
      </c>
      <c r="C146" s="2">
        <f>VLOOKUP(user_activity!A82,users_details!$A$1:$G$34,5,0)</f>
        <v>21</v>
      </c>
      <c r="D146" s="2" t="str" cm="1">
        <f t="array" ref="D146">_xlfn.IFS( AND(C146&gt;=18, C146&lt;=25), "Emerging Adults",  AND(C146&gt;=26, C146&lt;=35),  "Young Adults",  AND(C146&gt;=36, C146&lt;=45),  "Midlife Adults",  AND(C146&gt;=46, C146&lt;=55), "Mature Adults", C146&gt;=56,  "Older Adults", TRUE, "Age Not Mentioned")</f>
        <v>Emerging Adults</v>
      </c>
      <c r="E146" s="2" t="str">
        <f>VLOOKUP(user_activity!A82,users_details!$A$1:$G$34,6,0)</f>
        <v>Bushwick, Brooklyn</v>
      </c>
      <c r="F146" s="2" t="str">
        <f>VLOOKUP(user_activity!A82,users_details!$A$1:$G$34,7,0)</f>
        <v>Bushwick</v>
      </c>
      <c r="G146" s="2" t="s">
        <v>71</v>
      </c>
      <c r="H146" s="7">
        <v>42482</v>
      </c>
      <c r="I146" s="9" t="str">
        <f t="shared" si="10"/>
        <v>Friday</v>
      </c>
      <c r="J146" s="9" t="str">
        <f t="shared" si="11"/>
        <v>April</v>
      </c>
      <c r="K146" s="2">
        <v>16.309999470000001</v>
      </c>
      <c r="L146" s="2">
        <v>16.309999470000001</v>
      </c>
      <c r="M146" s="2">
        <v>0</v>
      </c>
      <c r="N146" s="2">
        <v>10.22999954</v>
      </c>
      <c r="O146" s="2">
        <v>2.9999998999999999E-2</v>
      </c>
      <c r="P146" s="2">
        <v>5.9699997900000001</v>
      </c>
      <c r="Q146" s="2">
        <v>5.0000001000000002E-2</v>
      </c>
      <c r="R146" s="2">
        <v>61</v>
      </c>
      <c r="S146" s="2">
        <v>2</v>
      </c>
      <c r="T146" s="2">
        <v>236</v>
      </c>
      <c r="U146" s="2">
        <f t="shared" si="12"/>
        <v>299</v>
      </c>
      <c r="V146" s="2">
        <v>1141</v>
      </c>
      <c r="W146" s="2">
        <v>18258</v>
      </c>
      <c r="X146" s="2">
        <f t="shared" si="13"/>
        <v>18258</v>
      </c>
      <c r="Y146" s="2">
        <v>3427</v>
      </c>
      <c r="Z146" t="str" cm="1">
        <f t="array" ref="Z146">_xlfn.IFS(OR(R146&gt;66, S146&gt;38), "High Engagement", OR(AND(R146&gt;32, R146&lt;=66), AND(S146&gt;19, S146&lt;=38)), "Medium-High Engagement", OR(AND(R146&gt;4, R146&lt;=32), AND(S146&gt;6, S146&lt;=19)),"Medium Engagement", TRUE, "Low Engagement"
)</f>
        <v>Medium-High Engagement</v>
      </c>
      <c r="AA146">
        <f t="shared" si="14"/>
        <v>0.1876985431043926</v>
      </c>
    </row>
    <row r="147" spans="1:27" x14ac:dyDescent="0.35">
      <c r="A147" s="2">
        <v>8877689391</v>
      </c>
      <c r="B147" s="2" t="s">
        <v>98</v>
      </c>
      <c r="C147" s="2">
        <f>VLOOKUP(user_activity!A84,users_details!$A$1:$G$34,5,0)</f>
        <v>21</v>
      </c>
      <c r="D147" s="2" t="str" cm="1">
        <f t="array" ref="D147">_xlfn.IFS( AND(C147&gt;=18, C147&lt;=25), "Emerging Adults",  AND(C147&gt;=26, C147&lt;=35),  "Young Adults",  AND(C147&gt;=36, C147&lt;=45),  "Midlife Adults",  AND(C147&gt;=46, C147&lt;=55), "Mature Adults", C147&gt;=56,  "Older Adults", TRUE, "Age Not Mentioned")</f>
        <v>Emerging Adults</v>
      </c>
      <c r="E147" s="2" t="str">
        <f>VLOOKUP(user_activity!A84,users_details!$A$1:$G$34,6,0)</f>
        <v>Bushwick, Brooklyn</v>
      </c>
      <c r="F147" s="2" t="str">
        <f>VLOOKUP(user_activity!A84,users_details!$A$1:$G$34,7,0)</f>
        <v>Bushwick</v>
      </c>
      <c r="G147" s="2" t="s">
        <v>71</v>
      </c>
      <c r="H147" s="7">
        <v>42587</v>
      </c>
      <c r="I147" s="9" t="str">
        <f t="shared" si="10"/>
        <v>Friday</v>
      </c>
      <c r="J147" s="9" t="str">
        <f t="shared" si="11"/>
        <v>August</v>
      </c>
      <c r="K147" s="2">
        <v>8.1099996569999995</v>
      </c>
      <c r="L147" s="2">
        <v>8.1099996569999995</v>
      </c>
      <c r="M147" s="2">
        <v>0</v>
      </c>
      <c r="N147" s="2">
        <v>1.0800000430000001</v>
      </c>
      <c r="O147" s="2">
        <v>0.20000000300000001</v>
      </c>
      <c r="P147" s="2">
        <v>6.8000001909999996</v>
      </c>
      <c r="Q147" s="2">
        <v>0</v>
      </c>
      <c r="R147" s="2">
        <v>17</v>
      </c>
      <c r="S147" s="2">
        <v>4</v>
      </c>
      <c r="T147" s="2">
        <v>245</v>
      </c>
      <c r="U147" s="2">
        <f t="shared" si="12"/>
        <v>266</v>
      </c>
      <c r="V147" s="2">
        <v>1174</v>
      </c>
      <c r="W147" s="2">
        <v>10686</v>
      </c>
      <c r="X147" s="2">
        <f t="shared" si="13"/>
        <v>10686</v>
      </c>
      <c r="Y147" s="2">
        <v>2847</v>
      </c>
      <c r="Z147" t="str" cm="1">
        <f t="array" ref="Z147">_xlfn.IFS(OR(R147&gt;66, S147&gt;38), "High Engagement", OR(AND(R147&gt;32, R147&lt;=66), AND(S147&gt;19, S147&lt;=38)), "Medium-High Engagement", OR(AND(R147&gt;4, R147&lt;=32), AND(S147&gt;6, S147&lt;=19)),"Medium Engagement", TRUE, "Low Engagement"
)</f>
        <v>Medium Engagement</v>
      </c>
      <c r="AA147">
        <f t="shared" si="14"/>
        <v>0.26642335766423358</v>
      </c>
    </row>
    <row r="148" spans="1:27" x14ac:dyDescent="0.35">
      <c r="A148" s="2">
        <v>8877689391</v>
      </c>
      <c r="B148" s="2" t="s">
        <v>98</v>
      </c>
      <c r="C148" s="2">
        <f>VLOOKUP(user_activity!A140,users_details!$A$1:$G$34,5,0)</f>
        <v>22</v>
      </c>
      <c r="D148" s="2" t="str" cm="1">
        <f t="array" ref="D148">_xlfn.IFS( AND(C148&gt;=18, C148&lt;=25), "Emerging Adults",  AND(C148&gt;=26, C148&lt;=35),  "Young Adults",  AND(C148&gt;=36, C148&lt;=45),  "Midlife Adults",  AND(C148&gt;=46, C148&lt;=55), "Mature Adults", C148&gt;=56,  "Older Adults", TRUE, "Age Not Mentioned")</f>
        <v>Emerging Adults</v>
      </c>
      <c r="E148" s="2" t="str">
        <f>VLOOKUP(user_activity!A140,users_details!$A$1:$G$34,6,0)</f>
        <v>Washington Heights, Manhattan</v>
      </c>
      <c r="F148" s="2" t="str">
        <f>VLOOKUP(user_activity!A140,users_details!$A$1:$G$34,7,0)</f>
        <v>Washington Heights</v>
      </c>
      <c r="G148" s="2" t="s">
        <v>71</v>
      </c>
      <c r="H148" s="7">
        <v>42481</v>
      </c>
      <c r="I148" s="9" t="str">
        <f t="shared" si="10"/>
        <v>Thursday</v>
      </c>
      <c r="J148" s="9" t="str">
        <f t="shared" si="11"/>
        <v>April</v>
      </c>
      <c r="K148" s="2">
        <v>17.620000839999999</v>
      </c>
      <c r="L148" s="2">
        <v>17.620000839999999</v>
      </c>
      <c r="M148" s="2">
        <v>0</v>
      </c>
      <c r="N148" s="2">
        <v>12.289999959999999</v>
      </c>
      <c r="O148" s="2">
        <v>0.41999998700000002</v>
      </c>
      <c r="P148" s="2">
        <v>4.8899998660000001</v>
      </c>
      <c r="Q148" s="2">
        <v>0</v>
      </c>
      <c r="R148" s="2">
        <v>82</v>
      </c>
      <c r="S148" s="2">
        <v>13</v>
      </c>
      <c r="T148" s="2">
        <v>226</v>
      </c>
      <c r="U148" s="2">
        <f t="shared" si="12"/>
        <v>321</v>
      </c>
      <c r="V148" s="2">
        <v>1119</v>
      </c>
      <c r="W148" s="2">
        <v>19377</v>
      </c>
      <c r="X148" s="2">
        <f t="shared" si="13"/>
        <v>19377</v>
      </c>
      <c r="Y148" s="2">
        <v>3659</v>
      </c>
      <c r="Z148" t="str" cm="1">
        <f t="array" ref="Z148">_xlfn.IFS(OR(R148&gt;66, S148&gt;38), "High Engagement", OR(AND(R148&gt;32, R148&lt;=66), AND(S148&gt;19, S148&lt;=38)), "Medium-High Engagement", OR(AND(R148&gt;4, R148&lt;=32), AND(S148&gt;6, S148&lt;=19)),"Medium Engagement", TRUE, "Low Engagement"
)</f>
        <v>High Engagement</v>
      </c>
      <c r="AA148">
        <f t="shared" si="14"/>
        <v>0.18883212055529752</v>
      </c>
    </row>
    <row r="149" spans="1:27" x14ac:dyDescent="0.35">
      <c r="A149" s="2">
        <v>5553957443</v>
      </c>
      <c r="B149" s="2" t="s">
        <v>102</v>
      </c>
      <c r="C149" s="2">
        <f>VLOOKUP(user_activity!A148,users_details!$A$1:$G$34,5,0)</f>
        <v>23</v>
      </c>
      <c r="D149" s="2" t="str" cm="1">
        <f t="array" ref="D149">_xlfn.IFS( AND(C149&gt;=18, C149&lt;=25), "Emerging Adults",  AND(C149&gt;=26, C149&lt;=35),  "Young Adults",  AND(C149&gt;=36, C149&lt;=45),  "Midlife Adults",  AND(C149&gt;=46, C149&lt;=55), "Mature Adults", C149&gt;=56,  "Older Adults", TRUE, "Age Not Mentioned")</f>
        <v>Emerging Adults</v>
      </c>
      <c r="E149" s="2" t="str">
        <f>VLOOKUP(user_activity!A148,users_details!$A$1:$G$34,6,0)</f>
        <v>Crown Heights, Brooklyn</v>
      </c>
      <c r="F149" s="2" t="str">
        <f>VLOOKUP(user_activity!A148,users_details!$A$1:$G$34,7,0)</f>
        <v>Crown Heights</v>
      </c>
      <c r="G149" s="2" t="s">
        <v>72</v>
      </c>
      <c r="H149" s="7">
        <v>42474</v>
      </c>
      <c r="I149" s="9" t="str">
        <f t="shared" si="10"/>
        <v>Thursday</v>
      </c>
      <c r="J149" s="9" t="str">
        <f t="shared" si="11"/>
        <v>April</v>
      </c>
      <c r="K149" s="2">
        <v>11.119999890000001</v>
      </c>
      <c r="L149" s="2">
        <v>11.119999890000001</v>
      </c>
      <c r="M149" s="2">
        <v>0</v>
      </c>
      <c r="N149" s="2">
        <v>4</v>
      </c>
      <c r="O149" s="2">
        <v>2.4500000480000002</v>
      </c>
      <c r="P149" s="2">
        <v>4.670000076</v>
      </c>
      <c r="Q149" s="2">
        <v>0</v>
      </c>
      <c r="R149" s="2">
        <v>61</v>
      </c>
      <c r="S149" s="2">
        <v>41</v>
      </c>
      <c r="T149" s="2">
        <v>256</v>
      </c>
      <c r="U149" s="2">
        <f t="shared" si="12"/>
        <v>358</v>
      </c>
      <c r="V149" s="2">
        <v>693</v>
      </c>
      <c r="W149" s="2">
        <v>17022</v>
      </c>
      <c r="X149" s="2">
        <f t="shared" si="13"/>
        <v>17022</v>
      </c>
      <c r="Y149" s="2">
        <v>2324</v>
      </c>
      <c r="Z149" t="str" cm="1">
        <f t="array" ref="Z149">_xlfn.IFS(OR(R149&gt;66, S149&gt;38), "High Engagement", OR(AND(R149&gt;32, R149&lt;=66), AND(S149&gt;19, S149&lt;=38)), "Medium-High Engagement", OR(AND(R149&gt;4, R149&lt;=32), AND(S149&gt;6, S149&lt;=19)),"Medium Engagement", TRUE, "Low Engagement"
)</f>
        <v>High Engagement</v>
      </c>
      <c r="AA149">
        <f t="shared" si="14"/>
        <v>0.13652919750910586</v>
      </c>
    </row>
    <row r="150" spans="1:27" x14ac:dyDescent="0.35">
      <c r="A150" s="2">
        <v>5553957443</v>
      </c>
      <c r="B150" s="2" t="s">
        <v>102</v>
      </c>
      <c r="C150" s="2">
        <f>VLOOKUP(user_activity!A154,users_details!$A$1:$G$34,5,0)</f>
        <v>23</v>
      </c>
      <c r="D150" s="2" t="str" cm="1">
        <f t="array" ref="D150">_xlfn.IFS( AND(C150&gt;=18, C150&lt;=25), "Emerging Adults",  AND(C150&gt;=26, C150&lt;=35),  "Young Adults",  AND(C150&gt;=36, C150&lt;=45),  "Midlife Adults",  AND(C150&gt;=46, C150&lt;=55), "Mature Adults", C150&gt;=56,  "Older Adults", TRUE, "Age Not Mentioned")</f>
        <v>Emerging Adults</v>
      </c>
      <c r="E150" s="2" t="str">
        <f>VLOOKUP(user_activity!A154,users_details!$A$1:$G$34,6,0)</f>
        <v>Crown Heights, Brooklyn</v>
      </c>
      <c r="F150" s="2" t="str">
        <f>VLOOKUP(user_activity!A154,users_details!$A$1:$G$34,7,0)</f>
        <v>Crown Heights</v>
      </c>
      <c r="G150" s="2" t="s">
        <v>72</v>
      </c>
      <c r="H150" s="7">
        <v>42480</v>
      </c>
      <c r="I150" s="9" t="str">
        <f t="shared" si="10"/>
        <v>Wednesday</v>
      </c>
      <c r="J150" s="9" t="str">
        <f t="shared" si="11"/>
        <v>April</v>
      </c>
      <c r="K150" s="2">
        <v>1.769999981</v>
      </c>
      <c r="L150" s="2">
        <v>1.769999981</v>
      </c>
      <c r="M150" s="2">
        <v>0</v>
      </c>
      <c r="N150" s="2">
        <v>0</v>
      </c>
      <c r="O150" s="2">
        <v>0</v>
      </c>
      <c r="P150" s="2">
        <v>1.769999981</v>
      </c>
      <c r="Q150" s="2">
        <v>0</v>
      </c>
      <c r="R150" s="2">
        <v>0</v>
      </c>
      <c r="S150" s="2">
        <v>0</v>
      </c>
      <c r="T150" s="2">
        <v>148</v>
      </c>
      <c r="U150" s="2">
        <f t="shared" si="12"/>
        <v>148</v>
      </c>
      <c r="V150" s="2">
        <v>598</v>
      </c>
      <c r="W150" s="2">
        <v>2713</v>
      </c>
      <c r="X150" s="2">
        <f t="shared" si="13"/>
        <v>2713</v>
      </c>
      <c r="Y150" s="2">
        <v>1570</v>
      </c>
      <c r="Z150" t="str" cm="1">
        <f t="array" ref="Z150">_xlfn.IFS(OR(R150&gt;66, S150&gt;38), "High Engagement", OR(AND(R150&gt;32, R150&lt;=66), AND(S150&gt;19, S150&lt;=38)), "Medium-High Engagement", OR(AND(R150&gt;4, R150&lt;=32), AND(S150&gt;6, S150&lt;=19)),"Medium Engagement", TRUE, "Low Engagement"
)</f>
        <v>Low Engagement</v>
      </c>
      <c r="AA150">
        <f t="shared" si="14"/>
        <v>0.57869517139697757</v>
      </c>
    </row>
    <row r="151" spans="1:27" x14ac:dyDescent="0.35">
      <c r="A151" s="2">
        <v>8877689391</v>
      </c>
      <c r="B151" s="2" t="s">
        <v>98</v>
      </c>
      <c r="C151" s="2">
        <f>VLOOKUP(user_activity!A176,users_details!$A$1:$G$34,5,0)</f>
        <v>23</v>
      </c>
      <c r="D151" s="2" t="str" cm="1">
        <f t="array" ref="D151">_xlfn.IFS( AND(C151&gt;=18, C151&lt;=25), "Emerging Adults",  AND(C151&gt;=26, C151&lt;=35),  "Young Adults",  AND(C151&gt;=36, C151&lt;=45),  "Midlife Adults",  AND(C151&gt;=46, C151&lt;=55), "Mature Adults", C151&gt;=56,  "Older Adults", TRUE, "Age Not Mentioned")</f>
        <v>Emerging Adults</v>
      </c>
      <c r="E151" s="2" t="str">
        <f>VLOOKUP(user_activity!A176,users_details!$A$1:$G$34,6,0)</f>
        <v>Washington Heights, Manhattan</v>
      </c>
      <c r="F151" s="2" t="str">
        <f>VLOOKUP(user_activity!A176,users_details!$A$1:$G$34,7,0)</f>
        <v>Washington Heights</v>
      </c>
      <c r="G151" s="2" t="s">
        <v>71</v>
      </c>
      <c r="H151" s="7">
        <v>42556</v>
      </c>
      <c r="I151" s="9" t="str">
        <f t="shared" si="10"/>
        <v>Tuesday</v>
      </c>
      <c r="J151" s="9" t="str">
        <f t="shared" si="11"/>
        <v>July</v>
      </c>
      <c r="K151" s="2">
        <v>8.1300001139999996</v>
      </c>
      <c r="L151" s="2">
        <v>8.1300001139999996</v>
      </c>
      <c r="M151" s="2">
        <v>0</v>
      </c>
      <c r="N151" s="2">
        <v>7.9999998000000003E-2</v>
      </c>
      <c r="O151" s="2">
        <v>0.959999979</v>
      </c>
      <c r="P151" s="2">
        <v>6.9899997709999999</v>
      </c>
      <c r="Q151" s="2">
        <v>0</v>
      </c>
      <c r="R151" s="2">
        <v>105</v>
      </c>
      <c r="S151" s="2">
        <v>28</v>
      </c>
      <c r="T151" s="2">
        <v>271</v>
      </c>
      <c r="U151" s="2">
        <f t="shared" si="12"/>
        <v>404</v>
      </c>
      <c r="V151" s="2">
        <v>1036</v>
      </c>
      <c r="W151" s="2">
        <v>12332</v>
      </c>
      <c r="X151" s="2">
        <f t="shared" si="13"/>
        <v>12332</v>
      </c>
      <c r="Y151" s="2">
        <v>4142</v>
      </c>
      <c r="Z151" t="str" cm="1">
        <f t="array" ref="Z151">_xlfn.IFS(OR(R151&gt;66, S151&gt;38), "High Engagement", OR(AND(R151&gt;32, R151&lt;=66), AND(S151&gt;19, S151&lt;=38)), "Medium-High Engagement", OR(AND(R151&gt;4, R151&lt;=32), AND(S151&gt;6, S151&lt;=19)),"Medium Engagement", TRUE, "Low Engagement"
)</f>
        <v>High Engagement</v>
      </c>
      <c r="AA151">
        <f t="shared" si="14"/>
        <v>0.33587414855660069</v>
      </c>
    </row>
    <row r="152" spans="1:27" x14ac:dyDescent="0.35">
      <c r="A152" s="2">
        <v>5553957443</v>
      </c>
      <c r="B152" s="2" t="s">
        <v>102</v>
      </c>
      <c r="C152" s="2">
        <f>VLOOKUP(user_activity!A178,users_details!$A$1:$G$34,5,0)</f>
        <v>23</v>
      </c>
      <c r="D152" s="2" t="str" cm="1">
        <f t="array" ref="D152">_xlfn.IFS( AND(C152&gt;=18, C152&lt;=25), "Emerging Adults",  AND(C152&gt;=26, C152&lt;=35),  "Young Adults",  AND(C152&gt;=36, C152&lt;=45),  "Midlife Adults",  AND(C152&gt;=46, C152&lt;=55), "Mature Adults", C152&gt;=56,  "Older Adults", TRUE, "Age Not Mentioned")</f>
        <v>Emerging Adults</v>
      </c>
      <c r="E152" s="2" t="str">
        <f>VLOOKUP(user_activity!A178,users_details!$A$1:$G$34,6,0)</f>
        <v>Crown Heights, Brooklyn</v>
      </c>
      <c r="F152" s="2" t="str">
        <f>VLOOKUP(user_activity!A178,users_details!$A$1:$G$34,7,0)</f>
        <v>Crown Heights</v>
      </c>
      <c r="G152" s="2" t="s">
        <v>72</v>
      </c>
      <c r="H152" s="7">
        <v>42475</v>
      </c>
      <c r="I152" s="9" t="str">
        <f t="shared" si="10"/>
        <v>Friday</v>
      </c>
      <c r="J152" s="9" t="str">
        <f t="shared" si="11"/>
        <v>April</v>
      </c>
      <c r="K152" s="2">
        <v>10.85999966</v>
      </c>
      <c r="L152" s="2">
        <v>10.85999966</v>
      </c>
      <c r="M152" s="2">
        <v>0</v>
      </c>
      <c r="N152" s="2">
        <v>4.1599998469999999</v>
      </c>
      <c r="O152" s="2">
        <v>1.980000019</v>
      </c>
      <c r="P152" s="2">
        <v>4.7100000380000004</v>
      </c>
      <c r="Q152" s="2">
        <v>0</v>
      </c>
      <c r="R152" s="2">
        <v>58</v>
      </c>
      <c r="S152" s="2">
        <v>38</v>
      </c>
      <c r="T152" s="2">
        <v>239</v>
      </c>
      <c r="U152" s="2">
        <f t="shared" si="12"/>
        <v>335</v>
      </c>
      <c r="V152" s="2">
        <v>689</v>
      </c>
      <c r="W152" s="2">
        <v>16556</v>
      </c>
      <c r="X152" s="2">
        <f t="shared" si="13"/>
        <v>16556</v>
      </c>
      <c r="Y152" s="2">
        <v>2254</v>
      </c>
      <c r="Z152" t="str" cm="1">
        <f t="array" ref="Z152">_xlfn.IFS(OR(R152&gt;66, S152&gt;38), "High Engagement", OR(AND(R152&gt;32, R152&lt;=66), AND(S152&gt;19, S152&lt;=38)), "Medium-High Engagement", OR(AND(R152&gt;4, R152&lt;=32), AND(S152&gt;6, S152&lt;=19)),"Medium Engagement", TRUE, "Low Engagement"
)</f>
        <v>Medium-High Engagement</v>
      </c>
      <c r="AA152">
        <f t="shared" si="14"/>
        <v>0.13614399613433195</v>
      </c>
    </row>
    <row r="153" spans="1:27" x14ac:dyDescent="0.35">
      <c r="A153" s="2">
        <v>8877689391</v>
      </c>
      <c r="B153" s="2" t="s">
        <v>98</v>
      </c>
      <c r="C153" s="2">
        <f>VLOOKUP(user_activity!A181,users_details!$A$1:$G$34,5,0)</f>
        <v>23</v>
      </c>
      <c r="D153" s="2" t="str" cm="1">
        <f t="array" ref="D153">_xlfn.IFS( AND(C153&gt;=18, C153&lt;=25), "Emerging Adults",  AND(C153&gt;=26, C153&lt;=35),  "Young Adults",  AND(C153&gt;=36, C153&lt;=45),  "Midlife Adults",  AND(C153&gt;=46, C153&lt;=55), "Mature Adults", C153&gt;=56,  "Older Adults", TRUE, "Age Not Mentioned")</f>
        <v>Emerging Adults</v>
      </c>
      <c r="E153" s="2" t="str">
        <f>VLOOKUP(user_activity!A181,users_details!$A$1:$G$34,6,0)</f>
        <v>Crown Heights, Brooklyn</v>
      </c>
      <c r="F153" s="2" t="str">
        <f>VLOOKUP(user_activity!A181,users_details!$A$1:$G$34,7,0)</f>
        <v>Crown Heights</v>
      </c>
      <c r="G153" s="2" t="s">
        <v>71</v>
      </c>
      <c r="H153" s="7">
        <v>42526</v>
      </c>
      <c r="I153" s="9" t="str">
        <f t="shared" si="10"/>
        <v>Sunday</v>
      </c>
      <c r="J153" s="9" t="str">
        <f t="shared" si="11"/>
        <v>June</v>
      </c>
      <c r="K153" s="2">
        <v>19.340000150000002</v>
      </c>
      <c r="L153" s="2">
        <v>19.340000150000002</v>
      </c>
      <c r="M153" s="2">
        <v>0</v>
      </c>
      <c r="N153" s="2">
        <v>12.789999959999999</v>
      </c>
      <c r="O153" s="2">
        <v>0.28999999199999998</v>
      </c>
      <c r="P153" s="2">
        <v>6.1599998469999999</v>
      </c>
      <c r="Q153" s="2">
        <v>0</v>
      </c>
      <c r="R153" s="2">
        <v>96</v>
      </c>
      <c r="S153" s="2">
        <v>17</v>
      </c>
      <c r="T153" s="2">
        <v>232</v>
      </c>
      <c r="U153" s="2">
        <f t="shared" si="12"/>
        <v>345</v>
      </c>
      <c r="V153" s="2">
        <v>1095</v>
      </c>
      <c r="W153" s="2">
        <v>21727</v>
      </c>
      <c r="X153" s="2">
        <f t="shared" si="13"/>
        <v>21727</v>
      </c>
      <c r="Y153" s="2">
        <v>4015</v>
      </c>
      <c r="Z153" t="str" cm="1">
        <f t="array" ref="Z153">_xlfn.IFS(OR(R153&gt;66, S153&gt;38), "High Engagement", OR(AND(R153&gt;32, R153&lt;=66), AND(S153&gt;19, S153&lt;=38)), "Medium-High Engagement", OR(AND(R153&gt;4, R153&lt;=32), AND(S153&gt;6, S153&lt;=19)),"Medium Engagement", TRUE, "Low Engagement"
)</f>
        <v>High Engagement</v>
      </c>
      <c r="AA153">
        <f t="shared" si="14"/>
        <v>0.18479311455792333</v>
      </c>
    </row>
    <row r="154" spans="1:27" x14ac:dyDescent="0.35">
      <c r="A154" s="2">
        <v>8877689391</v>
      </c>
      <c r="B154" s="2" t="s">
        <v>98</v>
      </c>
      <c r="C154" s="2">
        <f>VLOOKUP(user_activity!A191,users_details!$A$1:$G$34,5,0)</f>
        <v>23</v>
      </c>
      <c r="D154" s="2" t="str" cm="1">
        <f t="array" ref="D154">_xlfn.IFS( AND(C154&gt;=18, C154&lt;=25), "Emerging Adults",  AND(C154&gt;=26, C154&lt;=35),  "Young Adults",  AND(C154&gt;=36, C154&lt;=45),  "Midlife Adults",  AND(C154&gt;=46, C154&lt;=55), "Mature Adults", C154&gt;=56,  "Older Adults", TRUE, "Age Not Mentioned")</f>
        <v>Emerging Adults</v>
      </c>
      <c r="E154" s="2" t="str">
        <f>VLOOKUP(user_activity!A191,users_details!$A$1:$G$34,6,0)</f>
        <v>Washington Heights, Manhattan</v>
      </c>
      <c r="F154" s="2" t="str">
        <f>VLOOKUP(user_activity!A191,users_details!$A$1:$G$34,7,0)</f>
        <v>Washington Heights</v>
      </c>
      <c r="G154" s="2" t="s">
        <v>71</v>
      </c>
      <c r="H154" s="7">
        <v>42465</v>
      </c>
      <c r="I154" s="9" t="str">
        <f t="shared" si="10"/>
        <v>Tuesday</v>
      </c>
      <c r="J154" s="9" t="str">
        <f t="shared" si="11"/>
        <v>April</v>
      </c>
      <c r="K154" s="2">
        <v>16.299999239999998</v>
      </c>
      <c r="L154" s="2">
        <v>16.299999239999998</v>
      </c>
      <c r="M154" s="2">
        <v>0</v>
      </c>
      <c r="N154" s="2">
        <v>10.420000079999999</v>
      </c>
      <c r="O154" s="2">
        <v>0.310000002</v>
      </c>
      <c r="P154" s="2">
        <v>5.5300002099999999</v>
      </c>
      <c r="Q154" s="2">
        <v>0</v>
      </c>
      <c r="R154" s="2">
        <v>66</v>
      </c>
      <c r="S154" s="2">
        <v>8</v>
      </c>
      <c r="T154" s="2">
        <v>212</v>
      </c>
      <c r="U154" s="2">
        <f t="shared" si="12"/>
        <v>286</v>
      </c>
      <c r="V154" s="2">
        <v>1154</v>
      </c>
      <c r="W154" s="2">
        <v>18193</v>
      </c>
      <c r="X154" s="2">
        <f t="shared" si="13"/>
        <v>18193</v>
      </c>
      <c r="Y154" s="2">
        <v>3477</v>
      </c>
      <c r="Z154" t="str" cm="1">
        <f t="array" ref="Z154">_xlfn.IFS(OR(R154&gt;66, S154&gt;38), "High Engagement", OR(AND(R154&gt;32, R154&lt;=66), AND(S154&gt;19, S154&lt;=38)), "Medium-High Engagement", OR(AND(R154&gt;4, R154&lt;=32), AND(S154&gt;6, S154&lt;=19)),"Medium Engagement", TRUE, "Low Engagement"
)</f>
        <v>Medium-High Engagement</v>
      </c>
      <c r="AA154">
        <f t="shared" si="14"/>
        <v>0.19111746276040234</v>
      </c>
    </row>
    <row r="155" spans="1:27" x14ac:dyDescent="0.35">
      <c r="A155" s="2">
        <v>8877689391</v>
      </c>
      <c r="B155" s="2" t="s">
        <v>98</v>
      </c>
      <c r="C155" s="2">
        <f>VLOOKUP(user_activity!A193,users_details!$A$1:$G$34,5,0)</f>
        <v>23</v>
      </c>
      <c r="D155" s="2" t="str" cm="1">
        <f t="array" ref="D155">_xlfn.IFS( AND(C155&gt;=18, C155&lt;=25), "Emerging Adults",  AND(C155&gt;=26, C155&lt;=35),  "Young Adults",  AND(C155&gt;=36, C155&lt;=45),  "Midlife Adults",  AND(C155&gt;=46, C155&lt;=55), "Mature Adults", C155&gt;=56,  "Older Adults", TRUE, "Age Not Mentioned")</f>
        <v>Emerging Adults</v>
      </c>
      <c r="E155" s="2" t="str">
        <f>VLOOKUP(user_activity!A193,users_details!$A$1:$G$34,6,0)</f>
        <v>Washington Heights, Manhattan</v>
      </c>
      <c r="F155" s="2" t="str">
        <f>VLOOKUP(user_activity!A193,users_details!$A$1:$G$34,7,0)</f>
        <v>Washington Heights</v>
      </c>
      <c r="G155" s="2" t="s">
        <v>71</v>
      </c>
      <c r="H155" s="7">
        <v>42489</v>
      </c>
      <c r="I155" s="9" t="str">
        <f t="shared" si="10"/>
        <v>Friday</v>
      </c>
      <c r="J155" s="9" t="str">
        <f t="shared" si="11"/>
        <v>April</v>
      </c>
      <c r="K155" s="2">
        <v>7.3899998660000001</v>
      </c>
      <c r="L155" s="2">
        <v>7.3899998660000001</v>
      </c>
      <c r="M155" s="2">
        <v>0</v>
      </c>
      <c r="N155" s="2">
        <v>1.3799999949999999</v>
      </c>
      <c r="O155" s="2">
        <v>0.17000000200000001</v>
      </c>
      <c r="P155" s="2">
        <v>5.7899999619999996</v>
      </c>
      <c r="Q155" s="2">
        <v>0</v>
      </c>
      <c r="R155" s="2">
        <v>18</v>
      </c>
      <c r="S155" s="2">
        <v>5</v>
      </c>
      <c r="T155" s="2">
        <v>210</v>
      </c>
      <c r="U155" s="2">
        <f t="shared" si="12"/>
        <v>233</v>
      </c>
      <c r="V155" s="2">
        <v>1207</v>
      </c>
      <c r="W155" s="2">
        <v>9733</v>
      </c>
      <c r="X155" s="2">
        <f t="shared" si="13"/>
        <v>9733</v>
      </c>
      <c r="Y155" s="2">
        <v>2698</v>
      </c>
      <c r="Z155" t="str" cm="1">
        <f t="array" ref="Z155">_xlfn.IFS(OR(R155&gt;66, S155&gt;38), "High Engagement", OR(AND(R155&gt;32, R155&lt;=66), AND(S155&gt;19, S155&lt;=38)), "Medium-High Engagement", OR(AND(R155&gt;4, R155&lt;=32), AND(S155&gt;6, S155&lt;=19)),"Medium Engagement", TRUE, "Low Engagement"
)</f>
        <v>Medium Engagement</v>
      </c>
      <c r="AA155">
        <f t="shared" si="14"/>
        <v>0.27720127401623346</v>
      </c>
    </row>
    <row r="156" spans="1:27" x14ac:dyDescent="0.35">
      <c r="A156" s="2">
        <v>8877689391</v>
      </c>
      <c r="B156" s="2" t="s">
        <v>98</v>
      </c>
      <c r="C156" s="2">
        <f>VLOOKUP(user_activity!A198,users_details!$A$1:$G$34,5,0)</f>
        <v>23</v>
      </c>
      <c r="D156" s="2" t="str" cm="1">
        <f t="array" ref="D156">_xlfn.IFS( AND(C156&gt;=18, C156&lt;=25), "Emerging Adults",  AND(C156&gt;=26, C156&lt;=35),  "Young Adults",  AND(C156&gt;=36, C156&lt;=45),  "Midlife Adults",  AND(C156&gt;=46, C156&lt;=55), "Mature Adults", C156&gt;=56,  "Older Adults", TRUE, "Age Not Mentioned")</f>
        <v>Emerging Adults</v>
      </c>
      <c r="E156" s="2" t="str">
        <f>VLOOKUP(user_activity!A198,users_details!$A$1:$G$34,6,0)</f>
        <v>Washington Heights, Manhattan</v>
      </c>
      <c r="F156" s="2" t="str">
        <f>VLOOKUP(user_activity!A198,users_details!$A$1:$G$34,7,0)</f>
        <v>Washington Heights</v>
      </c>
      <c r="G156" s="2" t="s">
        <v>71</v>
      </c>
      <c r="H156" s="7">
        <v>42477</v>
      </c>
      <c r="I156" s="9" t="str">
        <f t="shared" si="10"/>
        <v>Sunday</v>
      </c>
      <c r="J156" s="9" t="str">
        <f t="shared" si="11"/>
        <v>April</v>
      </c>
      <c r="K156" s="2">
        <v>8.8699998860000004</v>
      </c>
      <c r="L156" s="2">
        <v>8.8699998860000004</v>
      </c>
      <c r="M156" s="2">
        <v>0</v>
      </c>
      <c r="N156" s="2">
        <v>0</v>
      </c>
      <c r="O156" s="2">
        <v>7.0000000000000007E-2</v>
      </c>
      <c r="P156" s="2">
        <v>8.7899999619999996</v>
      </c>
      <c r="Q156" s="2">
        <v>0</v>
      </c>
      <c r="R156" s="2">
        <v>58</v>
      </c>
      <c r="S156" s="2">
        <v>15</v>
      </c>
      <c r="T156" s="2">
        <v>307</v>
      </c>
      <c r="U156" s="2">
        <f t="shared" si="12"/>
        <v>380</v>
      </c>
      <c r="V156" s="2">
        <v>1060</v>
      </c>
      <c r="W156" s="2">
        <v>15118</v>
      </c>
      <c r="X156" s="2">
        <f t="shared" si="13"/>
        <v>15118</v>
      </c>
      <c r="Y156" s="2">
        <v>3545</v>
      </c>
      <c r="Z156" t="str" cm="1">
        <f t="array" ref="Z156">_xlfn.IFS(OR(R156&gt;66, S156&gt;38), "High Engagement", OR(AND(R156&gt;32, R156&lt;=66), AND(S156&gt;19, S156&lt;=38)), "Medium-High Engagement", OR(AND(R156&gt;4, R156&lt;=32), AND(S156&gt;6, S156&lt;=19)),"Medium Engagement", TRUE, "Low Engagement"
)</f>
        <v>Medium-High Engagement</v>
      </c>
      <c r="AA156">
        <f t="shared" si="14"/>
        <v>0.23448868898002381</v>
      </c>
    </row>
    <row r="157" spans="1:27" x14ac:dyDescent="0.35">
      <c r="A157" s="2">
        <v>5553957443</v>
      </c>
      <c r="B157" s="2" t="s">
        <v>102</v>
      </c>
      <c r="C157" s="2">
        <f>VLOOKUP(user_activity!A246,users_details!$A$1:$G$34,5,0)</f>
        <v>29</v>
      </c>
      <c r="D157" s="2" t="str" cm="1">
        <f t="array" ref="D157">_xlfn.IFS( AND(C157&gt;=18, C157&lt;=25), "Emerging Adults",  AND(C157&gt;=26, C157&lt;=35),  "Young Adults",  AND(C157&gt;=36, C157&lt;=45),  "Midlife Adults",  AND(C157&gt;=46, C157&lt;=55), "Mature Adults", C157&gt;=56,  "Older Adults", TRUE, "Age Not Mentioned")</f>
        <v>Young Adults</v>
      </c>
      <c r="E157" s="2" t="str">
        <f>VLOOKUP(user_activity!A246,users_details!$A$1:$G$34,6,0)</f>
        <v>East Village, Manhattan</v>
      </c>
      <c r="F157" s="2" t="str">
        <f>VLOOKUP(user_activity!A246,users_details!$A$1:$G$34,7,0)</f>
        <v>East Village</v>
      </c>
      <c r="G157" s="2" t="s">
        <v>72</v>
      </c>
      <c r="H157" s="7">
        <v>42495</v>
      </c>
      <c r="I157" s="9" t="str">
        <f t="shared" si="10"/>
        <v>Thursday</v>
      </c>
      <c r="J157" s="9" t="str">
        <f t="shared" si="11"/>
        <v>May</v>
      </c>
      <c r="K157" s="2">
        <v>9.5100002289999992</v>
      </c>
      <c r="L157" s="2">
        <v>9.5100002289999992</v>
      </c>
      <c r="M157" s="2">
        <v>0</v>
      </c>
      <c r="N157" s="2">
        <v>3.4300000669999999</v>
      </c>
      <c r="O157" s="2">
        <v>1.6599999670000001</v>
      </c>
      <c r="P157" s="2">
        <v>4.4299998279999997</v>
      </c>
      <c r="Q157" s="2">
        <v>0</v>
      </c>
      <c r="R157" s="2">
        <v>44</v>
      </c>
      <c r="S157" s="2">
        <v>29</v>
      </c>
      <c r="T157" s="2">
        <v>241</v>
      </c>
      <c r="U157" s="2">
        <f t="shared" si="12"/>
        <v>314</v>
      </c>
      <c r="V157" s="2">
        <v>692</v>
      </c>
      <c r="W157" s="2">
        <v>14331</v>
      </c>
      <c r="X157" s="2">
        <f t="shared" si="13"/>
        <v>14331</v>
      </c>
      <c r="Y157" s="2">
        <v>2156</v>
      </c>
      <c r="Z157" t="str" cm="1">
        <f t="array" ref="Z157">_xlfn.IFS(OR(R157&gt;66, S157&gt;38), "High Engagement", OR(AND(R157&gt;32, R157&lt;=66), AND(S157&gt;19, S157&lt;=38)), "Medium-High Engagement", OR(AND(R157&gt;4, R157&lt;=32), AND(S157&gt;6, S157&lt;=19)),"Medium Engagement", TRUE, "Low Engagement"
)</f>
        <v>Medium-High Engagement</v>
      </c>
      <c r="AA157">
        <f t="shared" si="14"/>
        <v>0.15044309538762124</v>
      </c>
    </row>
    <row r="158" spans="1:27" x14ac:dyDescent="0.35">
      <c r="A158" s="2">
        <v>8877689391</v>
      </c>
      <c r="B158" s="2" t="s">
        <v>98</v>
      </c>
      <c r="C158" s="2">
        <f>VLOOKUP(user_activity!A253,users_details!$A$1:$G$34,5,0)</f>
        <v>29</v>
      </c>
      <c r="D158" s="2" t="str" cm="1">
        <f t="array" ref="D158">_xlfn.IFS( AND(C158&gt;=18, C158&lt;=25), "Emerging Adults",  AND(C158&gt;=26, C158&lt;=35),  "Young Adults",  AND(C158&gt;=36, C158&lt;=45),  "Midlife Adults",  AND(C158&gt;=46, C158&lt;=55), "Mature Adults", C158&gt;=56,  "Older Adults", TRUE, "Age Not Mentioned")</f>
        <v>Young Adults</v>
      </c>
      <c r="E158" s="2" t="str">
        <f>VLOOKUP(user_activity!A253,users_details!$A$1:$G$34,6,0)</f>
        <v>Crown Heights, Brooklyn</v>
      </c>
      <c r="F158" s="2" t="str">
        <f>VLOOKUP(user_activity!A253,users_details!$A$1:$G$34,7,0)</f>
        <v>Crown Heights</v>
      </c>
      <c r="G158" s="2" t="s">
        <v>71</v>
      </c>
      <c r="H158" s="7">
        <v>42405</v>
      </c>
      <c r="I158" s="9" t="str">
        <f t="shared" si="10"/>
        <v>Friday</v>
      </c>
      <c r="J158" s="9" t="str">
        <f t="shared" si="11"/>
        <v>February</v>
      </c>
      <c r="K158" s="2">
        <v>3.6400001049999999</v>
      </c>
      <c r="L158" s="2">
        <v>3.6400001049999999</v>
      </c>
      <c r="M158" s="2">
        <v>0</v>
      </c>
      <c r="N158" s="2">
        <v>0</v>
      </c>
      <c r="O158" s="2">
        <v>0</v>
      </c>
      <c r="P158" s="2">
        <v>3.5599999430000002</v>
      </c>
      <c r="Q158" s="2">
        <v>0</v>
      </c>
      <c r="R158" s="2">
        <v>0</v>
      </c>
      <c r="S158" s="2">
        <v>0</v>
      </c>
      <c r="T158" s="2">
        <v>105</v>
      </c>
      <c r="U158" s="2">
        <f t="shared" si="12"/>
        <v>105</v>
      </c>
      <c r="V158" s="2">
        <v>1335</v>
      </c>
      <c r="W158" s="2">
        <v>4790</v>
      </c>
      <c r="X158" s="2">
        <f t="shared" si="13"/>
        <v>4790</v>
      </c>
      <c r="Y158" s="2">
        <v>2189</v>
      </c>
      <c r="Z158" t="str" cm="1">
        <f t="array" ref="Z158">_xlfn.IFS(OR(R158&gt;66, S158&gt;38), "High Engagement", OR(AND(R158&gt;32, R158&lt;=66), AND(S158&gt;19, S158&lt;=38)), "Medium-High Engagement", OR(AND(R158&gt;4, R158&lt;=32), AND(S158&gt;6, S158&lt;=19)),"Medium Engagement", TRUE, "Low Engagement"
)</f>
        <v>Low Engagement</v>
      </c>
      <c r="AA158">
        <f t="shared" si="14"/>
        <v>0.45699373695198331</v>
      </c>
    </row>
    <row r="159" spans="1:27" x14ac:dyDescent="0.35">
      <c r="A159" s="2">
        <v>5553957443</v>
      </c>
      <c r="B159" s="2" t="s">
        <v>102</v>
      </c>
      <c r="C159" s="2">
        <f>VLOOKUP(user_activity!A267,users_details!$A$1:$G$34,5,0)</f>
        <v>29</v>
      </c>
      <c r="D159" s="2" t="str" cm="1">
        <f t="array" ref="D159">_xlfn.IFS( AND(C159&gt;=18, C159&lt;=25), "Emerging Adults",  AND(C159&gt;=26, C159&lt;=35),  "Young Adults",  AND(C159&gt;=36, C159&lt;=45),  "Midlife Adults",  AND(C159&gt;=46, C159&lt;=55), "Mature Adults", C159&gt;=56,  "Older Adults", TRUE, "Age Not Mentioned")</f>
        <v>Young Adults</v>
      </c>
      <c r="E159" s="2" t="str">
        <f>VLOOKUP(user_activity!A267,users_details!$A$1:$G$34,6,0)</f>
        <v>Crown Heights, Brooklyn</v>
      </c>
      <c r="F159" s="2" t="str">
        <f>VLOOKUP(user_activity!A267,users_details!$A$1:$G$34,7,0)</f>
        <v>Crown Heights</v>
      </c>
      <c r="G159" s="2" t="s">
        <v>72</v>
      </c>
      <c r="H159" s="7">
        <v>42477</v>
      </c>
      <c r="I159" s="9" t="str">
        <f t="shared" si="10"/>
        <v>Sunday</v>
      </c>
      <c r="J159" s="9" t="str">
        <f t="shared" si="11"/>
        <v>April</v>
      </c>
      <c r="K159" s="2">
        <v>0.43000000700000002</v>
      </c>
      <c r="L159" s="2">
        <v>0.43000000700000002</v>
      </c>
      <c r="M159" s="2">
        <v>0</v>
      </c>
      <c r="N159" s="2">
        <v>0</v>
      </c>
      <c r="O159" s="2">
        <v>0</v>
      </c>
      <c r="P159" s="2">
        <v>0.43000000700000002</v>
      </c>
      <c r="Q159" s="2">
        <v>0</v>
      </c>
      <c r="R159" s="2">
        <v>0</v>
      </c>
      <c r="S159" s="2">
        <v>0</v>
      </c>
      <c r="T159" s="2">
        <v>46</v>
      </c>
      <c r="U159" s="2">
        <f t="shared" si="12"/>
        <v>46</v>
      </c>
      <c r="V159" s="2">
        <v>943</v>
      </c>
      <c r="W159" s="2">
        <v>655</v>
      </c>
      <c r="X159" s="2">
        <f t="shared" si="13"/>
        <v>655</v>
      </c>
      <c r="Y159" s="2">
        <v>1397</v>
      </c>
      <c r="Z159" t="str" cm="1">
        <f t="array" ref="Z159">_xlfn.IFS(OR(R159&gt;66, S159&gt;38), "High Engagement", OR(AND(R159&gt;32, R159&lt;=66), AND(S159&gt;19, S159&lt;=38)), "Medium-High Engagement", OR(AND(R159&gt;4, R159&lt;=32), AND(S159&gt;6, S159&lt;=19)),"Medium Engagement", TRUE, "Low Engagement"
)</f>
        <v>Low Engagement</v>
      </c>
      <c r="AA159">
        <f t="shared" si="14"/>
        <v>2.1328244274809158</v>
      </c>
    </row>
    <row r="160" spans="1:27" x14ac:dyDescent="0.35">
      <c r="A160" s="2">
        <v>5553957443</v>
      </c>
      <c r="B160" s="2" t="s">
        <v>102</v>
      </c>
      <c r="C160" s="2">
        <f>VLOOKUP(user_activity!A272,users_details!$A$1:$G$34,5,0)</f>
        <v>29</v>
      </c>
      <c r="D160" s="2" t="str" cm="1">
        <f t="array" ref="D160">_xlfn.IFS( AND(C160&gt;=18, C160&lt;=25), "Emerging Adults",  AND(C160&gt;=26, C160&lt;=35),  "Young Adults",  AND(C160&gt;=36, C160&lt;=45),  "Midlife Adults",  AND(C160&gt;=46, C160&lt;=55), "Mature Adults", C160&gt;=56,  "Older Adults", TRUE, "Age Not Mentioned")</f>
        <v>Young Adults</v>
      </c>
      <c r="E160" s="2" t="str">
        <f>VLOOKUP(user_activity!A272,users_details!$A$1:$G$34,6,0)</f>
        <v>Crown Heights, Brooklyn</v>
      </c>
      <c r="F160" s="2" t="str">
        <f>VLOOKUP(user_activity!A272,users_details!$A$1:$G$34,7,0)</f>
        <v>Crown Heights</v>
      </c>
      <c r="G160" s="2" t="s">
        <v>72</v>
      </c>
      <c r="H160" s="7">
        <v>42481</v>
      </c>
      <c r="I160" s="9" t="str">
        <f t="shared" si="10"/>
        <v>Thursday</v>
      </c>
      <c r="J160" s="9" t="str">
        <f t="shared" si="11"/>
        <v>April</v>
      </c>
      <c r="K160" s="2">
        <v>8.0600004199999997</v>
      </c>
      <c r="L160" s="2">
        <v>8.0600004199999997</v>
      </c>
      <c r="M160" s="2">
        <v>0</v>
      </c>
      <c r="N160" s="2">
        <v>2.9500000480000002</v>
      </c>
      <c r="O160" s="2">
        <v>2.1600000860000002</v>
      </c>
      <c r="P160" s="2">
        <v>2.960000038</v>
      </c>
      <c r="Q160" s="2">
        <v>0</v>
      </c>
      <c r="R160" s="2">
        <v>47</v>
      </c>
      <c r="S160" s="2">
        <v>42</v>
      </c>
      <c r="T160" s="2">
        <v>177</v>
      </c>
      <c r="U160" s="2">
        <f t="shared" si="12"/>
        <v>266</v>
      </c>
      <c r="V160" s="2">
        <v>801</v>
      </c>
      <c r="W160" s="2">
        <v>12346</v>
      </c>
      <c r="X160" s="2">
        <f t="shared" si="13"/>
        <v>12346</v>
      </c>
      <c r="Y160" s="2">
        <v>2066</v>
      </c>
      <c r="Z160" t="str" cm="1">
        <f t="array" ref="Z160">_xlfn.IFS(OR(R160&gt;66, S160&gt;38), "High Engagement", OR(AND(R160&gt;32, R160&lt;=66), AND(S160&gt;19, S160&lt;=38)), "Medium-High Engagement", OR(AND(R160&gt;4, R160&lt;=32), AND(S160&gt;6, S160&lt;=19)),"Medium Engagement", TRUE, "Low Engagement"
)</f>
        <v>High Engagement</v>
      </c>
      <c r="AA160">
        <f t="shared" si="14"/>
        <v>0.16734164911712296</v>
      </c>
    </row>
    <row r="161" spans="1:27" x14ac:dyDescent="0.35">
      <c r="A161" s="2">
        <v>8877689391</v>
      </c>
      <c r="B161" s="2" t="s">
        <v>98</v>
      </c>
      <c r="C161" s="2">
        <f>VLOOKUP(user_activity!A283,users_details!$A$1:$G$34,5,0)</f>
        <v>29</v>
      </c>
      <c r="D161" s="2" t="str" cm="1">
        <f t="array" ref="D161">_xlfn.IFS( AND(C161&gt;=18, C161&lt;=25), "Emerging Adults",  AND(C161&gt;=26, C161&lt;=35),  "Young Adults",  AND(C161&gt;=36, C161&lt;=45),  "Midlife Adults",  AND(C161&gt;=46, C161&lt;=55), "Mature Adults", C161&gt;=56,  "Older Adults", TRUE, "Age Not Mentioned")</f>
        <v>Young Adults</v>
      </c>
      <c r="E161" s="2" t="str">
        <f>VLOOKUP(user_activity!A283,users_details!$A$1:$G$34,6,0)</f>
        <v>Crown Heights, Brooklyn</v>
      </c>
      <c r="F161" s="2" t="str">
        <f>VLOOKUP(user_activity!A283,users_details!$A$1:$G$34,7,0)</f>
        <v>Crown Heights</v>
      </c>
      <c r="G161" s="2" t="s">
        <v>71</v>
      </c>
      <c r="H161" s="7">
        <v>42679</v>
      </c>
      <c r="I161" s="9" t="str">
        <f t="shared" si="10"/>
        <v>Saturday</v>
      </c>
      <c r="J161" s="9" t="str">
        <f t="shared" si="11"/>
        <v>November</v>
      </c>
      <c r="K161" s="2">
        <v>19.559999470000001</v>
      </c>
      <c r="L161" s="2">
        <v>19.559999470000001</v>
      </c>
      <c r="M161" s="2">
        <v>0</v>
      </c>
      <c r="N161" s="2">
        <v>13.22000027</v>
      </c>
      <c r="O161" s="2">
        <v>0.40999999599999998</v>
      </c>
      <c r="P161" s="2">
        <v>5.8899998660000001</v>
      </c>
      <c r="Q161" s="2">
        <v>0</v>
      </c>
      <c r="R161" s="2">
        <v>88</v>
      </c>
      <c r="S161" s="2">
        <v>12</v>
      </c>
      <c r="T161" s="2">
        <v>213</v>
      </c>
      <c r="U161" s="2">
        <f t="shared" si="12"/>
        <v>313</v>
      </c>
      <c r="V161" s="2">
        <v>1127</v>
      </c>
      <c r="W161" s="2">
        <v>21420</v>
      </c>
      <c r="X161" s="2">
        <f t="shared" si="13"/>
        <v>21420</v>
      </c>
      <c r="Y161" s="2">
        <v>3832</v>
      </c>
      <c r="Z161" t="str" cm="1">
        <f t="array" ref="Z161">_xlfn.IFS(OR(R161&gt;66, S161&gt;38), "High Engagement", OR(AND(R161&gt;32, R161&lt;=66), AND(S161&gt;19, S161&lt;=38)), "Medium-High Engagement", OR(AND(R161&gt;4, R161&lt;=32), AND(S161&gt;6, S161&lt;=19)),"Medium Engagement", TRUE, "Low Engagement"
)</f>
        <v>High Engagement</v>
      </c>
      <c r="AA161">
        <f t="shared" si="14"/>
        <v>0.17889822595704949</v>
      </c>
    </row>
    <row r="162" spans="1:27" x14ac:dyDescent="0.35">
      <c r="A162" s="2">
        <v>5553957443</v>
      </c>
      <c r="B162" s="2" t="s">
        <v>102</v>
      </c>
      <c r="C162" s="2">
        <f>VLOOKUP(user_activity!A295,users_details!$A$1:$G$34,5,0)</f>
        <v>29</v>
      </c>
      <c r="D162" s="2" t="str" cm="1">
        <f t="array" ref="D162">_xlfn.IFS( AND(C162&gt;=18, C162&lt;=25), "Emerging Adults",  AND(C162&gt;=26, C162&lt;=35),  "Young Adults",  AND(C162&gt;=36, C162&lt;=45),  "Midlife Adults",  AND(C162&gt;=46, C162&lt;=55), "Mature Adults", C162&gt;=56,  "Older Adults", TRUE, "Age Not Mentioned")</f>
        <v>Young Adults</v>
      </c>
      <c r="E162" s="2" t="str">
        <f>VLOOKUP(user_activity!A295,users_details!$A$1:$G$34,6,0)</f>
        <v>East Village, Manhattan</v>
      </c>
      <c r="F162" s="2" t="str">
        <f>VLOOKUP(user_activity!A295,users_details!$A$1:$G$34,7,0)</f>
        <v>East Village</v>
      </c>
      <c r="G162" s="2" t="s">
        <v>72</v>
      </c>
      <c r="H162" s="7">
        <v>42487</v>
      </c>
      <c r="I162" s="9" t="str">
        <f t="shared" si="10"/>
        <v>Wednesday</v>
      </c>
      <c r="J162" s="9" t="str">
        <f t="shared" si="11"/>
        <v>April</v>
      </c>
      <c r="K162" s="2">
        <v>6.8800001139999996</v>
      </c>
      <c r="L162" s="2">
        <v>6.8800001139999996</v>
      </c>
      <c r="M162" s="2">
        <v>0</v>
      </c>
      <c r="N162" s="2">
        <v>1.1399999860000001</v>
      </c>
      <c r="O162" s="2">
        <v>1</v>
      </c>
      <c r="P162" s="2">
        <v>4.7399997709999999</v>
      </c>
      <c r="Q162" s="2">
        <v>0</v>
      </c>
      <c r="R162" s="2">
        <v>16</v>
      </c>
      <c r="S162" s="2">
        <v>16</v>
      </c>
      <c r="T162" s="2">
        <v>206</v>
      </c>
      <c r="U162" s="2">
        <f t="shared" si="12"/>
        <v>238</v>
      </c>
      <c r="V162" s="2">
        <v>745</v>
      </c>
      <c r="W162" s="2">
        <v>10538</v>
      </c>
      <c r="X162" s="2">
        <f t="shared" si="13"/>
        <v>10538</v>
      </c>
      <c r="Y162" s="2">
        <v>1922</v>
      </c>
      <c r="Z162" t="str" cm="1">
        <f t="array" ref="Z162">_xlfn.IFS(OR(R162&gt;66, S162&gt;38), "High Engagement", OR(AND(R162&gt;32, R162&lt;=66), AND(S162&gt;19, S162&lt;=38)), "Medium-High Engagement", OR(AND(R162&gt;4, R162&lt;=32), AND(S162&gt;6, S162&lt;=19)),"Medium Engagement", TRUE, "Low Engagement"
)</f>
        <v>Medium Engagement</v>
      </c>
      <c r="AA162">
        <f t="shared" si="14"/>
        <v>0.18238754981970012</v>
      </c>
    </row>
    <row r="163" spans="1:27" x14ac:dyDescent="0.35">
      <c r="A163" s="2">
        <v>5553957443</v>
      </c>
      <c r="B163" s="2" t="s">
        <v>102</v>
      </c>
      <c r="C163" s="2">
        <f>VLOOKUP(user_activity!A331,users_details!$A$1:$G$34,5,0)</f>
        <v>30</v>
      </c>
      <c r="D163" s="2" t="str" cm="1">
        <f t="array" ref="D163">_xlfn.IFS( AND(C163&gt;=18, C163&lt;=25), "Emerging Adults",  AND(C163&gt;=26, C163&lt;=35),  "Young Adults",  AND(C163&gt;=36, C163&lt;=45),  "Midlife Adults",  AND(C163&gt;=46, C163&lt;=55), "Mature Adults", C163&gt;=56,  "Older Adults", TRUE, "Age Not Mentioned")</f>
        <v>Young Adults</v>
      </c>
      <c r="E163" s="2" t="str">
        <f>VLOOKUP(user_activity!A331,users_details!$A$1:$G$34,6,0)</f>
        <v>Clinton Hill, Brooklyn</v>
      </c>
      <c r="F163" s="2" t="str">
        <f>VLOOKUP(user_activity!A331,users_details!$A$1:$G$34,7,0)</f>
        <v>Clinton Hill</v>
      </c>
      <c r="G163" s="2" t="s">
        <v>72</v>
      </c>
      <c r="H163" s="7">
        <v>42483</v>
      </c>
      <c r="I163" s="9" t="str">
        <f t="shared" si="10"/>
        <v>Saturday</v>
      </c>
      <c r="J163" s="9" t="str">
        <f t="shared" si="11"/>
        <v>April</v>
      </c>
      <c r="K163" s="2">
        <v>2.6900000569999998</v>
      </c>
      <c r="L163" s="2">
        <v>2.6900000569999998</v>
      </c>
      <c r="M163" s="2">
        <v>0</v>
      </c>
      <c r="N163" s="2">
        <v>0</v>
      </c>
      <c r="O163" s="2">
        <v>0</v>
      </c>
      <c r="P163" s="2">
        <v>2.6800000669999999</v>
      </c>
      <c r="Q163" s="2">
        <v>0</v>
      </c>
      <c r="R163" s="2">
        <v>0</v>
      </c>
      <c r="S163" s="2">
        <v>0</v>
      </c>
      <c r="T163" s="2">
        <v>272</v>
      </c>
      <c r="U163" s="2">
        <f t="shared" si="12"/>
        <v>272</v>
      </c>
      <c r="V163" s="2">
        <v>443</v>
      </c>
      <c r="W163" s="2">
        <v>4112</v>
      </c>
      <c r="X163" s="2">
        <f t="shared" si="13"/>
        <v>4112</v>
      </c>
      <c r="Y163" s="2">
        <v>1776</v>
      </c>
      <c r="Z163" t="str" cm="1">
        <f t="array" ref="Z163">_xlfn.IFS(OR(R163&gt;66, S163&gt;38), "High Engagement", OR(AND(R163&gt;32, R163&lt;=66), AND(S163&gt;19, S163&lt;=38)), "Medium-High Engagement", OR(AND(R163&gt;4, R163&lt;=32), AND(S163&gt;6, S163&lt;=19)),"Medium Engagement", TRUE, "Low Engagement"
)</f>
        <v>Low Engagement</v>
      </c>
      <c r="AA163">
        <f t="shared" si="14"/>
        <v>0.43190661478599224</v>
      </c>
    </row>
    <row r="164" spans="1:27" x14ac:dyDescent="0.35">
      <c r="A164" s="2">
        <v>5553957443</v>
      </c>
      <c r="B164" s="2" t="s">
        <v>102</v>
      </c>
      <c r="C164" s="2">
        <f>VLOOKUP(user_activity!A336,users_details!$A$1:$G$34,5,0)</f>
        <v>30</v>
      </c>
      <c r="D164" s="2" t="str" cm="1">
        <f t="array" ref="D164">_xlfn.IFS( AND(C164&gt;=18, C164&lt;=25), "Emerging Adults",  AND(C164&gt;=26, C164&lt;=35),  "Young Adults",  AND(C164&gt;=36, C164&lt;=45),  "Midlife Adults",  AND(C164&gt;=46, C164&lt;=55), "Mature Adults", C164&gt;=56,  "Older Adults", TRUE, "Age Not Mentioned")</f>
        <v>Young Adults</v>
      </c>
      <c r="E164" s="2" t="str">
        <f>VLOOKUP(user_activity!A336,users_details!$A$1:$G$34,6,0)</f>
        <v>Midtown, Manhattan</v>
      </c>
      <c r="F164" s="2" t="str">
        <f>VLOOKUP(user_activity!A336,users_details!$A$1:$G$34,7,0)</f>
        <v>Midtown</v>
      </c>
      <c r="G164" s="2" t="s">
        <v>72</v>
      </c>
      <c r="H164" s="7">
        <v>42485</v>
      </c>
      <c r="I164" s="9" t="str">
        <f t="shared" si="10"/>
        <v>Monday</v>
      </c>
      <c r="J164" s="9" t="str">
        <f t="shared" si="11"/>
        <v>April</v>
      </c>
      <c r="K164" s="2">
        <v>7.1900000569999998</v>
      </c>
      <c r="L164" s="2">
        <v>7.1900000569999998</v>
      </c>
      <c r="M164" s="2">
        <v>0</v>
      </c>
      <c r="N164" s="2">
        <v>2.9300000669999999</v>
      </c>
      <c r="O164" s="2">
        <v>0.56999999300000004</v>
      </c>
      <c r="P164" s="2">
        <v>3.6900000569999998</v>
      </c>
      <c r="Q164" s="2">
        <v>0</v>
      </c>
      <c r="R164" s="2">
        <v>51</v>
      </c>
      <c r="S164" s="2">
        <v>11</v>
      </c>
      <c r="T164" s="2">
        <v>201</v>
      </c>
      <c r="U164" s="2">
        <f t="shared" si="12"/>
        <v>263</v>
      </c>
      <c r="V164" s="2">
        <v>732</v>
      </c>
      <c r="W164" s="2">
        <v>10946</v>
      </c>
      <c r="X164" s="2">
        <f t="shared" si="13"/>
        <v>10946</v>
      </c>
      <c r="Y164" s="2">
        <v>2033</v>
      </c>
      <c r="Z164" t="str" cm="1">
        <f t="array" ref="Z164">_xlfn.IFS(OR(R164&gt;66, S164&gt;38), "High Engagement", OR(AND(R164&gt;32, R164&lt;=66), AND(S164&gt;19, S164&lt;=38)), "Medium-High Engagement", OR(AND(R164&gt;4, R164&lt;=32), AND(S164&gt;6, S164&lt;=19)),"Medium Engagement", TRUE, "Low Engagement"
)</f>
        <v>Medium-High Engagement</v>
      </c>
      <c r="AA164">
        <f t="shared" si="14"/>
        <v>0.18572994701260734</v>
      </c>
    </row>
    <row r="165" spans="1:27" x14ac:dyDescent="0.35">
      <c r="A165" s="2">
        <v>5553957443</v>
      </c>
      <c r="B165" s="2" t="s">
        <v>102</v>
      </c>
      <c r="C165" s="2">
        <f>VLOOKUP(user_activity!A382,users_details!$A$1:$G$34,5,0)</f>
        <v>32</v>
      </c>
      <c r="D165" s="2" t="str" cm="1">
        <f t="array" ref="D165">_xlfn.IFS( AND(C165&gt;=18, C165&lt;=25), "Emerging Adults",  AND(C165&gt;=26, C165&lt;=35),  "Young Adults",  AND(C165&gt;=36, C165&lt;=45),  "Midlife Adults",  AND(C165&gt;=46, C165&lt;=55), "Mature Adults", C165&gt;=56,  "Older Adults", TRUE, "Age Not Mentioned")</f>
        <v>Young Adults</v>
      </c>
      <c r="E165" s="2" t="str">
        <f>VLOOKUP(user_activity!A382,users_details!$A$1:$G$34,6,0)</f>
        <v>Greenpoint, Brooklyn</v>
      </c>
      <c r="F165" s="2" t="str">
        <f>VLOOKUP(user_activity!A382,users_details!$A$1:$G$34,7,0)</f>
        <v>Greenpoint</v>
      </c>
      <c r="G165" s="2" t="s">
        <v>72</v>
      </c>
      <c r="H165" s="7">
        <v>42708</v>
      </c>
      <c r="I165" s="9" t="str">
        <f t="shared" si="10"/>
        <v>Sunday</v>
      </c>
      <c r="J165" s="9" t="str">
        <f t="shared" si="11"/>
        <v>December</v>
      </c>
      <c r="K165" s="2">
        <v>7.5700001720000003</v>
      </c>
      <c r="L165" s="2">
        <v>7.5700001720000003</v>
      </c>
      <c r="M165" s="2">
        <v>0</v>
      </c>
      <c r="N165" s="2">
        <v>1.3700000050000001</v>
      </c>
      <c r="O165" s="2">
        <v>0.790000021</v>
      </c>
      <c r="P165" s="2">
        <v>5.4099998469999999</v>
      </c>
      <c r="Q165" s="2">
        <v>0</v>
      </c>
      <c r="R165" s="2">
        <v>19</v>
      </c>
      <c r="S165" s="2">
        <v>13</v>
      </c>
      <c r="T165" s="2">
        <v>277</v>
      </c>
      <c r="U165" s="2">
        <f t="shared" si="12"/>
        <v>309</v>
      </c>
      <c r="V165" s="2">
        <v>767</v>
      </c>
      <c r="W165" s="2">
        <v>11596</v>
      </c>
      <c r="X165" s="2">
        <f t="shared" si="13"/>
        <v>11596</v>
      </c>
      <c r="Y165" s="2">
        <v>2026</v>
      </c>
      <c r="Z165" t="str" cm="1">
        <f t="array" ref="Z165">_xlfn.IFS(OR(R165&gt;66, S165&gt;38), "High Engagement", OR(AND(R165&gt;32, R165&lt;=66), AND(S165&gt;19, S165&lt;=38)), "Medium-High Engagement", OR(AND(R165&gt;4, R165&lt;=32), AND(S165&gt;6, S165&lt;=19)),"Medium Engagement", TRUE, "Low Engagement"
)</f>
        <v>Medium Engagement</v>
      </c>
      <c r="AA165">
        <f t="shared" si="14"/>
        <v>0.17471541911003793</v>
      </c>
    </row>
    <row r="166" spans="1:27" x14ac:dyDescent="0.35">
      <c r="A166" s="2">
        <v>8877689391</v>
      </c>
      <c r="B166" s="2" t="s">
        <v>98</v>
      </c>
      <c r="C166" s="2">
        <f>VLOOKUP(user_activity!A390,users_details!$A$1:$G$34,5,0)</f>
        <v>32</v>
      </c>
      <c r="D166" s="2" t="str" cm="1">
        <f t="array" ref="D166">_xlfn.IFS( AND(C166&gt;=18, C166&lt;=25), "Emerging Adults",  AND(C166&gt;=26, C166&lt;=35),  "Young Adults",  AND(C166&gt;=36, C166&lt;=45),  "Midlife Adults",  AND(C166&gt;=46, C166&lt;=55), "Mature Adults", C166&gt;=56,  "Older Adults", TRUE, "Age Not Mentioned")</f>
        <v>Young Adults</v>
      </c>
      <c r="E166" s="2" t="str">
        <f>VLOOKUP(user_activity!A390,users_details!$A$1:$G$34,6,0)</f>
        <v>Greenpoint, Brooklyn</v>
      </c>
      <c r="F166" s="2" t="str">
        <f>VLOOKUP(user_activity!A390,users_details!$A$1:$G$34,7,0)</f>
        <v>Greenpoint</v>
      </c>
      <c r="G166" s="2" t="s">
        <v>71</v>
      </c>
      <c r="H166" s="7">
        <v>42478</v>
      </c>
      <c r="I166" s="9" t="str">
        <f t="shared" si="10"/>
        <v>Monday</v>
      </c>
      <c r="J166" s="9" t="str">
        <f t="shared" si="11"/>
        <v>April</v>
      </c>
      <c r="K166" s="2">
        <v>8.6700000760000009</v>
      </c>
      <c r="L166" s="2">
        <v>8.6700000760000009</v>
      </c>
      <c r="M166" s="2">
        <v>0</v>
      </c>
      <c r="N166" s="2">
        <v>2.4400000569999998</v>
      </c>
      <c r="O166" s="2">
        <v>0.27000001099999998</v>
      </c>
      <c r="P166" s="2">
        <v>5.9400000569999998</v>
      </c>
      <c r="Q166" s="2">
        <v>0</v>
      </c>
      <c r="R166" s="2">
        <v>29</v>
      </c>
      <c r="S166" s="2">
        <v>5</v>
      </c>
      <c r="T166" s="2">
        <v>191</v>
      </c>
      <c r="U166" s="2">
        <f t="shared" si="12"/>
        <v>225</v>
      </c>
      <c r="V166" s="2">
        <v>1215</v>
      </c>
      <c r="W166" s="2">
        <v>11423</v>
      </c>
      <c r="X166" s="2">
        <f t="shared" si="13"/>
        <v>11423</v>
      </c>
      <c r="Y166" s="2">
        <v>2761</v>
      </c>
      <c r="Z166" t="str" cm="1">
        <f t="array" ref="Z166">_xlfn.IFS(OR(R166&gt;66, S166&gt;38), "High Engagement", OR(AND(R166&gt;32, R166&lt;=66), AND(S166&gt;19, S166&lt;=38)), "Medium-High Engagement", OR(AND(R166&gt;4, R166&lt;=32), AND(S166&gt;6, S166&lt;=19)),"Medium Engagement", TRUE, "Low Engagement"
)</f>
        <v>Medium Engagement</v>
      </c>
      <c r="AA166">
        <f t="shared" si="14"/>
        <v>0.24170533134903266</v>
      </c>
    </row>
    <row r="167" spans="1:27" x14ac:dyDescent="0.35">
      <c r="A167" s="2">
        <v>5553957443</v>
      </c>
      <c r="B167" s="2" t="s">
        <v>102</v>
      </c>
      <c r="C167" s="2">
        <f>VLOOKUP(user_activity!A400,users_details!$A$1:$G$34,5,0)</f>
        <v>32</v>
      </c>
      <c r="D167" s="2" t="str" cm="1">
        <f t="array" ref="D167">_xlfn.IFS( AND(C167&gt;=18, C167&lt;=25), "Emerging Adults",  AND(C167&gt;=26, C167&lt;=35),  "Young Adults",  AND(C167&gt;=36, C167&lt;=45),  "Midlife Adults",  AND(C167&gt;=46, C167&lt;=55), "Mature Adults", C167&gt;=56,  "Older Adults", TRUE, "Age Not Mentioned")</f>
        <v>Young Adults</v>
      </c>
      <c r="E167" s="2" t="str">
        <f>VLOOKUP(user_activity!A400,users_details!$A$1:$G$34,6,0)</f>
        <v>Greenpoint, Brooklyn</v>
      </c>
      <c r="F167" s="2" t="str">
        <f>VLOOKUP(user_activity!A400,users_details!$A$1:$G$34,7,0)</f>
        <v>Greenpoint</v>
      </c>
      <c r="G167" s="2" t="s">
        <v>72</v>
      </c>
      <c r="H167" s="7">
        <v>42484</v>
      </c>
      <c r="I167" s="9" t="str">
        <f t="shared" si="10"/>
        <v>Sunday</v>
      </c>
      <c r="J167" s="9" t="str">
        <f t="shared" si="11"/>
        <v>April</v>
      </c>
      <c r="K167" s="2">
        <v>1.1799999480000001</v>
      </c>
      <c r="L167" s="2">
        <v>1.1799999480000001</v>
      </c>
      <c r="M167" s="2">
        <v>0</v>
      </c>
      <c r="N167" s="2">
        <v>0</v>
      </c>
      <c r="O167" s="2">
        <v>0</v>
      </c>
      <c r="P167" s="2">
        <v>1.1799999480000001</v>
      </c>
      <c r="Q167" s="2">
        <v>0</v>
      </c>
      <c r="R167" s="2">
        <v>0</v>
      </c>
      <c r="S167" s="2">
        <v>0</v>
      </c>
      <c r="T167" s="2">
        <v>104</v>
      </c>
      <c r="U167" s="2">
        <f t="shared" si="12"/>
        <v>104</v>
      </c>
      <c r="V167" s="2">
        <v>582</v>
      </c>
      <c r="W167" s="2">
        <v>1807</v>
      </c>
      <c r="X167" s="2">
        <f t="shared" si="13"/>
        <v>1807</v>
      </c>
      <c r="Y167" s="2">
        <v>1507</v>
      </c>
      <c r="Z167" t="str" cm="1">
        <f t="array" ref="Z167">_xlfn.IFS(OR(R167&gt;66, S167&gt;38), "High Engagement", OR(AND(R167&gt;32, R167&lt;=66), AND(S167&gt;19, S167&lt;=38)), "Medium-High Engagement", OR(AND(R167&gt;4, R167&lt;=32), AND(S167&gt;6, S167&lt;=19)),"Medium Engagement", TRUE, "Low Engagement"
)</f>
        <v>Low Engagement</v>
      </c>
      <c r="AA167">
        <f t="shared" si="14"/>
        <v>0.83397897066961812</v>
      </c>
    </row>
    <row r="168" spans="1:27" x14ac:dyDescent="0.35">
      <c r="A168" s="2">
        <v>8877689391</v>
      </c>
      <c r="B168" s="2" t="s">
        <v>98</v>
      </c>
      <c r="C168" s="2">
        <f>VLOOKUP(user_activity!A409,users_details!$A$1:$G$34,5,0)</f>
        <v>32</v>
      </c>
      <c r="D168" s="2" t="str" cm="1">
        <f t="array" ref="D168">_xlfn.IFS( AND(C168&gt;=18, C168&lt;=25), "Emerging Adults",  AND(C168&gt;=26, C168&lt;=35),  "Young Adults",  AND(C168&gt;=36, C168&lt;=45),  "Midlife Adults",  AND(C168&gt;=46, C168&lt;=55), "Mature Adults", C168&gt;=56,  "Older Adults", TRUE, "Age Not Mentioned")</f>
        <v>Young Adults</v>
      </c>
      <c r="E168" s="2" t="str">
        <f>VLOOKUP(user_activity!A409,users_details!$A$1:$G$34,6,0)</f>
        <v>East Harlem, Manhattan</v>
      </c>
      <c r="F168" s="2" t="str">
        <f>VLOOKUP(user_activity!A409,users_details!$A$1:$G$34,7,0)</f>
        <v>East Harlem</v>
      </c>
      <c r="G168" s="2" t="s">
        <v>71</v>
      </c>
      <c r="H168" s="7">
        <v>42374</v>
      </c>
      <c r="I168" s="9" t="str">
        <f t="shared" si="10"/>
        <v>Tuesday</v>
      </c>
      <c r="J168" s="9" t="str">
        <f t="shared" si="11"/>
        <v>January</v>
      </c>
      <c r="K168" s="2">
        <v>8.3199996949999999</v>
      </c>
      <c r="L168" s="2">
        <v>8.3199996949999999</v>
      </c>
      <c r="M168" s="2">
        <v>0</v>
      </c>
      <c r="N168" s="2">
        <v>3.130000114</v>
      </c>
      <c r="O168" s="2">
        <v>0.56999999300000004</v>
      </c>
      <c r="P168" s="2">
        <v>4.5700001720000003</v>
      </c>
      <c r="Q168" s="2">
        <v>0</v>
      </c>
      <c r="R168" s="2">
        <v>36</v>
      </c>
      <c r="S168" s="2">
        <v>12</v>
      </c>
      <c r="T168" s="2">
        <v>166</v>
      </c>
      <c r="U168" s="2">
        <f t="shared" si="12"/>
        <v>214</v>
      </c>
      <c r="V168" s="2">
        <v>1226</v>
      </c>
      <c r="W168" s="2">
        <v>10930</v>
      </c>
      <c r="X168" s="2">
        <f t="shared" si="13"/>
        <v>10930</v>
      </c>
      <c r="Y168" s="2">
        <v>2786</v>
      </c>
      <c r="Z168" t="str" cm="1">
        <f t="array" ref="Z168">_xlfn.IFS(OR(R168&gt;66, S168&gt;38), "High Engagement", OR(AND(R168&gt;32, R168&lt;=66), AND(S168&gt;19, S168&lt;=38)), "Medium-High Engagement", OR(AND(R168&gt;4, R168&lt;=32), AND(S168&gt;6, S168&lt;=19)),"Medium Engagement", TRUE, "Low Engagement"
)</f>
        <v>Medium-High Engagement</v>
      </c>
      <c r="AA168">
        <f t="shared" si="14"/>
        <v>0.25489478499542545</v>
      </c>
    </row>
    <row r="169" spans="1:27" x14ac:dyDescent="0.35">
      <c r="A169" s="2">
        <v>5553957443</v>
      </c>
      <c r="B169" s="2" t="s">
        <v>102</v>
      </c>
      <c r="C169" s="2">
        <f>VLOOKUP(user_activity!A413,users_details!$A$1:$G$34,5,0)</f>
        <v>32</v>
      </c>
      <c r="D169" s="2" t="str" cm="1">
        <f t="array" ref="D169">_xlfn.IFS( AND(C169&gt;=18, C169&lt;=25), "Emerging Adults",  AND(C169&gt;=26, C169&lt;=35),  "Young Adults",  AND(C169&gt;=36, C169&lt;=45),  "Midlife Adults",  AND(C169&gt;=46, C169&lt;=55), "Mature Adults", C169&gt;=56,  "Older Adults", TRUE, "Age Not Mentioned")</f>
        <v>Young Adults</v>
      </c>
      <c r="E169" s="2" t="str">
        <f>VLOOKUP(user_activity!A413,users_details!$A$1:$G$34,6,0)</f>
        <v>Greenpoint, Brooklyn</v>
      </c>
      <c r="F169" s="2" t="str">
        <f>VLOOKUP(user_activity!A413,users_details!$A$1:$G$34,7,0)</f>
        <v>Greenpoint</v>
      </c>
      <c r="G169" s="2" t="s">
        <v>72</v>
      </c>
      <c r="H169" s="7">
        <v>42434</v>
      </c>
      <c r="I169" s="9" t="str">
        <f t="shared" si="10"/>
        <v>Saturday</v>
      </c>
      <c r="J169" s="9" t="str">
        <f t="shared" si="11"/>
        <v>March</v>
      </c>
      <c r="K169" s="2">
        <v>8.3900003430000005</v>
      </c>
      <c r="L169" s="2">
        <v>8.3900003430000005</v>
      </c>
      <c r="M169" s="2">
        <v>0</v>
      </c>
      <c r="N169" s="2">
        <v>1.5</v>
      </c>
      <c r="O169" s="2">
        <v>1.2000000479999999</v>
      </c>
      <c r="P169" s="2">
        <v>5.6799998279999997</v>
      </c>
      <c r="Q169" s="2">
        <v>0</v>
      </c>
      <c r="R169" s="2">
        <v>26</v>
      </c>
      <c r="S169" s="2">
        <v>29</v>
      </c>
      <c r="T169" s="2">
        <v>247</v>
      </c>
      <c r="U169" s="2">
        <f t="shared" si="12"/>
        <v>302</v>
      </c>
      <c r="V169" s="2">
        <v>812</v>
      </c>
      <c r="W169" s="2">
        <v>12848</v>
      </c>
      <c r="X169" s="2">
        <f t="shared" si="13"/>
        <v>12848</v>
      </c>
      <c r="Y169" s="2">
        <v>2116</v>
      </c>
      <c r="Z169" t="str" cm="1">
        <f t="array" ref="Z169">_xlfn.IFS(OR(R169&gt;66, S169&gt;38), "High Engagement", OR(AND(R169&gt;32, R169&lt;=66), AND(S169&gt;19, S169&lt;=38)), "Medium-High Engagement", OR(AND(R169&gt;4, R169&lt;=32), AND(S169&gt;6, S169&lt;=19)),"Medium Engagement", TRUE, "Low Engagement"
)</f>
        <v>Medium-High Engagement</v>
      </c>
      <c r="AA169">
        <f t="shared" si="14"/>
        <v>0.16469489414694893</v>
      </c>
    </row>
    <row r="170" spans="1:27" x14ac:dyDescent="0.35">
      <c r="A170" s="2">
        <v>8877689391</v>
      </c>
      <c r="B170" s="2" t="s">
        <v>98</v>
      </c>
      <c r="C170" s="2">
        <f>VLOOKUP(user_activity!A425,users_details!$A$1:$G$34,5,0)</f>
        <v>32</v>
      </c>
      <c r="D170" s="2" t="str" cm="1">
        <f t="array" ref="D170">_xlfn.IFS( AND(C170&gt;=18, C170&lt;=25), "Emerging Adults",  AND(C170&gt;=26, C170&lt;=35),  "Young Adults",  AND(C170&gt;=36, C170&lt;=45),  "Midlife Adults",  AND(C170&gt;=46, C170&lt;=55), "Mature Adults", C170&gt;=56,  "Older Adults", TRUE, "Age Not Mentioned")</f>
        <v>Young Adults</v>
      </c>
      <c r="E170" s="2" t="str">
        <f>VLOOKUP(user_activity!A425,users_details!$A$1:$G$34,6,0)</f>
        <v>East Harlem, Manhattan</v>
      </c>
      <c r="F170" s="2" t="str">
        <f>VLOOKUP(user_activity!A425,users_details!$A$1:$G$34,7,0)</f>
        <v>East Harlem</v>
      </c>
      <c r="G170" s="2" t="s">
        <v>71</v>
      </c>
      <c r="H170" s="7">
        <v>42648</v>
      </c>
      <c r="I170" s="9" t="str">
        <f t="shared" si="10"/>
        <v>Wednesday</v>
      </c>
      <c r="J170" s="9" t="str">
        <f t="shared" si="11"/>
        <v>October</v>
      </c>
      <c r="K170" s="2">
        <v>8.1499996190000008</v>
      </c>
      <c r="L170" s="2">
        <v>8.1499996190000008</v>
      </c>
      <c r="M170" s="2">
        <v>0</v>
      </c>
      <c r="N170" s="2">
        <v>1.3500000240000001</v>
      </c>
      <c r="O170" s="2">
        <v>0.46000000800000002</v>
      </c>
      <c r="P170" s="2">
        <v>6.2800002099999999</v>
      </c>
      <c r="Q170" s="2">
        <v>0</v>
      </c>
      <c r="R170" s="2">
        <v>18</v>
      </c>
      <c r="S170" s="2">
        <v>11</v>
      </c>
      <c r="T170" s="2">
        <v>224</v>
      </c>
      <c r="U170" s="2">
        <f t="shared" si="12"/>
        <v>253</v>
      </c>
      <c r="V170" s="2">
        <v>1187</v>
      </c>
      <c r="W170" s="2">
        <v>10733</v>
      </c>
      <c r="X170" s="2">
        <f t="shared" si="13"/>
        <v>10733</v>
      </c>
      <c r="Y170" s="2">
        <v>2832</v>
      </c>
      <c r="Z170" t="str" cm="1">
        <f t="array" ref="Z170">_xlfn.IFS(OR(R170&gt;66, S170&gt;38), "High Engagement", OR(AND(R170&gt;32, R170&lt;=66), AND(S170&gt;19, S170&lt;=38)), "Medium-High Engagement", OR(AND(R170&gt;4, R170&lt;=32), AND(S170&gt;6, S170&lt;=19)),"Medium Engagement", TRUE, "Low Engagement"
)</f>
        <v>Medium Engagement</v>
      </c>
      <c r="AA170">
        <f t="shared" si="14"/>
        <v>0.26385912605981554</v>
      </c>
    </row>
    <row r="171" spans="1:27" x14ac:dyDescent="0.35">
      <c r="A171" s="2">
        <v>5553957443</v>
      </c>
      <c r="B171" s="2" t="s">
        <v>102</v>
      </c>
      <c r="C171" s="2">
        <f>VLOOKUP(user_activity!A434,users_details!$A$1:$G$34,5,0)</f>
        <v>32</v>
      </c>
      <c r="D171" s="2" t="str" cm="1">
        <f t="array" ref="D171">_xlfn.IFS( AND(C171&gt;=18, C171&lt;=25), "Emerging Adults",  AND(C171&gt;=26, C171&lt;=35),  "Young Adults",  AND(C171&gt;=36, C171&lt;=45),  "Midlife Adults",  AND(C171&gt;=46, C171&lt;=55), "Mature Adults", C171&gt;=56,  "Older Adults", TRUE, "Age Not Mentioned")</f>
        <v>Young Adults</v>
      </c>
      <c r="E171" s="2" t="str">
        <f>VLOOKUP(user_activity!A434,users_details!$A$1:$G$34,6,0)</f>
        <v>Greenpoint, Brooklyn</v>
      </c>
      <c r="F171" s="2" t="str">
        <f>VLOOKUP(user_activity!A434,users_details!$A$1:$G$34,7,0)</f>
        <v>Greenpoint</v>
      </c>
      <c r="G171" s="2" t="s">
        <v>72</v>
      </c>
      <c r="H171" s="7">
        <v>42479</v>
      </c>
      <c r="I171" s="9" t="str">
        <f t="shared" si="10"/>
        <v>Tuesday</v>
      </c>
      <c r="J171" s="9" t="str">
        <f t="shared" si="11"/>
        <v>April</v>
      </c>
      <c r="K171" s="2">
        <v>10.10999966</v>
      </c>
      <c r="L171" s="2">
        <v>10.10999966</v>
      </c>
      <c r="M171" s="2">
        <v>0</v>
      </c>
      <c r="N171" s="2">
        <v>4.2800002099999999</v>
      </c>
      <c r="O171" s="2">
        <v>1.6599999670000001</v>
      </c>
      <c r="P171" s="2">
        <v>4.1799998279999997</v>
      </c>
      <c r="Q171" s="2">
        <v>0</v>
      </c>
      <c r="R171" s="2">
        <v>69</v>
      </c>
      <c r="S171" s="2">
        <v>28</v>
      </c>
      <c r="T171" s="2">
        <v>249</v>
      </c>
      <c r="U171" s="2">
        <f t="shared" si="12"/>
        <v>346</v>
      </c>
      <c r="V171" s="2">
        <v>756</v>
      </c>
      <c r="W171" s="2">
        <v>15482</v>
      </c>
      <c r="X171" s="2">
        <f t="shared" si="13"/>
        <v>15482</v>
      </c>
      <c r="Y171" s="2">
        <v>2284</v>
      </c>
      <c r="Z171" t="str" cm="1">
        <f t="array" ref="Z171">_xlfn.IFS(OR(R171&gt;66, S171&gt;38), "High Engagement", OR(AND(R171&gt;32, R171&lt;=66), AND(S171&gt;19, S171&lt;=38)), "Medium-High Engagement", OR(AND(R171&gt;4, R171&lt;=32), AND(S171&gt;6, S171&lt;=19)),"Medium Engagement", TRUE, "Low Engagement"
)</f>
        <v>High Engagement</v>
      </c>
      <c r="AA171">
        <f t="shared" si="14"/>
        <v>0.14752615941092881</v>
      </c>
    </row>
    <row r="172" spans="1:27" x14ac:dyDescent="0.35">
      <c r="A172" s="2">
        <v>5553957443</v>
      </c>
      <c r="B172" s="2" t="s">
        <v>102</v>
      </c>
      <c r="C172" s="2">
        <f>VLOOKUP(user_activity!A457,users_details!$A$1:$G$34,5,0)</f>
        <v>33</v>
      </c>
      <c r="D172" s="2" t="str" cm="1">
        <f t="array" ref="D172">_xlfn.IFS( AND(C172&gt;=18, C172&lt;=25), "Emerging Adults",  AND(C172&gt;=26, C172&lt;=35),  "Young Adults",  AND(C172&gt;=36, C172&lt;=45),  "Midlife Adults",  AND(C172&gt;=46, C172&lt;=55), "Mature Adults", C172&gt;=56,  "Older Adults", TRUE, "Age Not Mentioned")</f>
        <v>Young Adults</v>
      </c>
      <c r="E172" s="2" t="str">
        <f>VLOOKUP(user_activity!A457,users_details!$A$1:$G$34,6,0)</f>
        <v>Harlem, Manhattan</v>
      </c>
      <c r="F172" s="2" t="str">
        <f>VLOOKUP(user_activity!A457,users_details!$A$1:$G$34,7,0)</f>
        <v>Harlem</v>
      </c>
      <c r="G172" s="2" t="s">
        <v>72</v>
      </c>
      <c r="H172" s="7">
        <v>42490</v>
      </c>
      <c r="I172" s="9" t="str">
        <f t="shared" si="10"/>
        <v>Saturday</v>
      </c>
      <c r="J172" s="9" t="str">
        <f t="shared" si="11"/>
        <v>April</v>
      </c>
      <c r="K172" s="2">
        <v>0.77999997099999996</v>
      </c>
      <c r="L172" s="2">
        <v>0.77999997099999996</v>
      </c>
      <c r="M172" s="2">
        <v>0</v>
      </c>
      <c r="N172" s="2">
        <v>0</v>
      </c>
      <c r="O172" s="2">
        <v>0</v>
      </c>
      <c r="P172" s="2">
        <v>0.77999997099999996</v>
      </c>
      <c r="Q172" s="2">
        <v>0</v>
      </c>
      <c r="R172" s="2">
        <v>0</v>
      </c>
      <c r="S172" s="2">
        <v>0</v>
      </c>
      <c r="T172" s="2">
        <v>84</v>
      </c>
      <c r="U172" s="2">
        <f t="shared" si="12"/>
        <v>84</v>
      </c>
      <c r="V172" s="2">
        <v>506</v>
      </c>
      <c r="W172" s="2">
        <v>1202</v>
      </c>
      <c r="X172" s="2">
        <f t="shared" si="13"/>
        <v>1202</v>
      </c>
      <c r="Y172" s="2">
        <v>1463</v>
      </c>
      <c r="Z172" t="str" cm="1">
        <f t="array" ref="Z172">_xlfn.IFS(OR(R172&gt;66, S172&gt;38), "High Engagement", OR(AND(R172&gt;32, R172&lt;=66), AND(S172&gt;19, S172&lt;=38)), "Medium-High Engagement", OR(AND(R172&gt;4, R172&lt;=32), AND(S172&gt;6, S172&lt;=19)),"Medium Engagement", TRUE, "Low Engagement"
)</f>
        <v>Low Engagement</v>
      </c>
      <c r="AA172">
        <f t="shared" si="14"/>
        <v>1.2171381031613977</v>
      </c>
    </row>
    <row r="173" spans="1:27" x14ac:dyDescent="0.35">
      <c r="A173" s="2">
        <v>8877689391</v>
      </c>
      <c r="B173" s="2" t="s">
        <v>98</v>
      </c>
      <c r="C173" s="2">
        <f>VLOOKUP(user_activity!A465,users_details!$A$1:$G$34,5,0)</f>
        <v>33</v>
      </c>
      <c r="D173" s="2" t="str" cm="1">
        <f t="array" ref="D173">_xlfn.IFS( AND(C173&gt;=18, C173&lt;=25), "Emerging Adults",  AND(C173&gt;=26, C173&lt;=35),  "Young Adults",  AND(C173&gt;=36, C173&lt;=45),  "Midlife Adults",  AND(C173&gt;=46, C173&lt;=55), "Mature Adults", C173&gt;=56,  "Older Adults", TRUE, "Age Not Mentioned")</f>
        <v>Young Adults</v>
      </c>
      <c r="E173" s="2" t="str">
        <f>VLOOKUP(user_activity!A465,users_details!$A$1:$G$34,6,0)</f>
        <v>Harlem, Manhattan</v>
      </c>
      <c r="F173" s="2" t="str">
        <f>VLOOKUP(user_activity!A465,users_details!$A$1:$G$34,7,0)</f>
        <v>Harlem</v>
      </c>
      <c r="G173" s="2" t="s">
        <v>71</v>
      </c>
      <c r="H173" s="7">
        <v>42486</v>
      </c>
      <c r="I173" s="9" t="str">
        <f t="shared" si="10"/>
        <v>Tuesday</v>
      </c>
      <c r="J173" s="9" t="str">
        <f t="shared" si="11"/>
        <v>April</v>
      </c>
      <c r="K173" s="2">
        <v>8.4300003050000001</v>
      </c>
      <c r="L173" s="2">
        <v>8.4300003050000001</v>
      </c>
      <c r="M173" s="2">
        <v>0</v>
      </c>
      <c r="N173" s="2">
        <v>1.7599999900000001</v>
      </c>
      <c r="O173" s="2">
        <v>0.12999999500000001</v>
      </c>
      <c r="P173" s="2">
        <v>6.5</v>
      </c>
      <c r="Q173" s="2">
        <v>0</v>
      </c>
      <c r="R173" s="2">
        <v>22</v>
      </c>
      <c r="S173" s="2">
        <v>3</v>
      </c>
      <c r="T173" s="2">
        <v>258</v>
      </c>
      <c r="U173" s="2">
        <f t="shared" si="12"/>
        <v>283</v>
      </c>
      <c r="V173" s="2">
        <v>1157</v>
      </c>
      <c r="W173" s="2">
        <v>11101</v>
      </c>
      <c r="X173" s="2">
        <f t="shared" si="13"/>
        <v>11101</v>
      </c>
      <c r="Y173" s="2">
        <v>2860</v>
      </c>
      <c r="Z173" t="str" cm="1">
        <f t="array" ref="Z173">_xlfn.IFS(OR(R173&gt;66, S173&gt;38), "High Engagement", OR(AND(R173&gt;32, R173&lt;=66), AND(S173&gt;19, S173&lt;=38)), "Medium-High Engagement", OR(AND(R173&gt;4, R173&lt;=32), AND(S173&gt;6, S173&lt;=19)),"Medium Engagement", TRUE, "Low Engagement"
)</f>
        <v>Medium Engagement</v>
      </c>
      <c r="AA173">
        <f t="shared" si="14"/>
        <v>0.25763444734708585</v>
      </c>
    </row>
    <row r="174" spans="1:27" x14ac:dyDescent="0.35">
      <c r="A174" s="2">
        <v>5553957443</v>
      </c>
      <c r="B174" s="2" t="s">
        <v>102</v>
      </c>
      <c r="C174" s="2">
        <f>VLOOKUP(user_activity!A466,users_details!$A$1:$G$34,5,0)</f>
        <v>33</v>
      </c>
      <c r="D174" s="2" t="str" cm="1">
        <f t="array" ref="D174">_xlfn.IFS( AND(C174&gt;=18, C174&lt;=25), "Emerging Adults",  AND(C174&gt;=26, C174&lt;=35),  "Young Adults",  AND(C174&gt;=36, C174&lt;=45),  "Midlife Adults",  AND(C174&gt;=46, C174&lt;=55), "Mature Adults", C174&gt;=56,  "Older Adults", TRUE, "Age Not Mentioned")</f>
        <v>Young Adults</v>
      </c>
      <c r="E174" s="2" t="str">
        <f>VLOOKUP(user_activity!A466,users_details!$A$1:$G$34,6,0)</f>
        <v>Greenpoint, Brooklyn</v>
      </c>
      <c r="F174" s="2" t="str">
        <f>VLOOKUP(user_activity!A466,users_details!$A$1:$G$34,7,0)</f>
        <v>Greenpoint</v>
      </c>
      <c r="G174" s="2" t="s">
        <v>72</v>
      </c>
      <c r="H174" s="7">
        <v>42488</v>
      </c>
      <c r="I174" s="9" t="str">
        <f t="shared" si="10"/>
        <v>Thursday</v>
      </c>
      <c r="J174" s="9" t="str">
        <f t="shared" si="11"/>
        <v>April</v>
      </c>
      <c r="K174" s="2">
        <v>7.6300001139999996</v>
      </c>
      <c r="L174" s="2">
        <v>7.6300001139999996</v>
      </c>
      <c r="M174" s="2">
        <v>0</v>
      </c>
      <c r="N174" s="2">
        <v>3.710000038</v>
      </c>
      <c r="O174" s="2">
        <v>0.75</v>
      </c>
      <c r="P174" s="2">
        <v>3.170000076</v>
      </c>
      <c r="Q174" s="2">
        <v>0</v>
      </c>
      <c r="R174" s="2">
        <v>49</v>
      </c>
      <c r="S174" s="2">
        <v>13</v>
      </c>
      <c r="T174" s="2">
        <v>165</v>
      </c>
      <c r="U174" s="2">
        <f t="shared" si="12"/>
        <v>227</v>
      </c>
      <c r="V174" s="2">
        <v>727</v>
      </c>
      <c r="W174" s="2">
        <v>11393</v>
      </c>
      <c r="X174" s="2">
        <f t="shared" si="13"/>
        <v>11393</v>
      </c>
      <c r="Y174" s="2">
        <v>1999</v>
      </c>
      <c r="Z174" t="str" cm="1">
        <f t="array" ref="Z174">_xlfn.IFS(OR(R174&gt;66, S174&gt;38), "High Engagement", OR(AND(R174&gt;32, R174&lt;=66), AND(S174&gt;19, S174&lt;=38)), "Medium-High Engagement", OR(AND(R174&gt;4, R174&lt;=32), AND(S174&gt;6, S174&lt;=19)),"Medium Engagement", TRUE, "Low Engagement"
)</f>
        <v>Medium-High Engagement</v>
      </c>
      <c r="AA174">
        <f t="shared" si="14"/>
        <v>0.17545861493899764</v>
      </c>
    </row>
    <row r="175" spans="1:27" x14ac:dyDescent="0.35">
      <c r="A175" s="2">
        <v>5553957443</v>
      </c>
      <c r="B175" s="2" t="s">
        <v>102</v>
      </c>
      <c r="C175" s="2">
        <f>VLOOKUP(user_activity!A470,users_details!$A$1:$G$34,5,0)</f>
        <v>33</v>
      </c>
      <c r="D175" s="2" t="str" cm="1">
        <f t="array" ref="D175">_xlfn.IFS( AND(C175&gt;=18, C175&lt;=25), "Emerging Adults",  AND(C175&gt;=26, C175&lt;=35),  "Young Adults",  AND(C175&gt;=36, C175&lt;=45),  "Midlife Adults",  AND(C175&gt;=46, C175&lt;=55), "Mature Adults", C175&gt;=56,  "Older Adults", TRUE, "Age Not Mentioned")</f>
        <v>Young Adults</v>
      </c>
      <c r="E175" s="2" t="str">
        <f>VLOOKUP(user_activity!A470,users_details!$A$1:$G$34,6,0)</f>
        <v>Harlem, Manhattan</v>
      </c>
      <c r="F175" s="2" t="str">
        <f>VLOOKUP(user_activity!A470,users_details!$A$1:$G$34,7,0)</f>
        <v>Harlem</v>
      </c>
      <c r="G175" s="2" t="s">
        <v>72</v>
      </c>
      <c r="H175" s="7">
        <v>42478</v>
      </c>
      <c r="I175" s="9" t="str">
        <f t="shared" si="10"/>
        <v>Monday</v>
      </c>
      <c r="J175" s="9" t="str">
        <f t="shared" si="11"/>
        <v>April</v>
      </c>
      <c r="K175" s="2">
        <v>2.4300000669999999</v>
      </c>
      <c r="L175" s="2">
        <v>2.4300000669999999</v>
      </c>
      <c r="M175" s="2">
        <v>0</v>
      </c>
      <c r="N175" s="2">
        <v>0</v>
      </c>
      <c r="O175" s="2">
        <v>0</v>
      </c>
      <c r="P175" s="2">
        <v>2.4300000669999999</v>
      </c>
      <c r="Q175" s="2">
        <v>0</v>
      </c>
      <c r="R175" s="2">
        <v>0</v>
      </c>
      <c r="S175" s="2">
        <v>0</v>
      </c>
      <c r="T175" s="2">
        <v>206</v>
      </c>
      <c r="U175" s="2">
        <f t="shared" si="12"/>
        <v>206</v>
      </c>
      <c r="V175" s="2">
        <v>622</v>
      </c>
      <c r="W175" s="2">
        <v>3727</v>
      </c>
      <c r="X175" s="2">
        <f t="shared" si="13"/>
        <v>3727</v>
      </c>
      <c r="Y175" s="2">
        <v>1683</v>
      </c>
      <c r="Z175" t="str" cm="1">
        <f t="array" ref="Z175">_xlfn.IFS(OR(R175&gt;66, S175&gt;38), "High Engagement", OR(AND(R175&gt;32, R175&lt;=66), AND(S175&gt;19, S175&lt;=38)), "Medium-High Engagement", OR(AND(R175&gt;4, R175&lt;=32), AND(S175&gt;6, S175&lt;=19)),"Medium Engagement", TRUE, "Low Engagement"
)</f>
        <v>Low Engagement</v>
      </c>
      <c r="AA175">
        <f t="shared" si="14"/>
        <v>0.45156962704588138</v>
      </c>
    </row>
    <row r="176" spans="1:27" x14ac:dyDescent="0.35">
      <c r="A176" s="2">
        <v>5553957443</v>
      </c>
      <c r="B176" s="2" t="s">
        <v>102</v>
      </c>
      <c r="C176" s="2">
        <f>VLOOKUP(user_activity!A477,users_details!$A$1:$G$34,5,0)</f>
        <v>33</v>
      </c>
      <c r="D176" s="2" t="str" cm="1">
        <f t="array" ref="D176">_xlfn.IFS( AND(C176&gt;=18, C176&lt;=25), "Emerging Adults",  AND(C176&gt;=26, C176&lt;=35),  "Young Adults",  AND(C176&gt;=36, C176&lt;=45),  "Midlife Adults",  AND(C176&gt;=46, C176&lt;=55), "Mature Adults", C176&gt;=56,  "Older Adults", TRUE, "Age Not Mentioned")</f>
        <v>Young Adults</v>
      </c>
      <c r="E176" s="2" t="str">
        <f>VLOOKUP(user_activity!A477,users_details!$A$1:$G$34,6,0)</f>
        <v>Greenpoint, Brooklyn</v>
      </c>
      <c r="F176" s="2" t="str">
        <f>VLOOKUP(user_activity!A477,users_details!$A$1:$G$34,7,0)</f>
        <v>Greenpoint</v>
      </c>
      <c r="G176" s="2" t="s">
        <v>72</v>
      </c>
      <c r="H176" s="7">
        <v>42465</v>
      </c>
      <c r="I176" s="9" t="str">
        <f t="shared" si="10"/>
        <v>Tuesday</v>
      </c>
      <c r="J176" s="9" t="str">
        <f t="shared" si="11"/>
        <v>April</v>
      </c>
      <c r="K176" s="2">
        <v>2.7699999809999998</v>
      </c>
      <c r="L176" s="2">
        <v>2.7699999809999998</v>
      </c>
      <c r="M176" s="2">
        <v>0</v>
      </c>
      <c r="N176" s="2">
        <v>0</v>
      </c>
      <c r="O176" s="2">
        <v>0</v>
      </c>
      <c r="P176" s="2">
        <v>2.7699999809999998</v>
      </c>
      <c r="Q176" s="2">
        <v>0</v>
      </c>
      <c r="R176" s="2">
        <v>0</v>
      </c>
      <c r="S176" s="2">
        <v>0</v>
      </c>
      <c r="T176" s="2">
        <v>224</v>
      </c>
      <c r="U176" s="2">
        <f t="shared" si="12"/>
        <v>224</v>
      </c>
      <c r="V176" s="2">
        <v>651</v>
      </c>
      <c r="W176" s="2">
        <v>4249</v>
      </c>
      <c r="X176" s="2">
        <f t="shared" si="13"/>
        <v>4249</v>
      </c>
      <c r="Y176" s="2">
        <v>1698</v>
      </c>
      <c r="Z176" t="str" cm="1">
        <f t="array" ref="Z176">_xlfn.IFS(OR(R176&gt;66, S176&gt;38), "High Engagement", OR(AND(R176&gt;32, R176&lt;=66), AND(S176&gt;19, S176&lt;=38)), "Medium-High Engagement", OR(AND(R176&gt;4, R176&lt;=32), AND(S176&gt;6, S176&lt;=19)),"Medium Engagement", TRUE, "Low Engagement"
)</f>
        <v>Low Engagement</v>
      </c>
      <c r="AA176">
        <f t="shared" si="14"/>
        <v>0.39962344080960227</v>
      </c>
    </row>
    <row r="177" spans="1:27" x14ac:dyDescent="0.35">
      <c r="A177" s="2">
        <v>8877689391</v>
      </c>
      <c r="B177" s="2" t="s">
        <v>98</v>
      </c>
      <c r="C177" s="2">
        <f>VLOOKUP(user_activity!A509,users_details!$A$1:$G$34,5,0)</f>
        <v>36</v>
      </c>
      <c r="D177" s="2" t="str" cm="1">
        <f t="array" ref="D177">_xlfn.IFS( AND(C177&gt;=18, C177&lt;=25), "Emerging Adults",  AND(C177&gt;=26, C177&lt;=35),  "Young Adults",  AND(C177&gt;=36, C177&lt;=45),  "Midlife Adults",  AND(C177&gt;=46, C177&lt;=55), "Mature Adults", C177&gt;=56,  "Older Adults", TRUE, "Age Not Mentioned")</f>
        <v>Midlife Adults</v>
      </c>
      <c r="E177" s="2" t="str">
        <f>VLOOKUP(user_activity!A509,users_details!$A$1:$G$34,6,0)</f>
        <v>Williamsburg, Brooklyn</v>
      </c>
      <c r="F177" s="2" t="str">
        <f>VLOOKUP(user_activity!A509,users_details!$A$1:$G$34,7,0)</f>
        <v>Williamsburg</v>
      </c>
      <c r="G177" s="2" t="s">
        <v>71</v>
      </c>
      <c r="H177" s="7">
        <v>42434</v>
      </c>
      <c r="I177" s="9" t="str">
        <f t="shared" si="10"/>
        <v>Saturday</v>
      </c>
      <c r="J177" s="9" t="str">
        <f t="shared" si="11"/>
        <v>March</v>
      </c>
      <c r="K177" s="2">
        <v>8.2100000380000004</v>
      </c>
      <c r="L177" s="2">
        <v>8.2100000380000004</v>
      </c>
      <c r="M177" s="2">
        <v>0</v>
      </c>
      <c r="N177" s="2">
        <v>1.3899999860000001</v>
      </c>
      <c r="O177" s="2">
        <v>0.10000000100000001</v>
      </c>
      <c r="P177" s="2">
        <v>6.670000076</v>
      </c>
      <c r="Q177" s="2">
        <v>0.01</v>
      </c>
      <c r="R177" s="2">
        <v>19</v>
      </c>
      <c r="S177" s="2">
        <v>3</v>
      </c>
      <c r="T177" s="2">
        <v>229</v>
      </c>
      <c r="U177" s="2">
        <f t="shared" si="12"/>
        <v>251</v>
      </c>
      <c r="V177" s="2">
        <v>1189</v>
      </c>
      <c r="W177" s="2">
        <v>10818</v>
      </c>
      <c r="X177" s="2">
        <f t="shared" si="13"/>
        <v>10818</v>
      </c>
      <c r="Y177" s="2">
        <v>2817</v>
      </c>
      <c r="Z177" t="str" cm="1">
        <f t="array" ref="Z177">_xlfn.IFS(OR(R177&gt;66, S177&gt;38), "High Engagement", OR(AND(R177&gt;32, R177&lt;=66), AND(S177&gt;19, S177&lt;=38)), "Medium-High Engagement", OR(AND(R177&gt;4, R177&lt;=32), AND(S177&gt;6, S177&lt;=19)),"Medium Engagement", TRUE, "Low Engagement"
)</f>
        <v>Medium Engagement</v>
      </c>
      <c r="AA177">
        <f t="shared" si="14"/>
        <v>0.26039933444259566</v>
      </c>
    </row>
    <row r="178" spans="1:27" x14ac:dyDescent="0.35">
      <c r="A178" s="2">
        <v>8877689391</v>
      </c>
      <c r="B178" s="2" t="s">
        <v>98</v>
      </c>
      <c r="C178" s="2">
        <f>VLOOKUP(user_activity!A527,users_details!$A$1:$G$34,5,0)</f>
        <v>38</v>
      </c>
      <c r="D178" s="2" t="str" cm="1">
        <f t="array" ref="D178">_xlfn.IFS( AND(C178&gt;=18, C178&lt;=25), "Emerging Adults",  AND(C178&gt;=26, C178&lt;=35),  "Young Adults",  AND(C178&gt;=36, C178&lt;=45),  "Midlife Adults",  AND(C178&gt;=46, C178&lt;=55), "Mature Adults", C178&gt;=56,  "Older Adults", TRUE, "Age Not Mentioned")</f>
        <v>Midlife Adults</v>
      </c>
      <c r="E178" s="2" t="str">
        <f>VLOOKUP(user_activity!A527,users_details!$A$1:$G$34,6,0)</f>
        <v>East Harlem, Manhattan</v>
      </c>
      <c r="F178" s="2" t="str">
        <f>VLOOKUP(user_activity!A527,users_details!$A$1:$G$34,7,0)</f>
        <v>East Harlem</v>
      </c>
      <c r="G178" s="2" t="s">
        <v>71</v>
      </c>
      <c r="H178" s="7">
        <v>42709</v>
      </c>
      <c r="I178" s="9" t="str">
        <f t="shared" si="10"/>
        <v>Monday</v>
      </c>
      <c r="J178" s="9" t="str">
        <f t="shared" si="11"/>
        <v>December</v>
      </c>
      <c r="K178" s="2">
        <v>6.1199998860000004</v>
      </c>
      <c r="L178" s="2">
        <v>6.1199998860000004</v>
      </c>
      <c r="M178" s="2">
        <v>0</v>
      </c>
      <c r="N178" s="2">
        <v>1.8200000519999999</v>
      </c>
      <c r="O178" s="2">
        <v>3.9999999000000001E-2</v>
      </c>
      <c r="P178" s="2">
        <v>4.25</v>
      </c>
      <c r="Q178" s="2">
        <v>0</v>
      </c>
      <c r="R178" s="2">
        <v>23</v>
      </c>
      <c r="S178" s="2">
        <v>1</v>
      </c>
      <c r="T178" s="2">
        <v>137</v>
      </c>
      <c r="U178" s="2">
        <f t="shared" si="12"/>
        <v>161</v>
      </c>
      <c r="V178" s="2">
        <v>770</v>
      </c>
      <c r="W178" s="2">
        <v>8064</v>
      </c>
      <c r="X178" s="2">
        <f t="shared" si="13"/>
        <v>8064</v>
      </c>
      <c r="Y178" s="2">
        <v>1849</v>
      </c>
      <c r="Z178" t="str" cm="1">
        <f t="array" ref="Z178">_xlfn.IFS(OR(R178&gt;66, S178&gt;38), "High Engagement", OR(AND(R178&gt;32, R178&lt;=66), AND(S178&gt;19, S178&lt;=38)), "Medium-High Engagement", OR(AND(R178&gt;4, R178&lt;=32), AND(S178&gt;6, S178&lt;=19)),"Medium Engagement", TRUE, "Low Engagement"
)</f>
        <v>Medium Engagement</v>
      </c>
      <c r="AA178">
        <f t="shared" si="14"/>
        <v>0.22929067460317459</v>
      </c>
    </row>
    <row r="179" spans="1:27" x14ac:dyDescent="0.35">
      <c r="A179" s="2">
        <v>5553957443</v>
      </c>
      <c r="B179" s="2" t="s">
        <v>102</v>
      </c>
      <c r="C179" s="2">
        <f>VLOOKUP(user_activity!A552,users_details!$A$1:$G$34,5,0)</f>
        <v>38</v>
      </c>
      <c r="D179" s="2" t="str" cm="1">
        <f t="array" ref="D179">_xlfn.IFS( AND(C179&gt;=18, C179&lt;=25), "Emerging Adults",  AND(C179&gt;=26, C179&lt;=35),  "Young Adults",  AND(C179&gt;=36, C179&lt;=45),  "Midlife Adults",  AND(C179&gt;=46, C179&lt;=55), "Mature Adults", C179&gt;=56,  "Older Adults", TRUE, "Age Not Mentioned")</f>
        <v>Midlife Adults</v>
      </c>
      <c r="E179" s="2" t="str">
        <f>VLOOKUP(user_activity!A552,users_details!$A$1:$G$34,6,0)</f>
        <v>Midtown, Manhattan</v>
      </c>
      <c r="F179" s="2" t="str">
        <f>VLOOKUP(user_activity!A552,users_details!$A$1:$G$34,7,0)</f>
        <v>Midtown</v>
      </c>
      <c r="G179" s="2" t="s">
        <v>72</v>
      </c>
      <c r="H179" s="7">
        <v>42473</v>
      </c>
      <c r="I179" s="9" t="str">
        <f t="shared" si="10"/>
        <v>Wednesday</v>
      </c>
      <c r="J179" s="9" t="str">
        <f t="shared" si="11"/>
        <v>April</v>
      </c>
      <c r="K179" s="2">
        <v>3.1600000860000002</v>
      </c>
      <c r="L179" s="2">
        <v>3.1600000860000002</v>
      </c>
      <c r="M179" s="2">
        <v>0</v>
      </c>
      <c r="N179" s="2">
        <v>0</v>
      </c>
      <c r="O179" s="2">
        <v>0</v>
      </c>
      <c r="P179" s="2">
        <v>3.1600000860000002</v>
      </c>
      <c r="Q179" s="2">
        <v>0</v>
      </c>
      <c r="R179" s="2">
        <v>0</v>
      </c>
      <c r="S179" s="2">
        <v>0</v>
      </c>
      <c r="T179" s="2">
        <v>226</v>
      </c>
      <c r="U179" s="2">
        <f t="shared" si="12"/>
        <v>226</v>
      </c>
      <c r="V179" s="2">
        <v>647</v>
      </c>
      <c r="W179" s="2">
        <v>4832</v>
      </c>
      <c r="X179" s="2">
        <f t="shared" si="13"/>
        <v>4832</v>
      </c>
      <c r="Y179" s="2">
        <v>1718</v>
      </c>
      <c r="Z179" t="str" cm="1">
        <f t="array" ref="Z179">_xlfn.IFS(OR(R179&gt;66, S179&gt;38), "High Engagement", OR(AND(R179&gt;32, R179&lt;=66), AND(S179&gt;19, S179&lt;=38)), "Medium-High Engagement", OR(AND(R179&gt;4, R179&lt;=32), AND(S179&gt;6, S179&lt;=19)),"Medium Engagement", TRUE, "Low Engagement"
)</f>
        <v>Low Engagement</v>
      </c>
      <c r="AA179">
        <f t="shared" si="14"/>
        <v>0.35554635761589404</v>
      </c>
    </row>
    <row r="180" spans="1:27" x14ac:dyDescent="0.35">
      <c r="A180" s="2">
        <v>8877689391</v>
      </c>
      <c r="B180" s="2" t="s">
        <v>98</v>
      </c>
      <c r="C180" s="2">
        <f>VLOOKUP(user_activity!A560,users_details!$A$1:$G$34,5,0)</f>
        <v>38</v>
      </c>
      <c r="D180" s="2" t="str" cm="1">
        <f t="array" ref="D180">_xlfn.IFS( AND(C180&gt;=18, C180&lt;=25), "Emerging Adults",  AND(C180&gt;=26, C180&lt;=35),  "Young Adults",  AND(C180&gt;=36, C180&lt;=45),  "Midlife Adults",  AND(C180&gt;=46, C180&lt;=55), "Mature Adults", C180&gt;=56,  "Older Adults", TRUE, "Age Not Mentioned")</f>
        <v>Midlife Adults</v>
      </c>
      <c r="E180" s="2" t="str">
        <f>VLOOKUP(user_activity!A560,users_details!$A$1:$G$34,6,0)</f>
        <v>Midtown, Manhattan</v>
      </c>
      <c r="F180" s="2" t="str">
        <f>VLOOKUP(user_activity!A560,users_details!$A$1:$G$34,7,0)</f>
        <v>Midtown</v>
      </c>
      <c r="G180" s="2" t="s">
        <v>71</v>
      </c>
      <c r="H180" s="7">
        <v>42476</v>
      </c>
      <c r="I180" s="9" t="str">
        <f t="shared" si="10"/>
        <v>Saturday</v>
      </c>
      <c r="J180" s="9" t="str">
        <f t="shared" si="11"/>
        <v>April</v>
      </c>
      <c r="K180" s="2">
        <v>25.290000920000001</v>
      </c>
      <c r="L180" s="2">
        <v>25.290000920000001</v>
      </c>
      <c r="M180" s="2">
        <v>0</v>
      </c>
      <c r="N180" s="2">
        <v>13.239999770000001</v>
      </c>
      <c r="O180" s="2">
        <v>1.210000038</v>
      </c>
      <c r="P180" s="2">
        <v>10.710000040000001</v>
      </c>
      <c r="Q180" s="2">
        <v>0</v>
      </c>
      <c r="R180" s="2">
        <v>94</v>
      </c>
      <c r="S180" s="2">
        <v>29</v>
      </c>
      <c r="T180" s="2">
        <v>429</v>
      </c>
      <c r="U180" s="2">
        <f t="shared" si="12"/>
        <v>552</v>
      </c>
      <c r="V180" s="2">
        <v>888</v>
      </c>
      <c r="W180" s="2">
        <v>29326</v>
      </c>
      <c r="X180" s="2">
        <f t="shared" si="13"/>
        <v>29326</v>
      </c>
      <c r="Y180" s="2">
        <v>4547</v>
      </c>
      <c r="Z180" t="str" cm="1">
        <f t="array" ref="Z180">_xlfn.IFS(OR(R180&gt;66, S180&gt;38), "High Engagement", OR(AND(R180&gt;32, R180&lt;=66), AND(S180&gt;19, S180&lt;=38)), "Medium-High Engagement", OR(AND(R180&gt;4, R180&lt;=32), AND(S180&gt;6, S180&lt;=19)),"Medium Engagement", TRUE, "Low Engagement"
)</f>
        <v>High Engagement</v>
      </c>
      <c r="AA180">
        <f t="shared" si="14"/>
        <v>0.15505012616790562</v>
      </c>
    </row>
    <row r="181" spans="1:27" x14ac:dyDescent="0.35">
      <c r="A181" s="2">
        <v>8877689391</v>
      </c>
      <c r="B181" s="2" t="s">
        <v>98</v>
      </c>
      <c r="C181" s="2">
        <f>VLOOKUP(user_activity!A563,users_details!$A$1:$G$34,5,0)</f>
        <v>38</v>
      </c>
      <c r="D181" s="2" t="str" cm="1">
        <f t="array" ref="D181">_xlfn.IFS( AND(C181&gt;=18, C181&lt;=25), "Emerging Adults",  AND(C181&gt;=26, C181&lt;=35),  "Young Adults",  AND(C181&gt;=36, C181&lt;=45),  "Midlife Adults",  AND(C181&gt;=46, C181&lt;=55), "Mature Adults", C181&gt;=56,  "Older Adults", TRUE, "Age Not Mentioned")</f>
        <v>Midlife Adults</v>
      </c>
      <c r="E181" s="2" t="str">
        <f>VLOOKUP(user_activity!A563,users_details!$A$1:$G$34,6,0)</f>
        <v>East Harlem, Manhattan</v>
      </c>
      <c r="F181" s="2" t="str">
        <f>VLOOKUP(user_activity!A563,users_details!$A$1:$G$34,7,0)</f>
        <v>East Harlem</v>
      </c>
      <c r="G181" s="2" t="s">
        <v>71</v>
      </c>
      <c r="H181" s="7">
        <v>42485</v>
      </c>
      <c r="I181" s="9" t="str">
        <f t="shared" si="10"/>
        <v>Monday</v>
      </c>
      <c r="J181" s="9" t="str">
        <f t="shared" si="11"/>
        <v>April</v>
      </c>
      <c r="K181" s="2">
        <v>8.7399997710000008</v>
      </c>
      <c r="L181" s="2">
        <v>8.7399997710000008</v>
      </c>
      <c r="M181" s="2">
        <v>0</v>
      </c>
      <c r="N181" s="2">
        <v>2.369999886</v>
      </c>
      <c r="O181" s="2">
        <v>7.0000000000000007E-2</v>
      </c>
      <c r="P181" s="2">
        <v>6.2699999809999998</v>
      </c>
      <c r="Q181" s="2">
        <v>0.01</v>
      </c>
      <c r="R181" s="2">
        <v>113</v>
      </c>
      <c r="S181" s="2">
        <v>8</v>
      </c>
      <c r="T181" s="2">
        <v>218</v>
      </c>
      <c r="U181" s="2">
        <f t="shared" si="12"/>
        <v>339</v>
      </c>
      <c r="V181" s="2">
        <v>1101</v>
      </c>
      <c r="W181" s="2">
        <v>12986</v>
      </c>
      <c r="X181" s="2">
        <f t="shared" si="13"/>
        <v>12986</v>
      </c>
      <c r="Y181" s="2">
        <v>3802</v>
      </c>
      <c r="Z181" t="str" cm="1">
        <f t="array" ref="Z181">_xlfn.IFS(OR(R181&gt;66, S181&gt;38), "High Engagement", OR(AND(R181&gt;32, R181&lt;=66), AND(S181&gt;19, S181&lt;=38)), "Medium-High Engagement", OR(AND(R181&gt;4, R181&lt;=32), AND(S181&gt;6, S181&lt;=19)),"Medium Engagement", TRUE, "Low Engagement"
)</f>
        <v>High Engagement</v>
      </c>
      <c r="AA181">
        <f t="shared" si="14"/>
        <v>0.29277683659325426</v>
      </c>
    </row>
    <row r="182" spans="1:27" x14ac:dyDescent="0.35">
      <c r="A182" s="2">
        <v>8877689391</v>
      </c>
      <c r="B182" s="2" t="s">
        <v>98</v>
      </c>
      <c r="C182" s="2">
        <f>VLOOKUP(user_activity!A581,users_details!$A$1:$G$34,5,0)</f>
        <v>38</v>
      </c>
      <c r="D182" s="2" t="str" cm="1">
        <f t="array" ref="D182">_xlfn.IFS( AND(C182&gt;=18, C182&lt;=25), "Emerging Adults",  AND(C182&gt;=26, C182&lt;=35),  "Young Adults",  AND(C182&gt;=36, C182&lt;=45),  "Midlife Adults",  AND(C182&gt;=46, C182&lt;=55), "Mature Adults", C182&gt;=56,  "Older Adults", TRUE, "Age Not Mentioned")</f>
        <v>Midlife Adults</v>
      </c>
      <c r="E182" s="2" t="str">
        <f>VLOOKUP(user_activity!A581,users_details!$A$1:$G$34,6,0)</f>
        <v>Midtown, Manhattan</v>
      </c>
      <c r="F182" s="2" t="str">
        <f>VLOOKUP(user_activity!A581,users_details!$A$1:$G$34,7,0)</f>
        <v>Midtown</v>
      </c>
      <c r="G182" s="2" t="s">
        <v>71</v>
      </c>
      <c r="H182" s="7">
        <v>42487</v>
      </c>
      <c r="I182" s="9" t="str">
        <f t="shared" si="10"/>
        <v>Wednesday</v>
      </c>
      <c r="J182" s="9" t="str">
        <f t="shared" si="11"/>
        <v>April</v>
      </c>
      <c r="K182" s="2">
        <v>20.649999619999999</v>
      </c>
      <c r="L182" s="2">
        <v>20.649999619999999</v>
      </c>
      <c r="M182" s="2">
        <v>0</v>
      </c>
      <c r="N182" s="2">
        <v>13.06999969</v>
      </c>
      <c r="O182" s="2">
        <v>0.439999998</v>
      </c>
      <c r="P182" s="2">
        <v>7.0999999049999998</v>
      </c>
      <c r="Q182" s="2">
        <v>0</v>
      </c>
      <c r="R182" s="2">
        <v>93</v>
      </c>
      <c r="S182" s="2">
        <v>8</v>
      </c>
      <c r="T182" s="2">
        <v>235</v>
      </c>
      <c r="U182" s="2">
        <f t="shared" si="12"/>
        <v>336</v>
      </c>
      <c r="V182" s="2">
        <v>1104</v>
      </c>
      <c r="W182" s="2">
        <v>23629</v>
      </c>
      <c r="X182" s="2">
        <f t="shared" si="13"/>
        <v>23629</v>
      </c>
      <c r="Y182" s="2">
        <v>3808</v>
      </c>
      <c r="Z182" t="str" cm="1">
        <f t="array" ref="Z182">_xlfn.IFS(OR(R182&gt;66, S182&gt;38), "High Engagement", OR(AND(R182&gt;32, R182&lt;=66), AND(S182&gt;19, S182&lt;=38)), "Medium-High Engagement", OR(AND(R182&gt;4, R182&lt;=32), AND(S182&gt;6, S182&lt;=19)),"Medium Engagement", TRUE, "Low Engagement"
)</f>
        <v>High Engagement</v>
      </c>
      <c r="AA182">
        <f t="shared" si="14"/>
        <v>0.16115789919167126</v>
      </c>
    </row>
    <row r="183" spans="1:27" x14ac:dyDescent="0.35">
      <c r="A183" s="2">
        <v>8877689391</v>
      </c>
      <c r="B183" s="2" t="s">
        <v>98</v>
      </c>
      <c r="C183" s="2">
        <f>VLOOKUP(user_activity!A590,users_details!$A$1:$G$34,5,0)</f>
        <v>39</v>
      </c>
      <c r="D183" s="2" t="str" cm="1">
        <f t="array" ref="D183">_xlfn.IFS( AND(C183&gt;=18, C183&lt;=25), "Emerging Adults",  AND(C183&gt;=26, C183&lt;=35),  "Young Adults",  AND(C183&gt;=36, C183&lt;=45),  "Midlife Adults",  AND(C183&gt;=46, C183&lt;=55), "Mature Adults", C183&gt;=56,  "Older Adults", TRUE, "Age Not Mentioned")</f>
        <v>Midlife Adults</v>
      </c>
      <c r="E183" s="2" t="str">
        <f>VLOOKUP(user_activity!A590,users_details!$A$1:$G$34,6,0)</f>
        <v>East Village, Manhattan</v>
      </c>
      <c r="F183" s="2" t="str">
        <f>VLOOKUP(user_activity!A590,users_details!$A$1:$G$34,7,0)</f>
        <v>East Village</v>
      </c>
      <c r="G183" s="2" t="s">
        <v>71</v>
      </c>
      <c r="H183" s="7">
        <v>42474</v>
      </c>
      <c r="I183" s="9" t="str">
        <f t="shared" si="10"/>
        <v>Thursday</v>
      </c>
      <c r="J183" s="9" t="str">
        <f t="shared" si="11"/>
        <v>April</v>
      </c>
      <c r="K183" s="2">
        <v>18.979999540000001</v>
      </c>
      <c r="L183" s="2">
        <v>18.979999540000001</v>
      </c>
      <c r="M183" s="2">
        <v>0</v>
      </c>
      <c r="N183" s="2">
        <v>10.55000019</v>
      </c>
      <c r="O183" s="2">
        <v>0.58999997400000004</v>
      </c>
      <c r="P183" s="2">
        <v>7.75</v>
      </c>
      <c r="Q183" s="2">
        <v>0.02</v>
      </c>
      <c r="R183" s="2">
        <v>68</v>
      </c>
      <c r="S183" s="2">
        <v>13</v>
      </c>
      <c r="T183" s="2">
        <v>298</v>
      </c>
      <c r="U183" s="2">
        <f t="shared" si="12"/>
        <v>379</v>
      </c>
      <c r="V183" s="2">
        <v>1061</v>
      </c>
      <c r="W183" s="2">
        <v>21129</v>
      </c>
      <c r="X183" s="2">
        <f t="shared" si="13"/>
        <v>21129</v>
      </c>
      <c r="Y183" s="2">
        <v>3793</v>
      </c>
      <c r="Z183" t="str" cm="1">
        <f t="array" ref="Z183">_xlfn.IFS(OR(R183&gt;66, S183&gt;38), "High Engagement", OR(AND(R183&gt;32, R183&lt;=66), AND(S183&gt;19, S183&lt;=38)), "Medium-High Engagement", OR(AND(R183&gt;4, R183&lt;=32), AND(S183&gt;6, S183&lt;=19)),"Medium Engagement", TRUE, "Low Engagement"
)</f>
        <v>High Engagement</v>
      </c>
      <c r="AA183">
        <f t="shared" si="14"/>
        <v>0.1795163046050452</v>
      </c>
    </row>
    <row r="184" spans="1:27" x14ac:dyDescent="0.35">
      <c r="A184" s="2">
        <v>8877689391</v>
      </c>
      <c r="B184" s="2" t="s">
        <v>98</v>
      </c>
      <c r="C184" s="2">
        <f>VLOOKUP(user_activity!A615,users_details!$A$1:$G$34,5,0)</f>
        <v>41</v>
      </c>
      <c r="D184" s="2" t="str" cm="1">
        <f t="array" ref="D184">_xlfn.IFS( AND(C184&gt;=18, C184&lt;=25), "Emerging Adults",  AND(C184&gt;=26, C184&lt;=35),  "Young Adults",  AND(C184&gt;=36, C184&lt;=45),  "Midlife Adults",  AND(C184&gt;=46, C184&lt;=55), "Mature Adults", C184&gt;=56,  "Older Adults", TRUE, "Age Not Mentioned")</f>
        <v>Midlife Adults</v>
      </c>
      <c r="E184" s="2" t="str">
        <f>VLOOKUP(user_activity!A615,users_details!$A$1:$G$34,6,0)</f>
        <v>East Harlem, Manhattan</v>
      </c>
      <c r="F184" s="2" t="str">
        <f>VLOOKUP(user_activity!A615,users_details!$A$1:$G$34,7,0)</f>
        <v>East Harlem</v>
      </c>
      <c r="G184" s="2" t="s">
        <v>71</v>
      </c>
      <c r="H184" s="7">
        <v>42473</v>
      </c>
      <c r="I184" s="9" t="str">
        <f t="shared" si="10"/>
        <v>Wednesday</v>
      </c>
      <c r="J184" s="9" t="str">
        <f t="shared" si="11"/>
        <v>April</v>
      </c>
      <c r="K184" s="2">
        <v>9.5799999239999991</v>
      </c>
      <c r="L184" s="2">
        <v>9.5799999239999991</v>
      </c>
      <c r="M184" s="2">
        <v>0</v>
      </c>
      <c r="N184" s="2">
        <v>3.5499999519999998</v>
      </c>
      <c r="O184" s="2">
        <v>0.37999999499999998</v>
      </c>
      <c r="P184" s="2">
        <v>5.6399998660000001</v>
      </c>
      <c r="Q184" s="2">
        <v>0</v>
      </c>
      <c r="R184" s="2">
        <v>108</v>
      </c>
      <c r="S184" s="2">
        <v>18</v>
      </c>
      <c r="T184" s="2">
        <v>216</v>
      </c>
      <c r="U184" s="2">
        <f t="shared" si="12"/>
        <v>342</v>
      </c>
      <c r="V184" s="2">
        <v>1098</v>
      </c>
      <c r="W184" s="2">
        <v>15337</v>
      </c>
      <c r="X184" s="2">
        <f t="shared" si="13"/>
        <v>15337</v>
      </c>
      <c r="Y184" s="2">
        <v>3566</v>
      </c>
      <c r="Z184" t="str" cm="1">
        <f t="array" ref="Z184">_xlfn.IFS(OR(R184&gt;66, S184&gt;38), "High Engagement", OR(AND(R184&gt;32, R184&lt;=66), AND(S184&gt;19, S184&lt;=38)), "Medium-High Engagement", OR(AND(R184&gt;4, R184&lt;=32), AND(S184&gt;6, S184&lt;=19)),"Medium Engagement", TRUE, "Low Engagement"
)</f>
        <v>High Engagement</v>
      </c>
      <c r="AA184">
        <f t="shared" si="14"/>
        <v>0.23250961726543654</v>
      </c>
    </row>
    <row r="185" spans="1:27" x14ac:dyDescent="0.35">
      <c r="A185" s="2">
        <v>8877689391</v>
      </c>
      <c r="B185" s="2" t="s">
        <v>98</v>
      </c>
      <c r="C185" s="2">
        <f>VLOOKUP(user_activity!A618,users_details!$A$1:$G$34,5,0)</f>
        <v>41</v>
      </c>
      <c r="D185" s="2" t="str" cm="1">
        <f t="array" ref="D185">_xlfn.IFS( AND(C185&gt;=18, C185&lt;=25), "Emerging Adults",  AND(C185&gt;=26, C185&lt;=35),  "Young Adults",  AND(C185&gt;=36, C185&lt;=45),  "Midlife Adults",  AND(C185&gt;=46, C185&lt;=55), "Mature Adults", C185&gt;=56,  "Older Adults", TRUE, "Age Not Mentioned")</f>
        <v>Midlife Adults</v>
      </c>
      <c r="E185" s="2" t="str">
        <f>VLOOKUP(user_activity!A618,users_details!$A$1:$G$34,6,0)</f>
        <v>East Harlem, Manhattan</v>
      </c>
      <c r="F185" s="2" t="str">
        <f>VLOOKUP(user_activity!A618,users_details!$A$1:$G$34,7,0)</f>
        <v>East Harlem</v>
      </c>
      <c r="G185" s="2" t="s">
        <v>71</v>
      </c>
      <c r="H185" s="7">
        <v>42708</v>
      </c>
      <c r="I185" s="9" t="str">
        <f t="shared" si="10"/>
        <v>Sunday</v>
      </c>
      <c r="J185" s="9" t="str">
        <f t="shared" si="11"/>
        <v>December</v>
      </c>
      <c r="K185" s="2">
        <v>20.399999619999999</v>
      </c>
      <c r="L185" s="2">
        <v>20.399999619999999</v>
      </c>
      <c r="M185" s="2">
        <v>0</v>
      </c>
      <c r="N185" s="2">
        <v>12.22000027</v>
      </c>
      <c r="O185" s="2">
        <v>0.34000000400000002</v>
      </c>
      <c r="P185" s="2">
        <v>7.8200001720000003</v>
      </c>
      <c r="Q185" s="2">
        <v>0</v>
      </c>
      <c r="R185" s="2">
        <v>85</v>
      </c>
      <c r="S185" s="2">
        <v>7</v>
      </c>
      <c r="T185" s="2">
        <v>312</v>
      </c>
      <c r="U185" s="2">
        <f t="shared" si="12"/>
        <v>404</v>
      </c>
      <c r="V185" s="2">
        <v>1036</v>
      </c>
      <c r="W185" s="2">
        <v>23186</v>
      </c>
      <c r="X185" s="2">
        <f t="shared" si="13"/>
        <v>23186</v>
      </c>
      <c r="Y185" s="2">
        <v>3921</v>
      </c>
      <c r="Z185" t="str" cm="1">
        <f t="array" ref="Z185">_xlfn.IFS(OR(R185&gt;66, S185&gt;38), "High Engagement", OR(AND(R185&gt;32, R185&lt;=66), AND(S185&gt;19, S185&lt;=38)), "Medium-High Engagement", OR(AND(R185&gt;4, R185&lt;=32), AND(S185&gt;6, S185&lt;=19)),"Medium Engagement", TRUE, "Low Engagement"
)</f>
        <v>High Engagement</v>
      </c>
      <c r="AA185">
        <f t="shared" si="14"/>
        <v>0.16911067023203658</v>
      </c>
    </row>
    <row r="186" spans="1:27" x14ac:dyDescent="0.35">
      <c r="A186" s="2">
        <v>5553957443</v>
      </c>
      <c r="B186" s="2" t="s">
        <v>102</v>
      </c>
      <c r="C186" s="2">
        <f>VLOOKUP(user_activity!A661,users_details!$A$1:$G$34,5,0)</f>
        <v>45</v>
      </c>
      <c r="D186" s="2" t="str" cm="1">
        <f t="array" ref="D186">_xlfn.IFS( AND(C186&gt;=18, C186&lt;=25), "Emerging Adults",  AND(C186&gt;=26, C186&lt;=35),  "Young Adults",  AND(C186&gt;=36, C186&lt;=45),  "Midlife Adults",  AND(C186&gt;=46, C186&lt;=55), "Mature Adults", C186&gt;=56,  "Older Adults", TRUE, "Age Not Mentioned")</f>
        <v>Midlife Adults</v>
      </c>
      <c r="E186" s="2" t="str">
        <f>VLOOKUP(user_activity!A661,users_details!$A$1:$G$34,6,0)</f>
        <v>Harlem, Manhattan</v>
      </c>
      <c r="F186" s="2" t="str">
        <f>VLOOKUP(user_activity!A661,users_details!$A$1:$G$34,7,0)</f>
        <v>Harlem</v>
      </c>
      <c r="G186" s="2" t="s">
        <v>72</v>
      </c>
      <c r="H186" s="7">
        <v>42486</v>
      </c>
      <c r="I186" s="9" t="str">
        <f t="shared" si="10"/>
        <v>Tuesday</v>
      </c>
      <c r="J186" s="9" t="str">
        <f t="shared" si="11"/>
        <v>April</v>
      </c>
      <c r="K186" s="2">
        <v>7.7600002290000001</v>
      </c>
      <c r="L186" s="2">
        <v>7.7600002290000001</v>
      </c>
      <c r="M186" s="2">
        <v>0</v>
      </c>
      <c r="N186" s="2">
        <v>2.369999886</v>
      </c>
      <c r="O186" s="2">
        <v>0.93000000699999996</v>
      </c>
      <c r="P186" s="2">
        <v>4.4600000380000004</v>
      </c>
      <c r="Q186" s="2">
        <v>0</v>
      </c>
      <c r="R186" s="2">
        <v>40</v>
      </c>
      <c r="S186" s="2">
        <v>18</v>
      </c>
      <c r="T186" s="2">
        <v>238</v>
      </c>
      <c r="U186" s="2">
        <f t="shared" si="12"/>
        <v>296</v>
      </c>
      <c r="V186" s="2">
        <v>750</v>
      </c>
      <c r="W186" s="2">
        <v>11886</v>
      </c>
      <c r="X186" s="2">
        <f t="shared" si="13"/>
        <v>11886</v>
      </c>
      <c r="Y186" s="2">
        <v>2093</v>
      </c>
      <c r="Z186" t="str" cm="1">
        <f t="array" ref="Z186">_xlfn.IFS(OR(R186&gt;66, S186&gt;38), "High Engagement", OR(AND(R186&gt;32, R186&lt;=66), AND(S186&gt;19, S186&lt;=38)), "Medium-High Engagement", OR(AND(R186&gt;4, R186&lt;=32), AND(S186&gt;6, S186&lt;=19)),"Medium Engagement", TRUE, "Low Engagement"
)</f>
        <v>Medium-High Engagement</v>
      </c>
      <c r="AA186">
        <f t="shared" si="14"/>
        <v>0.17608951707891637</v>
      </c>
    </row>
    <row r="187" spans="1:27" x14ac:dyDescent="0.35">
      <c r="A187" s="2">
        <v>8877689391</v>
      </c>
      <c r="B187" s="2" t="s">
        <v>98</v>
      </c>
      <c r="C187" s="2">
        <f>VLOOKUP(user_activity!A709,users_details!$A$1:$G$34,5,0)</f>
        <v>53</v>
      </c>
      <c r="D187" s="2" t="str" cm="1">
        <f t="array" ref="D187">_xlfn.IFS( AND(C187&gt;=18, C187&lt;=25), "Emerging Adults",  AND(C187&gt;=26, C187&lt;=35),  "Young Adults",  AND(C187&gt;=36, C187&lt;=45),  "Midlife Adults",  AND(C187&gt;=46, C187&lt;=55), "Mature Adults", C187&gt;=56,  "Older Adults", TRUE, "Age Not Mentioned")</f>
        <v>Mature Adults</v>
      </c>
      <c r="E187" s="2" t="str">
        <f>VLOOKUP(user_activity!A709,users_details!$A$1:$G$34,6,0)</f>
        <v>Williamsburg, Brooklyn</v>
      </c>
      <c r="F187" s="2" t="str">
        <f>VLOOKUP(user_activity!A709,users_details!$A$1:$G$34,7,0)</f>
        <v>Williamsburg</v>
      </c>
      <c r="G187" s="2" t="s">
        <v>71</v>
      </c>
      <c r="H187" s="7">
        <v>42475</v>
      </c>
      <c r="I187" s="9" t="str">
        <f t="shared" si="10"/>
        <v>Friday</v>
      </c>
      <c r="J187" s="9" t="str">
        <f t="shared" si="11"/>
        <v>April</v>
      </c>
      <c r="K187" s="2">
        <v>7.170000076</v>
      </c>
      <c r="L187" s="2">
        <v>7.170000076</v>
      </c>
      <c r="M187" s="2">
        <v>0</v>
      </c>
      <c r="N187" s="2">
        <v>5.0000001000000002E-2</v>
      </c>
      <c r="O187" s="2">
        <v>5.0000001000000002E-2</v>
      </c>
      <c r="P187" s="2">
        <v>7.0100002290000001</v>
      </c>
      <c r="Q187" s="2">
        <v>0.01</v>
      </c>
      <c r="R187" s="2">
        <v>106</v>
      </c>
      <c r="S187" s="2">
        <v>1</v>
      </c>
      <c r="T187" s="2">
        <v>281</v>
      </c>
      <c r="U187" s="2">
        <f t="shared" si="12"/>
        <v>388</v>
      </c>
      <c r="V187" s="2">
        <v>1052</v>
      </c>
      <c r="W187" s="2">
        <v>13422</v>
      </c>
      <c r="X187" s="2">
        <f t="shared" si="13"/>
        <v>13422</v>
      </c>
      <c r="Y187" s="2">
        <v>3934</v>
      </c>
      <c r="Z187" t="str" cm="1">
        <f t="array" ref="Z187">_xlfn.IFS(OR(R187&gt;66, S187&gt;38), "High Engagement", OR(AND(R187&gt;32, R187&lt;=66), AND(S187&gt;19, S187&lt;=38)), "Medium-High Engagement", OR(AND(R187&gt;4, R187&lt;=32), AND(S187&gt;6, S187&lt;=19)),"Medium Engagement", TRUE, "Low Engagement"
)</f>
        <v>High Engagement</v>
      </c>
      <c r="AA187">
        <f t="shared" si="14"/>
        <v>0.29310087915362837</v>
      </c>
    </row>
    <row r="188" spans="1:27" x14ac:dyDescent="0.35">
      <c r="A188" s="2">
        <v>8877689391</v>
      </c>
      <c r="B188" s="2" t="s">
        <v>98</v>
      </c>
      <c r="C188" s="2">
        <f>VLOOKUP(user_activity!A712,users_details!$A$1:$G$34,5,0)</f>
        <v>53</v>
      </c>
      <c r="D188" s="2" t="str" cm="1">
        <f t="array" ref="D188">_xlfn.IFS( AND(C188&gt;=18, C188&lt;=25), "Emerging Adults",  AND(C188&gt;=26, C188&lt;=35),  "Young Adults",  AND(C188&gt;=36, C188&lt;=45),  "Midlife Adults",  AND(C188&gt;=46, C188&lt;=55), "Mature Adults", C188&gt;=56,  "Older Adults", TRUE, "Age Not Mentioned")</f>
        <v>Mature Adults</v>
      </c>
      <c r="E188" s="2" t="str">
        <f>VLOOKUP(user_activity!A712,users_details!$A$1:$G$34,6,0)</f>
        <v>Harlem, Manhattan</v>
      </c>
      <c r="F188" s="2" t="str">
        <f>VLOOKUP(user_activity!A712,users_details!$A$1:$G$34,7,0)</f>
        <v>Harlem</v>
      </c>
      <c r="G188" s="2" t="s">
        <v>71</v>
      </c>
      <c r="H188" s="7">
        <v>42480</v>
      </c>
      <c r="I188" s="9" t="str">
        <f t="shared" si="10"/>
        <v>Wednesday</v>
      </c>
      <c r="J188" s="9" t="str">
        <f t="shared" si="11"/>
        <v>April</v>
      </c>
      <c r="K188" s="2">
        <v>18.11000061</v>
      </c>
      <c r="L188" s="2">
        <v>18.11000061</v>
      </c>
      <c r="M188" s="2">
        <v>0</v>
      </c>
      <c r="N188" s="2">
        <v>11.02000046</v>
      </c>
      <c r="O188" s="2">
        <v>0.689999998</v>
      </c>
      <c r="P188" s="2">
        <v>6.3400001530000001</v>
      </c>
      <c r="Q188" s="2">
        <v>0</v>
      </c>
      <c r="R188" s="2">
        <v>73</v>
      </c>
      <c r="S188" s="2">
        <v>19</v>
      </c>
      <c r="T188" s="2">
        <v>225</v>
      </c>
      <c r="U188" s="2">
        <f t="shared" si="12"/>
        <v>317</v>
      </c>
      <c r="V188" s="2">
        <v>1123</v>
      </c>
      <c r="W188" s="2">
        <v>19948</v>
      </c>
      <c r="X188" s="2">
        <f t="shared" si="13"/>
        <v>19948</v>
      </c>
      <c r="Y188" s="2">
        <v>3679</v>
      </c>
      <c r="Z188" t="str" cm="1">
        <f t="array" ref="Z188">_xlfn.IFS(OR(R188&gt;66, S188&gt;38), "High Engagement", OR(AND(R188&gt;32, R188&lt;=66), AND(S188&gt;19, S188&lt;=38)), "Medium-High Engagement", OR(AND(R188&gt;4, R188&lt;=32), AND(S188&gt;6, S188&lt;=19)),"Medium Engagement", TRUE, "Low Engagement"
)</f>
        <v>High Engagement</v>
      </c>
      <c r="AA188">
        <f t="shared" si="14"/>
        <v>0.1844295167435332</v>
      </c>
    </row>
    <row r="189" spans="1:27" x14ac:dyDescent="0.35">
      <c r="A189" s="2">
        <v>8877689391</v>
      </c>
      <c r="B189" s="2" t="s">
        <v>98</v>
      </c>
      <c r="C189" s="2">
        <f>VLOOKUP(user_activity!A722,users_details!$A$1:$G$34,5,0)</f>
        <v>53</v>
      </c>
      <c r="D189" s="2" t="str" cm="1">
        <f t="array" ref="D189">_xlfn.IFS( AND(C189&gt;=18, C189&lt;=25), "Emerging Adults",  AND(C189&gt;=26, C189&lt;=35),  "Young Adults",  AND(C189&gt;=36, C189&lt;=45),  "Midlife Adults",  AND(C189&gt;=46, C189&lt;=55), "Mature Adults", C189&gt;=56,  "Older Adults", TRUE, "Age Not Mentioned")</f>
        <v>Mature Adults</v>
      </c>
      <c r="E189" s="2" t="str">
        <f>VLOOKUP(user_activity!A722,users_details!$A$1:$G$34,6,0)</f>
        <v>Harlem, Manhattan</v>
      </c>
      <c r="F189" s="2" t="str">
        <f>VLOOKUP(user_activity!A722,users_details!$A$1:$G$34,7,0)</f>
        <v>Harlem</v>
      </c>
      <c r="G189" s="2" t="s">
        <v>71</v>
      </c>
      <c r="H189" s="7">
        <v>42484</v>
      </c>
      <c r="I189" s="9" t="str">
        <f t="shared" si="10"/>
        <v>Sunday</v>
      </c>
      <c r="J189" s="9" t="str">
        <f t="shared" si="11"/>
        <v>April</v>
      </c>
      <c r="K189" s="2">
        <v>15.739999770000001</v>
      </c>
      <c r="L189" s="2">
        <v>15.739999770000001</v>
      </c>
      <c r="M189" s="2">
        <v>0</v>
      </c>
      <c r="N189" s="2">
        <v>11.010000229999999</v>
      </c>
      <c r="O189" s="2">
        <v>0.01</v>
      </c>
      <c r="P189" s="2">
        <v>4.6900000569999998</v>
      </c>
      <c r="Q189" s="2">
        <v>0</v>
      </c>
      <c r="R189" s="2">
        <v>64</v>
      </c>
      <c r="S189" s="2">
        <v>1</v>
      </c>
      <c r="T189" s="2">
        <v>227</v>
      </c>
      <c r="U189" s="2">
        <f t="shared" si="12"/>
        <v>292</v>
      </c>
      <c r="V189" s="2">
        <v>1148</v>
      </c>
      <c r="W189" s="2">
        <v>16674</v>
      </c>
      <c r="X189" s="2">
        <f t="shared" si="13"/>
        <v>16674</v>
      </c>
      <c r="Y189" s="2">
        <v>3455</v>
      </c>
      <c r="Z189" t="str" cm="1">
        <f t="array" ref="Z189">_xlfn.IFS(OR(R189&gt;66, S189&gt;38), "High Engagement", OR(AND(R189&gt;32, R189&lt;=66), AND(S189&gt;19, S189&lt;=38)), "Medium-High Engagement", OR(AND(R189&gt;4, R189&lt;=32), AND(S189&gt;6, S189&lt;=19)),"Medium Engagement", TRUE, "Low Engagement"
)</f>
        <v>Medium-High Engagement</v>
      </c>
      <c r="AA189">
        <f t="shared" si="14"/>
        <v>0.20720882811562913</v>
      </c>
    </row>
    <row r="190" spans="1:27" x14ac:dyDescent="0.35">
      <c r="A190" s="2">
        <v>8877689391</v>
      </c>
      <c r="B190" s="2" t="s">
        <v>98</v>
      </c>
      <c r="C190" s="2">
        <f>VLOOKUP(user_activity!A746,users_details!$A$1:$G$34,5,0)</f>
        <v>53</v>
      </c>
      <c r="D190" s="2" t="str" cm="1">
        <f t="array" ref="D190">_xlfn.IFS( AND(C190&gt;=18, C190&lt;=25), "Emerging Adults",  AND(C190&gt;=26, C190&lt;=35),  "Young Adults",  AND(C190&gt;=36, C190&lt;=45),  "Midlife Adults",  AND(C190&gt;=46, C190&lt;=55), "Mature Adults", C190&gt;=56,  "Older Adults", TRUE, "Age Not Mentioned")</f>
        <v>Mature Adults</v>
      </c>
      <c r="E190" s="2" t="str">
        <f>VLOOKUP(user_activity!A746,users_details!$A$1:$G$34,6,0)</f>
        <v>Harlem, Manhattan</v>
      </c>
      <c r="F190" s="2" t="str">
        <f>VLOOKUP(user_activity!A746,users_details!$A$1:$G$34,7,0)</f>
        <v>Harlem</v>
      </c>
      <c r="G190" s="2" t="s">
        <v>71</v>
      </c>
      <c r="H190" s="7">
        <v>42490</v>
      </c>
      <c r="I190" s="9" t="str">
        <f t="shared" si="10"/>
        <v>Saturday</v>
      </c>
      <c r="J190" s="9" t="str">
        <f t="shared" si="11"/>
        <v>April</v>
      </c>
      <c r="K190" s="2">
        <v>26.719999309999999</v>
      </c>
      <c r="L190" s="2">
        <v>26.719999309999999</v>
      </c>
      <c r="M190" s="2">
        <v>0</v>
      </c>
      <c r="N190" s="2">
        <v>21.659999849999998</v>
      </c>
      <c r="O190" s="2">
        <v>7.9999998000000003E-2</v>
      </c>
      <c r="P190" s="2">
        <v>4.9299998279999997</v>
      </c>
      <c r="Q190" s="2">
        <v>0</v>
      </c>
      <c r="R190" s="2">
        <v>124</v>
      </c>
      <c r="S190" s="2">
        <v>4</v>
      </c>
      <c r="T190" s="2">
        <v>223</v>
      </c>
      <c r="U190" s="2">
        <f t="shared" si="12"/>
        <v>351</v>
      </c>
      <c r="V190" s="2">
        <v>1089</v>
      </c>
      <c r="W190" s="2">
        <v>27745</v>
      </c>
      <c r="X190" s="2">
        <f t="shared" si="13"/>
        <v>27745</v>
      </c>
      <c r="Y190" s="2">
        <v>4398</v>
      </c>
      <c r="Z190" t="str" cm="1">
        <f t="array" ref="Z190">_xlfn.IFS(OR(R190&gt;66, S190&gt;38), "High Engagement", OR(AND(R190&gt;32, R190&lt;=66), AND(S190&gt;19, S190&lt;=38)), "Medium-High Engagement", OR(AND(R190&gt;4, R190&lt;=32), AND(S190&gt;6, S190&lt;=19)),"Medium Engagement", TRUE, "Low Engagement"
)</f>
        <v>High Engagement</v>
      </c>
      <c r="AA190">
        <f t="shared" si="14"/>
        <v>0.1585150477563525</v>
      </c>
    </row>
    <row r="191" spans="1:27" x14ac:dyDescent="0.35">
      <c r="A191" s="2">
        <v>5553957443</v>
      </c>
      <c r="B191" s="2" t="s">
        <v>102</v>
      </c>
      <c r="C191" s="2">
        <f>VLOOKUP(user_activity!A753,users_details!$A$1:$G$34,5,0)</f>
        <v>53</v>
      </c>
      <c r="D191" s="2" t="str" cm="1">
        <f t="array" ref="D191">_xlfn.IFS( AND(C191&gt;=18, C191&lt;=25), "Emerging Adults",  AND(C191&gt;=26, C191&lt;=35),  "Young Adults",  AND(C191&gt;=36, C191&lt;=45),  "Midlife Adults",  AND(C191&gt;=46, C191&lt;=55), "Mature Adults", C191&gt;=56,  "Older Adults", TRUE, "Age Not Mentioned")</f>
        <v>Mature Adults</v>
      </c>
      <c r="E191" s="2" t="str">
        <f>VLOOKUP(user_activity!A753,users_details!$A$1:$G$34,6,0)</f>
        <v>Williamsburg, Brooklyn</v>
      </c>
      <c r="F191" s="2" t="str">
        <f>VLOOKUP(user_activity!A753,users_details!$A$1:$G$34,7,0)</f>
        <v>Williamsburg</v>
      </c>
      <c r="G191" s="2" t="s">
        <v>72</v>
      </c>
      <c r="H191" s="7">
        <v>42405</v>
      </c>
      <c r="I191" s="9" t="str">
        <f t="shared" si="10"/>
        <v>Friday</v>
      </c>
      <c r="J191" s="9" t="str">
        <f t="shared" si="11"/>
        <v>February</v>
      </c>
      <c r="K191" s="2">
        <v>6.3800001139999996</v>
      </c>
      <c r="L191" s="2">
        <v>6.3800001139999996</v>
      </c>
      <c r="M191" s="2">
        <v>0</v>
      </c>
      <c r="N191" s="2">
        <v>1.059999943</v>
      </c>
      <c r="O191" s="2">
        <v>0.40999999599999998</v>
      </c>
      <c r="P191" s="2">
        <v>4.9000000950000002</v>
      </c>
      <c r="Q191" s="2">
        <v>0</v>
      </c>
      <c r="R191" s="2">
        <v>23</v>
      </c>
      <c r="S191" s="2">
        <v>9</v>
      </c>
      <c r="T191" s="2">
        <v>227</v>
      </c>
      <c r="U191" s="2">
        <f t="shared" si="12"/>
        <v>259</v>
      </c>
      <c r="V191" s="2">
        <v>724</v>
      </c>
      <c r="W191" s="2">
        <v>9769</v>
      </c>
      <c r="X191" s="2">
        <f t="shared" si="13"/>
        <v>9769</v>
      </c>
      <c r="Y191" s="2">
        <v>1996</v>
      </c>
      <c r="Z191" t="str" cm="1">
        <f t="array" ref="Z191">_xlfn.IFS(OR(R191&gt;66, S191&gt;38), "High Engagement", OR(AND(R191&gt;32, R191&lt;=66), AND(S191&gt;19, S191&lt;=38)), "Medium-High Engagement", OR(AND(R191&gt;4, R191&lt;=32), AND(S191&gt;6, S191&lt;=19)),"Medium Engagement", TRUE, "Low Engagement"
)</f>
        <v>Medium Engagement</v>
      </c>
      <c r="AA191">
        <f t="shared" si="14"/>
        <v>0.2043197870815846</v>
      </c>
    </row>
    <row r="192" spans="1:27" x14ac:dyDescent="0.35">
      <c r="A192" s="2">
        <v>5553957443</v>
      </c>
      <c r="B192" s="2" t="s">
        <v>102</v>
      </c>
      <c r="C192" s="2">
        <f>VLOOKUP(user_activity!A762,users_details!$A$1:$G$34,5,0)</f>
        <v>53</v>
      </c>
      <c r="D192" s="2" t="str" cm="1">
        <f t="array" ref="D192">_xlfn.IFS( AND(C192&gt;=18, C192&lt;=25), "Emerging Adults",  AND(C192&gt;=26, C192&lt;=35),  "Young Adults",  AND(C192&gt;=36, C192&lt;=45),  "Midlife Adults",  AND(C192&gt;=46, C192&lt;=55), "Mature Adults", C192&gt;=56,  "Older Adults", TRUE, "Age Not Mentioned")</f>
        <v>Mature Adults</v>
      </c>
      <c r="E192" s="2" t="str">
        <f>VLOOKUP(user_activity!A762,users_details!$A$1:$G$34,6,0)</f>
        <v>Harlem, Manhattan</v>
      </c>
      <c r="F192" s="2" t="str">
        <f>VLOOKUP(user_activity!A762,users_details!$A$1:$G$34,7,0)</f>
        <v>Harlem</v>
      </c>
      <c r="G192" s="2" t="s">
        <v>72</v>
      </c>
      <c r="H192" s="7">
        <v>42476</v>
      </c>
      <c r="I192" s="9" t="str">
        <f t="shared" si="10"/>
        <v>Saturday</v>
      </c>
      <c r="J192" s="9" t="str">
        <f t="shared" si="11"/>
        <v>April</v>
      </c>
      <c r="K192" s="2">
        <v>3.7699999809999998</v>
      </c>
      <c r="L192" s="2">
        <v>3.7699999809999998</v>
      </c>
      <c r="M192" s="2">
        <v>0</v>
      </c>
      <c r="N192" s="2">
        <v>0</v>
      </c>
      <c r="O192" s="2">
        <v>0</v>
      </c>
      <c r="P192" s="2">
        <v>3.7699999809999998</v>
      </c>
      <c r="Q192" s="2">
        <v>0</v>
      </c>
      <c r="R192" s="2">
        <v>0</v>
      </c>
      <c r="S192" s="2">
        <v>0</v>
      </c>
      <c r="T192" s="2">
        <v>288</v>
      </c>
      <c r="U192" s="2">
        <f t="shared" si="12"/>
        <v>288</v>
      </c>
      <c r="V192" s="2">
        <v>521</v>
      </c>
      <c r="W192" s="2">
        <v>5771</v>
      </c>
      <c r="X192" s="2">
        <f t="shared" si="13"/>
        <v>5771</v>
      </c>
      <c r="Y192" s="2">
        <v>1831</v>
      </c>
      <c r="Z192" t="str" cm="1">
        <f t="array" ref="Z192">_xlfn.IFS(OR(R192&gt;66, S192&gt;38), "High Engagement", OR(AND(R192&gt;32, R192&lt;=66), AND(S192&gt;19, S192&lt;=38)), "Medium-High Engagement", OR(AND(R192&gt;4, R192&lt;=32), AND(S192&gt;6, S192&lt;=19)),"Medium Engagement", TRUE, "Low Engagement"
)</f>
        <v>Low Engagement</v>
      </c>
      <c r="AA192">
        <f t="shared" si="14"/>
        <v>0.3172760353491596</v>
      </c>
    </row>
    <row r="193" spans="1:27" x14ac:dyDescent="0.35">
      <c r="A193" s="2">
        <v>5553957443</v>
      </c>
      <c r="B193" s="2" t="s">
        <v>102</v>
      </c>
      <c r="C193" s="2">
        <f>VLOOKUP(user_activity!A771,users_details!$A$1:$G$34,5,0)</f>
        <v>53</v>
      </c>
      <c r="D193" s="2" t="str" cm="1">
        <f t="array" ref="D193">_xlfn.IFS( AND(C193&gt;=18, C193&lt;=25), "Emerging Adults",  AND(C193&gt;=26, C193&lt;=35),  "Young Adults",  AND(C193&gt;=36, C193&lt;=45),  "Midlife Adults",  AND(C193&gt;=46, C193&lt;=55), "Mature Adults", C193&gt;=56,  "Older Adults", TRUE, "Age Not Mentioned")</f>
        <v>Mature Adults</v>
      </c>
      <c r="E193" s="2" t="str">
        <f>VLOOKUP(user_activity!A771,users_details!$A$1:$G$34,6,0)</f>
        <v>Harlem, Manhattan</v>
      </c>
      <c r="F193" s="2" t="str">
        <f>VLOOKUP(user_activity!A771,users_details!$A$1:$G$34,7,0)</f>
        <v>Harlem</v>
      </c>
      <c r="G193" s="2" t="s">
        <v>72</v>
      </c>
      <c r="H193" s="7">
        <v>42618</v>
      </c>
      <c r="I193" s="9" t="str">
        <f t="shared" si="10"/>
        <v>Monday</v>
      </c>
      <c r="J193" s="9" t="str">
        <f t="shared" si="11"/>
        <v>September</v>
      </c>
      <c r="K193" s="2">
        <v>7.579999924</v>
      </c>
      <c r="L193" s="2">
        <v>7.579999924</v>
      </c>
      <c r="M193" s="2">
        <v>0</v>
      </c>
      <c r="N193" s="2">
        <v>2.130000114</v>
      </c>
      <c r="O193" s="2">
        <v>0.88999998599999997</v>
      </c>
      <c r="P193" s="2">
        <v>4.5599999430000002</v>
      </c>
      <c r="Q193" s="2">
        <v>0</v>
      </c>
      <c r="R193" s="2">
        <v>59</v>
      </c>
      <c r="S193" s="2">
        <v>22</v>
      </c>
      <c r="T193" s="2">
        <v>251</v>
      </c>
      <c r="U193" s="2">
        <f t="shared" si="12"/>
        <v>332</v>
      </c>
      <c r="V193" s="2">
        <v>667</v>
      </c>
      <c r="W193" s="2">
        <v>11611</v>
      </c>
      <c r="X193" s="2">
        <f t="shared" si="13"/>
        <v>11611</v>
      </c>
      <c r="Y193" s="2">
        <v>2272</v>
      </c>
      <c r="Z193" t="str" cm="1">
        <f t="array" ref="Z193">_xlfn.IFS(OR(R193&gt;66, S193&gt;38), "High Engagement", OR(AND(R193&gt;32, R193&lt;=66), AND(S193&gt;19, S193&lt;=38)), "Medium-High Engagement", OR(AND(R193&gt;4, R193&lt;=32), AND(S193&gt;6, S193&lt;=19)),"Medium Engagement", TRUE, "Low Engagement"
)</f>
        <v>Medium-High Engagement</v>
      </c>
      <c r="AA193">
        <f t="shared" si="14"/>
        <v>0.19567651365084834</v>
      </c>
    </row>
    <row r="194" spans="1:27" x14ac:dyDescent="0.35">
      <c r="A194" s="2">
        <v>5553957443</v>
      </c>
      <c r="B194" s="2" t="s">
        <v>102</v>
      </c>
      <c r="C194" s="2">
        <f>VLOOKUP(user_activity!A777,users_details!$A$1:$G$34,5,0)</f>
        <v>53</v>
      </c>
      <c r="D194" s="2" t="str" cm="1">
        <f t="array" ref="D194">_xlfn.IFS( AND(C194&gt;=18, C194&lt;=25), "Emerging Adults",  AND(C194&gt;=26, C194&lt;=35),  "Young Adults",  AND(C194&gt;=36, C194&lt;=45),  "Midlife Adults",  AND(C194&gt;=46, C194&lt;=55), "Mature Adults", C194&gt;=56,  "Older Adults", TRUE, "Age Not Mentioned")</f>
        <v>Mature Adults</v>
      </c>
      <c r="E194" s="2" t="str">
        <f>VLOOKUP(user_activity!A777,users_details!$A$1:$G$34,6,0)</f>
        <v>Harlem, Manhattan</v>
      </c>
      <c r="F194" s="2" t="str">
        <f>VLOOKUP(user_activity!A777,users_details!$A$1:$G$34,7,0)</f>
        <v>Harlem</v>
      </c>
      <c r="G194" s="2" t="s">
        <v>72</v>
      </c>
      <c r="H194" s="7">
        <v>42489</v>
      </c>
      <c r="I194" s="9" t="str">
        <f t="shared" ref="I194:I257" si="15">TEXT(H194, "dddd")</f>
        <v>Friday</v>
      </c>
      <c r="J194" s="9" t="str">
        <f t="shared" ref="J194:J257" si="16">TEXT(H194, "mmmm")</f>
        <v>April</v>
      </c>
      <c r="K194" s="2">
        <v>8.3299999239999991</v>
      </c>
      <c r="L194" s="2">
        <v>8.3299999239999991</v>
      </c>
      <c r="M194" s="2">
        <v>0</v>
      </c>
      <c r="N194" s="2">
        <v>2.789999962</v>
      </c>
      <c r="O194" s="2">
        <v>0.63999998599999997</v>
      </c>
      <c r="P194" s="2">
        <v>4.9099998469999999</v>
      </c>
      <c r="Q194" s="2">
        <v>0</v>
      </c>
      <c r="R194" s="2">
        <v>46</v>
      </c>
      <c r="S194" s="2">
        <v>15</v>
      </c>
      <c r="T194" s="2">
        <v>270</v>
      </c>
      <c r="U194" s="2">
        <f t="shared" ref="U194:U257" si="17">R194+S194+T194</f>
        <v>331</v>
      </c>
      <c r="V194" s="2">
        <v>709</v>
      </c>
      <c r="W194" s="2">
        <v>12764</v>
      </c>
      <c r="X194" s="2">
        <f t="shared" ref="X194:X257" si="18">IF(W194=0,MEDIAN($W$2:$W$941),W194)</f>
        <v>12764</v>
      </c>
      <c r="Y194" s="2">
        <v>2169</v>
      </c>
      <c r="Z194" t="str" cm="1">
        <f t="array" ref="Z194">_xlfn.IFS(OR(R194&gt;66, S194&gt;38), "High Engagement", OR(AND(R194&gt;32, R194&lt;=66), AND(S194&gt;19, S194&lt;=38)), "Medium-High Engagement", OR(AND(R194&gt;4, R194&lt;=32), AND(S194&gt;6, S194&lt;=19)),"Medium Engagement", TRUE, "Low Engagement"
)</f>
        <v>Medium-High Engagement</v>
      </c>
      <c r="AA194">
        <f t="shared" si="14"/>
        <v>0.16993105609526793</v>
      </c>
    </row>
    <row r="195" spans="1:27" x14ac:dyDescent="0.35">
      <c r="A195" s="2">
        <v>5553957443</v>
      </c>
      <c r="B195" s="2" t="s">
        <v>102</v>
      </c>
      <c r="C195" s="2">
        <f>VLOOKUP(user_activity!A791,users_details!$A$1:$G$34,5,0)</f>
        <v>54</v>
      </c>
      <c r="D195" s="2" t="str" cm="1">
        <f t="array" ref="D195">_xlfn.IFS( AND(C195&gt;=18, C195&lt;=25), "Emerging Adults",  AND(C195&gt;=26, C195&lt;=35),  "Young Adults",  AND(C195&gt;=36, C195&lt;=45),  "Midlife Adults",  AND(C195&gt;=46, C195&lt;=55), "Mature Adults", C195&gt;=56,  "Older Adults", TRUE, "Age Not Mentioned")</f>
        <v>Mature Adults</v>
      </c>
      <c r="E195" s="2" t="str">
        <f>VLOOKUP(user_activity!A791,users_details!$A$1:$G$34,6,0)</f>
        <v>Crown Heights, Brooklyn</v>
      </c>
      <c r="F195" s="2" t="str">
        <f>VLOOKUP(user_activity!A791,users_details!$A$1:$G$34,7,0)</f>
        <v>Crown Heights</v>
      </c>
      <c r="G195" s="2" t="s">
        <v>72</v>
      </c>
      <c r="H195" s="7">
        <v>42482</v>
      </c>
      <c r="I195" s="9" t="str">
        <f t="shared" si="15"/>
        <v>Friday</v>
      </c>
      <c r="J195" s="9" t="str">
        <f t="shared" si="16"/>
        <v>April</v>
      </c>
      <c r="K195" s="2">
        <v>7.6300001139999996</v>
      </c>
      <c r="L195" s="2">
        <v>7.6300001139999996</v>
      </c>
      <c r="M195" s="2">
        <v>0</v>
      </c>
      <c r="N195" s="2">
        <v>1.3799999949999999</v>
      </c>
      <c r="O195" s="2">
        <v>0.62999999500000003</v>
      </c>
      <c r="P195" s="2">
        <v>5.5999999049999998</v>
      </c>
      <c r="Q195" s="2">
        <v>0</v>
      </c>
      <c r="R195" s="2">
        <v>25</v>
      </c>
      <c r="S195" s="2">
        <v>16</v>
      </c>
      <c r="T195" s="2">
        <v>270</v>
      </c>
      <c r="U195" s="2">
        <f t="shared" si="17"/>
        <v>311</v>
      </c>
      <c r="V195" s="2">
        <v>781</v>
      </c>
      <c r="W195" s="2">
        <v>11682</v>
      </c>
      <c r="X195" s="2">
        <f t="shared" si="18"/>
        <v>11682</v>
      </c>
      <c r="Y195" s="2">
        <v>2105</v>
      </c>
      <c r="Z195" t="str" cm="1">
        <f t="array" ref="Z195">_xlfn.IFS(OR(R195&gt;66, S195&gt;38), "High Engagement", OR(AND(R195&gt;32, R195&lt;=66), AND(S195&gt;19, S195&lt;=38)), "Medium-High Engagement", OR(AND(R195&gt;4, R195&lt;=32), AND(S195&gt;6, S195&lt;=19)),"Medium Engagement", TRUE, "Low Engagement"
)</f>
        <v>Medium Engagement</v>
      </c>
      <c r="AA195">
        <f t="shared" ref="AA195:AA258" si="19">IF(W195&gt;0, Y195/W195, 0)</f>
        <v>0.18019174798835816</v>
      </c>
    </row>
    <row r="196" spans="1:27" x14ac:dyDescent="0.35">
      <c r="A196" s="2">
        <v>8877689391</v>
      </c>
      <c r="B196" s="2" t="s">
        <v>98</v>
      </c>
      <c r="C196" s="2">
        <f>VLOOKUP(user_activity!A821,users_details!$A$1:$G$34,5,0)</f>
        <v>54</v>
      </c>
      <c r="D196" s="2" t="str" cm="1">
        <f t="array" ref="D196">_xlfn.IFS( AND(C196&gt;=18, C196&lt;=25), "Emerging Adults",  AND(C196&gt;=26, C196&lt;=35),  "Young Adults",  AND(C196&gt;=36, C196&lt;=45),  "Midlife Adults",  AND(C196&gt;=46, C196&lt;=55), "Mature Adults", C196&gt;=56,  "Older Adults", TRUE, "Age Not Mentioned")</f>
        <v>Mature Adults</v>
      </c>
      <c r="E196" s="2" t="str">
        <f>VLOOKUP(user_activity!A821,users_details!$A$1:$G$34,6,0)</f>
        <v>Crown Heights, Brooklyn</v>
      </c>
      <c r="F196" s="2" t="str">
        <f>VLOOKUP(user_activity!A821,users_details!$A$1:$G$34,7,0)</f>
        <v>Crown Heights</v>
      </c>
      <c r="G196" s="2" t="s">
        <v>71</v>
      </c>
      <c r="H196" s="7">
        <v>42479</v>
      </c>
      <c r="I196" s="9" t="str">
        <f t="shared" si="15"/>
        <v>Tuesday</v>
      </c>
      <c r="J196" s="9" t="str">
        <f t="shared" si="16"/>
        <v>April</v>
      </c>
      <c r="K196" s="2">
        <v>17.399999619999999</v>
      </c>
      <c r="L196" s="2">
        <v>17.399999619999999</v>
      </c>
      <c r="M196" s="2">
        <v>0</v>
      </c>
      <c r="N196" s="2">
        <v>12.149999619999999</v>
      </c>
      <c r="O196" s="2">
        <v>0.18000000699999999</v>
      </c>
      <c r="P196" s="2">
        <v>5.0300002099999999</v>
      </c>
      <c r="Q196" s="2">
        <v>0</v>
      </c>
      <c r="R196" s="2">
        <v>82</v>
      </c>
      <c r="S196" s="2">
        <v>13</v>
      </c>
      <c r="T196" s="2">
        <v>214</v>
      </c>
      <c r="U196" s="2">
        <f t="shared" si="17"/>
        <v>309</v>
      </c>
      <c r="V196" s="2">
        <v>1131</v>
      </c>
      <c r="W196" s="2">
        <v>18785</v>
      </c>
      <c r="X196" s="2">
        <f t="shared" si="18"/>
        <v>18785</v>
      </c>
      <c r="Y196" s="2">
        <v>3676</v>
      </c>
      <c r="Z196" t="str" cm="1">
        <f t="array" ref="Z196">_xlfn.IFS(OR(R196&gt;66, S196&gt;38), "High Engagement", OR(AND(R196&gt;32, R196&lt;=66), AND(S196&gt;19, S196&lt;=38)), "Medium-High Engagement", OR(AND(R196&gt;4, R196&lt;=32), AND(S196&gt;6, S196&lt;=19)),"Medium Engagement", TRUE, "Low Engagement"
)</f>
        <v>High Engagement</v>
      </c>
      <c r="AA196">
        <f t="shared" si="19"/>
        <v>0.19568804897524622</v>
      </c>
    </row>
    <row r="197" spans="1:27" x14ac:dyDescent="0.35">
      <c r="A197" s="2">
        <v>8877689391</v>
      </c>
      <c r="B197" s="2" t="s">
        <v>98</v>
      </c>
      <c r="C197" s="2">
        <f>VLOOKUP(user_activity!A845,users_details!$A$1:$G$34,5,0)</f>
        <v>56</v>
      </c>
      <c r="D197" s="2" t="str" cm="1">
        <f t="array" ref="D197">_xlfn.IFS( AND(C197&gt;=18, C197&lt;=25), "Emerging Adults",  AND(C197&gt;=26, C197&lt;=35),  "Young Adults",  AND(C197&gt;=36, C197&lt;=45),  "Midlife Adults",  AND(C197&gt;=46, C197&lt;=55), "Mature Adults", C197&gt;=56,  "Older Adults", TRUE, "Age Not Mentioned")</f>
        <v>Older Adults</v>
      </c>
      <c r="E197" s="2" t="str">
        <f>VLOOKUP(user_activity!A845,users_details!$A$1:$G$34,6,0)</f>
        <v>Flatbush, Brooklyn</v>
      </c>
      <c r="F197" s="2" t="str">
        <f>VLOOKUP(user_activity!A845,users_details!$A$1:$G$34,7,0)</f>
        <v>Flatbush</v>
      </c>
      <c r="G197" s="2" t="s">
        <v>71</v>
      </c>
      <c r="H197" s="7">
        <v>42618</v>
      </c>
      <c r="I197" s="9" t="str">
        <f t="shared" si="15"/>
        <v>Monday</v>
      </c>
      <c r="J197" s="9" t="str">
        <f t="shared" si="16"/>
        <v>September</v>
      </c>
      <c r="K197" s="2">
        <v>18.25</v>
      </c>
      <c r="L197" s="2">
        <v>18.25</v>
      </c>
      <c r="M197" s="2">
        <v>0</v>
      </c>
      <c r="N197" s="2">
        <v>11.100000380000001</v>
      </c>
      <c r="O197" s="2">
        <v>0.80000001200000004</v>
      </c>
      <c r="P197" s="2">
        <v>6.2399997709999999</v>
      </c>
      <c r="Q197" s="2">
        <v>5.0000001000000002E-2</v>
      </c>
      <c r="R197" s="2">
        <v>73</v>
      </c>
      <c r="S197" s="2">
        <v>19</v>
      </c>
      <c r="T197" s="2">
        <v>217</v>
      </c>
      <c r="U197" s="2">
        <f t="shared" si="17"/>
        <v>309</v>
      </c>
      <c r="V197" s="2">
        <v>1131</v>
      </c>
      <c r="W197" s="2">
        <v>20226</v>
      </c>
      <c r="X197" s="2">
        <f t="shared" si="18"/>
        <v>20226</v>
      </c>
      <c r="Y197" s="2">
        <v>3710</v>
      </c>
      <c r="Z197" t="str" cm="1">
        <f t="array" ref="Z197">_xlfn.IFS(OR(R197&gt;66, S197&gt;38), "High Engagement", OR(AND(R197&gt;32, R197&lt;=66), AND(S197&gt;19, S197&lt;=38)), "Medium-High Engagement", OR(AND(R197&gt;4, R197&lt;=32), AND(S197&gt;6, S197&lt;=19)),"Medium Engagement", TRUE, "Low Engagement"
)</f>
        <v>High Engagement</v>
      </c>
      <c r="AA197">
        <f t="shared" si="19"/>
        <v>0.18342727182833976</v>
      </c>
    </row>
    <row r="198" spans="1:27" x14ac:dyDescent="0.35">
      <c r="A198" s="2">
        <v>5553957443</v>
      </c>
      <c r="B198" s="2" t="s">
        <v>102</v>
      </c>
      <c r="C198" s="2">
        <f>VLOOKUP(user_activity!A850,users_details!$A$1:$G$34,5,0)</f>
        <v>56</v>
      </c>
      <c r="D198" s="2" t="str" cm="1">
        <f t="array" ref="D198">_xlfn.IFS( AND(C198&gt;=18, C198&lt;=25), "Emerging Adults",  AND(C198&gt;=26, C198&lt;=35),  "Young Adults",  AND(C198&gt;=36, C198&lt;=45),  "Midlife Adults",  AND(C198&gt;=46, C198&lt;=55), "Mature Adults", C198&gt;=56,  "Older Adults", TRUE, "Age Not Mentioned")</f>
        <v>Older Adults</v>
      </c>
      <c r="E198" s="2" t="str">
        <f>VLOOKUP(user_activity!A850,users_details!$A$1:$G$34,6,0)</f>
        <v>Flatbush, Brooklyn</v>
      </c>
      <c r="F198" s="2" t="str">
        <f>VLOOKUP(user_activity!A850,users_details!$A$1:$G$34,7,0)</f>
        <v>Flatbush</v>
      </c>
      <c r="G198" s="2" t="s">
        <v>72</v>
      </c>
      <c r="H198" s="7">
        <v>42374</v>
      </c>
      <c r="I198" s="9" t="str">
        <f t="shared" si="15"/>
        <v>Tuesday</v>
      </c>
      <c r="J198" s="9" t="str">
        <f t="shared" si="16"/>
        <v>January</v>
      </c>
      <c r="K198" s="2">
        <v>3.369999886</v>
      </c>
      <c r="L198" s="2">
        <v>3.369999886</v>
      </c>
      <c r="M198" s="2">
        <v>0</v>
      </c>
      <c r="N198" s="2">
        <v>0</v>
      </c>
      <c r="O198" s="2">
        <v>0</v>
      </c>
      <c r="P198" s="2">
        <v>3.369999886</v>
      </c>
      <c r="Q198" s="2">
        <v>0</v>
      </c>
      <c r="R198" s="2">
        <v>0</v>
      </c>
      <c r="S198" s="2">
        <v>0</v>
      </c>
      <c r="T198" s="2">
        <v>237</v>
      </c>
      <c r="U198" s="2">
        <f t="shared" si="17"/>
        <v>237</v>
      </c>
      <c r="V198" s="2">
        <v>436</v>
      </c>
      <c r="W198" s="2">
        <v>5164</v>
      </c>
      <c r="X198" s="2">
        <f t="shared" si="18"/>
        <v>5164</v>
      </c>
      <c r="Y198" s="2">
        <v>1747</v>
      </c>
      <c r="Z198" t="str" cm="1">
        <f t="array" ref="Z198">_xlfn.IFS(OR(R198&gt;66, S198&gt;38), "High Engagement", OR(AND(R198&gt;32, R198&lt;=66), AND(S198&gt;19, S198&lt;=38)), "Medium-High Engagement", OR(AND(R198&gt;4, R198&lt;=32), AND(S198&gt;6, S198&lt;=19)),"Medium Engagement", TRUE, "Low Engagement"
)</f>
        <v>Low Engagement</v>
      </c>
      <c r="AA198">
        <f t="shared" si="19"/>
        <v>0.33830364058869095</v>
      </c>
    </row>
    <row r="199" spans="1:27" x14ac:dyDescent="0.35">
      <c r="A199" s="2">
        <v>5553957443</v>
      </c>
      <c r="B199" s="2" t="s">
        <v>102</v>
      </c>
      <c r="C199" s="2">
        <f>VLOOKUP(user_activity!A858,users_details!$A$1:$G$34,5,0)</f>
        <v>58</v>
      </c>
      <c r="D199" s="2" t="str" cm="1">
        <f t="array" ref="D199">_xlfn.IFS( AND(C199&gt;=18, C199&lt;=25), "Emerging Adults",  AND(C199&gt;=26, C199&lt;=35),  "Young Adults",  AND(C199&gt;=36, C199&lt;=45),  "Midlife Adults",  AND(C199&gt;=46, C199&lt;=55), "Mature Adults", C199&gt;=56,  "Older Adults", TRUE, "Age Not Mentioned")</f>
        <v>Older Adults</v>
      </c>
      <c r="E199" s="2" t="str">
        <f>VLOOKUP(user_activity!A858,users_details!$A$1:$G$34,6,0)</f>
        <v>East Village, Manhattan</v>
      </c>
      <c r="F199" s="2" t="str">
        <f>VLOOKUP(user_activity!A858,users_details!$A$1:$G$34,7,0)</f>
        <v>East Village</v>
      </c>
      <c r="G199" s="2" t="s">
        <v>72</v>
      </c>
      <c r="H199" s="7">
        <v>42679</v>
      </c>
      <c r="I199" s="9" t="str">
        <f t="shared" si="15"/>
        <v>Saturday</v>
      </c>
      <c r="J199" s="9" t="str">
        <f t="shared" si="16"/>
        <v>November</v>
      </c>
      <c r="K199" s="2">
        <v>3.2200000289999999</v>
      </c>
      <c r="L199" s="2">
        <v>3.2200000289999999</v>
      </c>
      <c r="M199" s="2">
        <v>0</v>
      </c>
      <c r="N199" s="2">
        <v>0</v>
      </c>
      <c r="O199" s="2">
        <v>0</v>
      </c>
      <c r="P199" s="2">
        <v>3.2200000289999999</v>
      </c>
      <c r="Q199" s="2">
        <v>0</v>
      </c>
      <c r="R199" s="2">
        <v>0</v>
      </c>
      <c r="S199" s="2">
        <v>0</v>
      </c>
      <c r="T199" s="2">
        <v>195</v>
      </c>
      <c r="U199" s="2">
        <f t="shared" si="17"/>
        <v>195</v>
      </c>
      <c r="V199" s="2">
        <v>628</v>
      </c>
      <c r="W199" s="2">
        <v>4926</v>
      </c>
      <c r="X199" s="2">
        <f t="shared" si="18"/>
        <v>4926</v>
      </c>
      <c r="Y199" s="2">
        <v>1693</v>
      </c>
      <c r="Z199" t="str" cm="1">
        <f t="array" ref="Z199">_xlfn.IFS(OR(R199&gt;66, S199&gt;38), "High Engagement", OR(AND(R199&gt;32, R199&lt;=66), AND(S199&gt;19, S199&lt;=38)), "Medium-High Engagement", OR(AND(R199&gt;4, R199&lt;=32), AND(S199&gt;6, S199&lt;=19)),"Medium Engagement", TRUE, "Low Engagement"
)</f>
        <v>Low Engagement</v>
      </c>
      <c r="AA199">
        <f t="shared" si="19"/>
        <v>0.34368656110434431</v>
      </c>
    </row>
    <row r="200" spans="1:27" x14ac:dyDescent="0.35">
      <c r="A200" s="2">
        <v>5553957443</v>
      </c>
      <c r="B200" s="2" t="s">
        <v>102</v>
      </c>
      <c r="C200" s="2">
        <f>VLOOKUP(user_activity!A862,users_details!$A$1:$G$34,5,0)</f>
        <v>58</v>
      </c>
      <c r="D200" s="2" t="str" cm="1">
        <f t="array" ref="D200">_xlfn.IFS( AND(C200&gt;=18, C200&lt;=25), "Emerging Adults",  AND(C200&gt;=26, C200&lt;=35),  "Young Adults",  AND(C200&gt;=36, C200&lt;=45),  "Midlife Adults",  AND(C200&gt;=46, C200&lt;=55), "Mature Adults", C200&gt;=56,  "Older Adults", TRUE, "Age Not Mentioned")</f>
        <v>Older Adults</v>
      </c>
      <c r="E200" s="2" t="str">
        <f>VLOOKUP(user_activity!A862,users_details!$A$1:$G$34,6,0)</f>
        <v>East Village, Manhattan</v>
      </c>
      <c r="F200" s="2" t="str">
        <f>VLOOKUP(user_activity!A862,users_details!$A$1:$G$34,7,0)</f>
        <v>East Village</v>
      </c>
      <c r="G200" s="2" t="s">
        <v>72</v>
      </c>
      <c r="H200" s="7">
        <v>42556</v>
      </c>
      <c r="I200" s="9" t="str">
        <f t="shared" si="15"/>
        <v>Tuesday</v>
      </c>
      <c r="J200" s="9" t="str">
        <f t="shared" si="16"/>
        <v>July</v>
      </c>
      <c r="K200" s="2">
        <v>1.2200000289999999</v>
      </c>
      <c r="L200" s="2">
        <v>1.2200000289999999</v>
      </c>
      <c r="M200" s="2">
        <v>0</v>
      </c>
      <c r="N200" s="2">
        <v>0</v>
      </c>
      <c r="O200" s="2">
        <v>0</v>
      </c>
      <c r="P200" s="2">
        <v>1.2200000289999999</v>
      </c>
      <c r="Q200" s="2">
        <v>0</v>
      </c>
      <c r="R200" s="2">
        <v>0</v>
      </c>
      <c r="S200" s="2">
        <v>0</v>
      </c>
      <c r="T200" s="2">
        <v>96</v>
      </c>
      <c r="U200" s="2">
        <f t="shared" si="17"/>
        <v>96</v>
      </c>
      <c r="V200" s="2">
        <v>902</v>
      </c>
      <c r="W200" s="2">
        <v>1868</v>
      </c>
      <c r="X200" s="2">
        <f t="shared" si="18"/>
        <v>1868</v>
      </c>
      <c r="Y200" s="2">
        <v>1494</v>
      </c>
      <c r="Z200" t="str" cm="1">
        <f t="array" ref="Z200">_xlfn.IFS(OR(R200&gt;66, S200&gt;38), "High Engagement", OR(AND(R200&gt;32, R200&lt;=66), AND(S200&gt;19, S200&lt;=38)), "Medium-High Engagement", OR(AND(R200&gt;4, R200&lt;=32), AND(S200&gt;6, S200&lt;=19)),"Medium Engagement", TRUE, "Low Engagement"
)</f>
        <v>Low Engagement</v>
      </c>
      <c r="AA200">
        <f t="shared" si="19"/>
        <v>0.79978586723768741</v>
      </c>
    </row>
    <row r="201" spans="1:27" x14ac:dyDescent="0.35">
      <c r="A201" s="2">
        <v>5553957443</v>
      </c>
      <c r="B201" s="2" t="s">
        <v>102</v>
      </c>
      <c r="C201" s="2">
        <f>VLOOKUP(user_activity!A873,users_details!$A$1:$G$34,5,0)</f>
        <v>58</v>
      </c>
      <c r="D201" s="2" t="str" cm="1">
        <f t="array" ref="D201">_xlfn.IFS( AND(C201&gt;=18, C201&lt;=25), "Emerging Adults",  AND(C201&gt;=26, C201&lt;=35),  "Young Adults",  AND(C201&gt;=36, C201&lt;=45),  "Midlife Adults",  AND(C201&gt;=46, C201&lt;=55), "Mature Adults", C201&gt;=56,  "Older Adults", TRUE, "Age Not Mentioned")</f>
        <v>Older Adults</v>
      </c>
      <c r="E201" s="2" t="str">
        <f>VLOOKUP(user_activity!A873,users_details!$A$1:$G$34,6,0)</f>
        <v>East Village, Manhattan</v>
      </c>
      <c r="F201" s="2" t="str">
        <f>VLOOKUP(user_activity!A873,users_details!$A$1:$G$34,7,0)</f>
        <v>East Village</v>
      </c>
      <c r="G201" s="2" t="s">
        <v>72</v>
      </c>
      <c r="H201" s="7">
        <v>42648</v>
      </c>
      <c r="I201" s="9" t="str">
        <f t="shared" si="15"/>
        <v>Wednesday</v>
      </c>
      <c r="J201" s="9" t="str">
        <f t="shared" si="16"/>
        <v>October</v>
      </c>
      <c r="K201" s="2">
        <v>10.710000040000001</v>
      </c>
      <c r="L201" s="2">
        <v>10.710000040000001</v>
      </c>
      <c r="M201" s="2">
        <v>0</v>
      </c>
      <c r="N201" s="2">
        <v>3.869999886</v>
      </c>
      <c r="O201" s="2">
        <v>1.6100000139999999</v>
      </c>
      <c r="P201" s="2">
        <v>5.1999998090000004</v>
      </c>
      <c r="Q201" s="2">
        <v>0</v>
      </c>
      <c r="R201" s="2">
        <v>61</v>
      </c>
      <c r="S201" s="2">
        <v>40</v>
      </c>
      <c r="T201" s="2">
        <v>265</v>
      </c>
      <c r="U201" s="2">
        <f t="shared" si="17"/>
        <v>366</v>
      </c>
      <c r="V201" s="2">
        <v>707</v>
      </c>
      <c r="W201" s="2">
        <v>16358</v>
      </c>
      <c r="X201" s="2">
        <f t="shared" si="18"/>
        <v>16358</v>
      </c>
      <c r="Y201" s="2">
        <v>2335</v>
      </c>
      <c r="Z201" t="str" cm="1">
        <f t="array" ref="Z201">_xlfn.IFS(OR(R201&gt;66, S201&gt;38), "High Engagement", OR(AND(R201&gt;32, R201&lt;=66), AND(S201&gt;19, S201&lt;=38)), "Medium-High Engagement", OR(AND(R201&gt;4, R201&lt;=32), AND(S201&gt;6, S201&lt;=19)),"Medium Engagement", TRUE, "Low Engagement"
)</f>
        <v>High Engagement</v>
      </c>
      <c r="AA201">
        <f t="shared" si="19"/>
        <v>0.14274361168847047</v>
      </c>
    </row>
    <row r="202" spans="1:27" x14ac:dyDescent="0.35">
      <c r="A202" s="2">
        <v>8877689391</v>
      </c>
      <c r="B202" s="2" t="s">
        <v>98</v>
      </c>
      <c r="C202" s="2">
        <f>VLOOKUP(user_activity!A884,users_details!$A$1:$G$34,5,0)</f>
        <v>59</v>
      </c>
      <c r="D202" s="2" t="str" cm="1">
        <f t="array" ref="D202">_xlfn.IFS( AND(C202&gt;=18, C202&lt;=25), "Emerging Adults",  AND(C202&gt;=26, C202&lt;=35),  "Young Adults",  AND(C202&gt;=36, C202&lt;=45),  "Midlife Adults",  AND(C202&gt;=46, C202&lt;=55), "Mature Adults", C202&gt;=56,  "Older Adults", TRUE, "Age Not Mentioned")</f>
        <v>Older Adults</v>
      </c>
      <c r="E202" s="2" t="str">
        <f>VLOOKUP(user_activity!A884,users_details!$A$1:$G$34,6,0)</f>
        <v>Upper West Side, Manhattan</v>
      </c>
      <c r="F202" s="2" t="str">
        <f>VLOOKUP(user_activity!A884,users_details!$A$1:$G$34,7,0)</f>
        <v>Upper West Side</v>
      </c>
      <c r="G202" s="2" t="s">
        <v>71</v>
      </c>
      <c r="H202" s="7">
        <v>42495</v>
      </c>
      <c r="I202" s="9" t="str">
        <f t="shared" si="15"/>
        <v>Thursday</v>
      </c>
      <c r="J202" s="9" t="str">
        <f t="shared" si="16"/>
        <v>May</v>
      </c>
      <c r="K202" s="2">
        <v>10.670000079999999</v>
      </c>
      <c r="L202" s="2">
        <v>10.670000079999999</v>
      </c>
      <c r="M202" s="2">
        <v>0</v>
      </c>
      <c r="N202" s="2">
        <v>5.4600000380000004</v>
      </c>
      <c r="O202" s="2">
        <v>0.81999999300000004</v>
      </c>
      <c r="P202" s="2">
        <v>4.3699998860000004</v>
      </c>
      <c r="Q202" s="2">
        <v>0</v>
      </c>
      <c r="R202" s="2">
        <v>67</v>
      </c>
      <c r="S202" s="2">
        <v>15</v>
      </c>
      <c r="T202" s="2">
        <v>188</v>
      </c>
      <c r="U202" s="2">
        <f t="shared" si="17"/>
        <v>270</v>
      </c>
      <c r="V202" s="2">
        <v>1170</v>
      </c>
      <c r="W202" s="2">
        <v>14055</v>
      </c>
      <c r="X202" s="2">
        <f t="shared" si="18"/>
        <v>14055</v>
      </c>
      <c r="Y202" s="2">
        <v>3052</v>
      </c>
      <c r="Z202" t="str" cm="1">
        <f t="array" ref="Z202">_xlfn.IFS(OR(R202&gt;66, S202&gt;38), "High Engagement", OR(AND(R202&gt;32, R202&lt;=66), AND(S202&gt;19, S202&lt;=38)), "Medium-High Engagement", OR(AND(R202&gt;4, R202&lt;=32), AND(S202&gt;6, S202&lt;=19)),"Medium Engagement", TRUE, "Low Engagement"
)</f>
        <v>High Engagement</v>
      </c>
      <c r="AA202">
        <f t="shared" si="19"/>
        <v>0.21714692280327286</v>
      </c>
    </row>
    <row r="203" spans="1:27" x14ac:dyDescent="0.35">
      <c r="A203" s="2">
        <v>8877689391</v>
      </c>
      <c r="B203" s="2" t="s">
        <v>98</v>
      </c>
      <c r="C203" s="2">
        <f>VLOOKUP(user_activity!A888,users_details!$A$1:$G$34,5,0)</f>
        <v>59</v>
      </c>
      <c r="D203" s="2" t="str" cm="1">
        <f t="array" ref="D203">_xlfn.IFS( AND(C203&gt;=18, C203&lt;=25), "Emerging Adults",  AND(C203&gt;=26, C203&lt;=35),  "Young Adults",  AND(C203&gt;=36, C203&lt;=45),  "Midlife Adults",  AND(C203&gt;=46, C203&lt;=55), "Mature Adults", C203&gt;=56,  "Older Adults", TRUE, "Age Not Mentioned")</f>
        <v>Older Adults</v>
      </c>
      <c r="E203" s="2" t="str">
        <f>VLOOKUP(user_activity!A888,users_details!$A$1:$G$34,6,0)</f>
        <v>Upper West Side, Manhattan</v>
      </c>
      <c r="F203" s="2" t="str">
        <f>VLOOKUP(user_activity!A888,users_details!$A$1:$G$34,7,0)</f>
        <v>Upper West Side</v>
      </c>
      <c r="G203" s="2" t="s">
        <v>71</v>
      </c>
      <c r="H203" s="7">
        <v>42483</v>
      </c>
      <c r="I203" s="9" t="str">
        <f t="shared" si="15"/>
        <v>Saturday</v>
      </c>
      <c r="J203" s="9" t="str">
        <f t="shared" si="16"/>
        <v>April</v>
      </c>
      <c r="K203" s="2">
        <v>7.4299998279999997</v>
      </c>
      <c r="L203" s="2">
        <v>7.4299998279999997</v>
      </c>
      <c r="M203" s="2">
        <v>0</v>
      </c>
      <c r="N203" s="2">
        <v>0</v>
      </c>
      <c r="O203" s="2">
        <v>0</v>
      </c>
      <c r="P203" s="2">
        <v>7.4000000950000002</v>
      </c>
      <c r="Q203" s="2">
        <v>0.01</v>
      </c>
      <c r="R203" s="2">
        <v>102</v>
      </c>
      <c r="S203" s="2">
        <v>6</v>
      </c>
      <c r="T203" s="2">
        <v>300</v>
      </c>
      <c r="U203" s="2">
        <f t="shared" si="17"/>
        <v>408</v>
      </c>
      <c r="V203" s="2">
        <v>1032</v>
      </c>
      <c r="W203" s="2">
        <v>11200</v>
      </c>
      <c r="X203" s="2">
        <f t="shared" si="18"/>
        <v>11200</v>
      </c>
      <c r="Y203" s="2">
        <v>3891</v>
      </c>
      <c r="Z203" t="str" cm="1">
        <f t="array" ref="Z203">_xlfn.IFS(OR(R203&gt;66, S203&gt;38), "High Engagement", OR(AND(R203&gt;32, R203&lt;=66), AND(S203&gt;19, S203&lt;=38)), "Medium-High Engagement", OR(AND(R203&gt;4, R203&lt;=32), AND(S203&gt;6, S203&lt;=19)),"Medium Engagement", TRUE, "Low Engagement"
)</f>
        <v>High Engagement</v>
      </c>
      <c r="AA203">
        <f t="shared" si="19"/>
        <v>0.34741071428571429</v>
      </c>
    </row>
    <row r="204" spans="1:27" x14ac:dyDescent="0.35">
      <c r="A204" s="2">
        <v>5553957443</v>
      </c>
      <c r="B204" s="2" t="s">
        <v>102</v>
      </c>
      <c r="C204" s="2">
        <f>VLOOKUP(user_activity!A892,users_details!$A$1:$G$34,5,0)</f>
        <v>59</v>
      </c>
      <c r="D204" s="2" t="str" cm="1">
        <f t="array" ref="D204">_xlfn.IFS( AND(C204&gt;=18, C204&lt;=25), "Emerging Adults",  AND(C204&gt;=26, C204&lt;=35),  "Young Adults",  AND(C204&gt;=36, C204&lt;=45),  "Midlife Adults",  AND(C204&gt;=46, C204&lt;=55), "Mature Adults", C204&gt;=56,  "Older Adults", TRUE, "Age Not Mentioned")</f>
        <v>Older Adults</v>
      </c>
      <c r="E204" s="2" t="str">
        <f>VLOOKUP(user_activity!A892,users_details!$A$1:$G$34,6,0)</f>
        <v>Upper West Side, Manhattan</v>
      </c>
      <c r="F204" s="2" t="str">
        <f>VLOOKUP(user_activity!A892,users_details!$A$1:$G$34,7,0)</f>
        <v>Upper West Side</v>
      </c>
      <c r="G204" s="2" t="s">
        <v>72</v>
      </c>
      <c r="H204" s="7">
        <v>42709</v>
      </c>
      <c r="I204" s="9" t="str">
        <f t="shared" si="15"/>
        <v>Monday</v>
      </c>
      <c r="J204" s="9" t="str">
        <f t="shared" si="16"/>
        <v>December</v>
      </c>
      <c r="K204" s="2">
        <v>2.039999962</v>
      </c>
      <c r="L204" s="2">
        <v>2.039999962</v>
      </c>
      <c r="M204" s="2">
        <v>0</v>
      </c>
      <c r="N204" s="2">
        <v>0.579999983</v>
      </c>
      <c r="O204" s="2">
        <v>0.40000000600000002</v>
      </c>
      <c r="P204" s="2">
        <v>1.059999943</v>
      </c>
      <c r="Q204" s="2">
        <v>0</v>
      </c>
      <c r="R204" s="2">
        <v>8</v>
      </c>
      <c r="S204" s="2">
        <v>6</v>
      </c>
      <c r="T204" s="2">
        <v>48</v>
      </c>
      <c r="U204" s="2">
        <f t="shared" si="17"/>
        <v>62</v>
      </c>
      <c r="V204" s="2">
        <v>222</v>
      </c>
      <c r="W204" s="2">
        <v>3121</v>
      </c>
      <c r="X204" s="2">
        <f t="shared" si="18"/>
        <v>3121</v>
      </c>
      <c r="Y204" s="2">
        <v>741</v>
      </c>
      <c r="Z204" t="str" cm="1">
        <f t="array" ref="Z204">_xlfn.IFS(OR(R204&gt;66, S204&gt;38), "High Engagement", OR(AND(R204&gt;32, R204&lt;=66), AND(S204&gt;19, S204&lt;=38)), "Medium-High Engagement", OR(AND(R204&gt;4, R204&lt;=32), AND(S204&gt;6, S204&lt;=19)),"Medium Engagement", TRUE, "Low Engagement"
)</f>
        <v>Medium Engagement</v>
      </c>
      <c r="AA204">
        <f t="shared" si="19"/>
        <v>0.23742390259532201</v>
      </c>
    </row>
    <row r="205" spans="1:27" x14ac:dyDescent="0.35">
      <c r="A205" s="2">
        <v>5553957443</v>
      </c>
      <c r="B205" s="2" t="s">
        <v>102</v>
      </c>
      <c r="C205" s="2">
        <f>VLOOKUP(user_activity!A894,users_details!$A$1:$G$34,5,0)</f>
        <v>59</v>
      </c>
      <c r="D205" s="2" t="str" cm="1">
        <f t="array" ref="D205">_xlfn.IFS( AND(C205&gt;=18, C205&lt;=25), "Emerging Adults",  AND(C205&gt;=26, C205&lt;=35),  "Young Adults",  AND(C205&gt;=36, C205&lt;=45),  "Midlife Adults",  AND(C205&gt;=46, C205&lt;=55), "Mature Adults", C205&gt;=56,  "Older Adults", TRUE, "Age Not Mentioned")</f>
        <v>Older Adults</v>
      </c>
      <c r="E205" s="2" t="str">
        <f>VLOOKUP(user_activity!A894,users_details!$A$1:$G$34,6,0)</f>
        <v>Upper West Side, Manhattan</v>
      </c>
      <c r="F205" s="2" t="str">
        <f>VLOOKUP(user_activity!A894,users_details!$A$1:$G$34,7,0)</f>
        <v>Upper West Side</v>
      </c>
      <c r="G205" s="2" t="s">
        <v>72</v>
      </c>
      <c r="H205" s="7">
        <v>42587</v>
      </c>
      <c r="I205" s="9" t="str">
        <f t="shared" si="15"/>
        <v>Friday</v>
      </c>
      <c r="J205" s="9" t="str">
        <f t="shared" si="16"/>
        <v>August</v>
      </c>
      <c r="K205" s="2">
        <v>4</v>
      </c>
      <c r="L205" s="2">
        <v>4</v>
      </c>
      <c r="M205" s="2">
        <v>0</v>
      </c>
      <c r="N205" s="2">
        <v>0.219999999</v>
      </c>
      <c r="O205" s="2">
        <v>0.469999999</v>
      </c>
      <c r="P205" s="2">
        <v>3.2999999519999998</v>
      </c>
      <c r="Q205" s="2">
        <v>0</v>
      </c>
      <c r="R205" s="2">
        <v>3</v>
      </c>
      <c r="S205" s="2">
        <v>8</v>
      </c>
      <c r="T205" s="2">
        <v>210</v>
      </c>
      <c r="U205" s="2">
        <f t="shared" si="17"/>
        <v>221</v>
      </c>
      <c r="V205" s="2">
        <v>505</v>
      </c>
      <c r="W205" s="2">
        <v>6083</v>
      </c>
      <c r="X205" s="2">
        <f t="shared" si="18"/>
        <v>6083</v>
      </c>
      <c r="Y205" s="2">
        <v>1762</v>
      </c>
      <c r="Z205" t="str" cm="1">
        <f t="array" ref="Z205">_xlfn.IFS(OR(R205&gt;66, S205&gt;38), "High Engagement", OR(AND(R205&gt;32, R205&lt;=66), AND(S205&gt;19, S205&lt;=38)), "Medium-High Engagement", OR(AND(R205&gt;4, R205&lt;=32), AND(S205&gt;6, S205&lt;=19)),"Medium Engagement", TRUE, "Low Engagement"
)</f>
        <v>Medium Engagement</v>
      </c>
      <c r="AA205">
        <f t="shared" si="19"/>
        <v>0.28965970738122637</v>
      </c>
    </row>
    <row r="206" spans="1:27" x14ac:dyDescent="0.35">
      <c r="A206" s="2">
        <v>5553957443</v>
      </c>
      <c r="B206" s="2" t="s">
        <v>102</v>
      </c>
      <c r="C206" s="2">
        <f>VLOOKUP(user_activity!A904,users_details!$A$1:$G$34,5,0)</f>
        <v>59</v>
      </c>
      <c r="D206" s="2" t="str" cm="1">
        <f t="array" ref="D206">_xlfn.IFS( AND(C206&gt;=18, C206&lt;=25), "Emerging Adults",  AND(C206&gt;=26, C206&lt;=35),  "Young Adults",  AND(C206&gt;=36, C206&lt;=45),  "Midlife Adults",  AND(C206&gt;=46, C206&lt;=55), "Mature Adults", C206&gt;=56,  "Older Adults", TRUE, "Age Not Mentioned")</f>
        <v>Older Adults</v>
      </c>
      <c r="E206" s="2" t="str">
        <f>VLOOKUP(user_activity!A904,users_details!$A$1:$G$34,6,0)</f>
        <v>Upper West Side, Manhattan</v>
      </c>
      <c r="F206" s="2" t="str">
        <f>VLOOKUP(user_activity!A904,users_details!$A$1:$G$34,7,0)</f>
        <v>Upper West Side</v>
      </c>
      <c r="G206" s="2" t="s">
        <v>72</v>
      </c>
      <c r="H206" s="7">
        <v>42526</v>
      </c>
      <c r="I206" s="9" t="str">
        <f t="shared" si="15"/>
        <v>Sunday</v>
      </c>
      <c r="J206" s="9" t="str">
        <f t="shared" si="16"/>
        <v>June</v>
      </c>
      <c r="K206" s="2">
        <v>6.2899999619999996</v>
      </c>
      <c r="L206" s="2">
        <v>6.2899999619999996</v>
      </c>
      <c r="M206" s="2">
        <v>0</v>
      </c>
      <c r="N206" s="2">
        <v>1.519999981</v>
      </c>
      <c r="O206" s="2">
        <v>0.540000021</v>
      </c>
      <c r="P206" s="2">
        <v>4.2300000190000002</v>
      </c>
      <c r="Q206" s="2">
        <v>0</v>
      </c>
      <c r="R206" s="2">
        <v>21</v>
      </c>
      <c r="S206" s="2">
        <v>9</v>
      </c>
      <c r="T206" s="2">
        <v>229</v>
      </c>
      <c r="U206" s="2">
        <f t="shared" si="17"/>
        <v>259</v>
      </c>
      <c r="V206" s="2">
        <v>761</v>
      </c>
      <c r="W206" s="2">
        <v>9632</v>
      </c>
      <c r="X206" s="2">
        <f t="shared" si="18"/>
        <v>9632</v>
      </c>
      <c r="Y206" s="2">
        <v>1916</v>
      </c>
      <c r="Z206" t="str" cm="1">
        <f t="array" ref="Z206">_xlfn.IFS(OR(R206&gt;66, S206&gt;38), "High Engagement", OR(AND(R206&gt;32, R206&lt;=66), AND(S206&gt;19, S206&lt;=38)), "Medium-High Engagement", OR(AND(R206&gt;4, R206&lt;=32), AND(S206&gt;6, S206&lt;=19)),"Medium Engagement", TRUE, "Low Engagement"
)</f>
        <v>Medium Engagement</v>
      </c>
      <c r="AA206">
        <f t="shared" si="19"/>
        <v>0.19892026578073091</v>
      </c>
    </row>
    <row r="207" spans="1:27" x14ac:dyDescent="0.35">
      <c r="A207" s="2">
        <v>6962181067</v>
      </c>
      <c r="B207" s="2" t="s">
        <v>85</v>
      </c>
      <c r="C207" s="2">
        <f>VLOOKUP(user_activity!A17,users_details!$A$1:$G$34,5,0)</f>
        <v>18</v>
      </c>
      <c r="D207" s="2" t="str" cm="1">
        <f t="array" ref="D207">_xlfn.IFS( AND(C207&gt;=18, C207&lt;=25), "Emerging Adults",  AND(C207&gt;=26, C207&lt;=35),  "Young Adults",  AND(C207&gt;=36, C207&lt;=45),  "Midlife Adults",  AND(C207&gt;=46, C207&lt;=55), "Mature Adults", C207&gt;=56,  "Older Adults", TRUE, "Age Not Mentioned")</f>
        <v>Emerging Adults</v>
      </c>
      <c r="E207" s="2" t="str">
        <f>VLOOKUP(user_activity!A17,users_details!$A$1:$G$34,6,0)</f>
        <v>Hell's Kitchen, Manhattan</v>
      </c>
      <c r="F207" s="2" t="str">
        <f>VLOOKUP(user_activity!A17,users_details!$A$1:$G$34,7,0)</f>
        <v>Hell's Kitchen</v>
      </c>
      <c r="G207" s="2" t="s">
        <v>72</v>
      </c>
      <c r="H207" s="7">
        <v>42488</v>
      </c>
      <c r="I207" s="9" t="str">
        <f t="shared" si="15"/>
        <v>Thursday</v>
      </c>
      <c r="J207" s="9" t="str">
        <f t="shared" si="16"/>
        <v>April</v>
      </c>
      <c r="K207" s="2">
        <v>8.3500003809999992</v>
      </c>
      <c r="L207" s="2">
        <v>8.3500003809999992</v>
      </c>
      <c r="M207" s="2">
        <v>0</v>
      </c>
      <c r="N207" s="2">
        <v>2.5099999899999998</v>
      </c>
      <c r="O207" s="2">
        <v>0.23999999499999999</v>
      </c>
      <c r="P207" s="2">
        <v>5.5900001530000001</v>
      </c>
      <c r="Q207" s="2">
        <v>0</v>
      </c>
      <c r="R207" s="2">
        <v>38</v>
      </c>
      <c r="S207" s="2">
        <v>8</v>
      </c>
      <c r="T207" s="2">
        <v>288</v>
      </c>
      <c r="U207" s="2">
        <f t="shared" si="17"/>
        <v>334</v>
      </c>
      <c r="V207" s="2">
        <v>621</v>
      </c>
      <c r="W207" s="2">
        <v>12627</v>
      </c>
      <c r="X207" s="2">
        <f t="shared" si="18"/>
        <v>12627</v>
      </c>
      <c r="Y207" s="2">
        <v>2182</v>
      </c>
      <c r="Z207" t="str" cm="1">
        <f t="array" ref="Z207">_xlfn.IFS(OR(R207&gt;66, S207&gt;38), "High Engagement", OR(AND(R207&gt;32, R207&lt;=66), AND(S207&gt;19, S207&lt;=38)), "Medium-High Engagement", OR(AND(R207&gt;4, R207&lt;=32), AND(S207&gt;6, S207&lt;=19)),"Medium Engagement", TRUE, "Low Engagement"
)</f>
        <v>Medium-High Engagement</v>
      </c>
      <c r="AA207">
        <f t="shared" si="19"/>
        <v>0.17280430822839946</v>
      </c>
    </row>
    <row r="208" spans="1:27" x14ac:dyDescent="0.35">
      <c r="A208" s="2">
        <v>6962181067</v>
      </c>
      <c r="B208" s="2" t="s">
        <v>85</v>
      </c>
      <c r="C208" s="2">
        <f>VLOOKUP(user_activity!A22,users_details!$A$1:$G$34,5,0)</f>
        <v>18</v>
      </c>
      <c r="D208" s="2" t="str" cm="1">
        <f t="array" ref="D208">_xlfn.IFS( AND(C208&gt;=18, C208&lt;=25), "Emerging Adults",  AND(C208&gt;=26, C208&lt;=35),  "Young Adults",  AND(C208&gt;=36, C208&lt;=45),  "Midlife Adults",  AND(C208&gt;=46, C208&lt;=55), "Mature Adults", C208&gt;=56,  "Older Adults", TRUE, "Age Not Mentioned")</f>
        <v>Emerging Adults</v>
      </c>
      <c r="E208" s="2" t="str">
        <f>VLOOKUP(user_activity!A22,users_details!$A$1:$G$34,6,0)</f>
        <v>Upper West Side, Manhattan</v>
      </c>
      <c r="F208" s="2" t="str">
        <f>VLOOKUP(user_activity!A22,users_details!$A$1:$G$34,7,0)</f>
        <v>Upper West Side</v>
      </c>
      <c r="G208" s="2" t="s">
        <v>72</v>
      </c>
      <c r="H208" s="7">
        <v>42479</v>
      </c>
      <c r="I208" s="9" t="str">
        <f t="shared" si="15"/>
        <v>Tuesday</v>
      </c>
      <c r="J208" s="9" t="str">
        <f t="shared" si="16"/>
        <v>April</v>
      </c>
      <c r="K208" s="2">
        <v>7.0999999049999998</v>
      </c>
      <c r="L208" s="2">
        <v>7.0999999049999998</v>
      </c>
      <c r="M208" s="2">
        <v>0</v>
      </c>
      <c r="N208" s="2">
        <v>2.0999999049999998</v>
      </c>
      <c r="O208" s="2">
        <v>2.130000114</v>
      </c>
      <c r="P208" s="2">
        <v>2.869999886</v>
      </c>
      <c r="Q208" s="2">
        <v>0</v>
      </c>
      <c r="R208" s="2">
        <v>35</v>
      </c>
      <c r="S208" s="2">
        <v>41</v>
      </c>
      <c r="T208" s="2">
        <v>195</v>
      </c>
      <c r="U208" s="2">
        <f t="shared" si="17"/>
        <v>271</v>
      </c>
      <c r="V208" s="2">
        <v>659</v>
      </c>
      <c r="W208" s="2">
        <v>10742</v>
      </c>
      <c r="X208" s="2">
        <f t="shared" si="18"/>
        <v>10742</v>
      </c>
      <c r="Y208" s="2">
        <v>2046</v>
      </c>
      <c r="Z208" t="str" cm="1">
        <f t="array" ref="Z208">_xlfn.IFS(OR(R208&gt;66, S208&gt;38), "High Engagement", OR(AND(R208&gt;32, R208&lt;=66), AND(S208&gt;19, S208&lt;=38)), "Medium-High Engagement", OR(AND(R208&gt;4, R208&lt;=32), AND(S208&gt;6, S208&lt;=19)),"Medium Engagement", TRUE, "Low Engagement"
)</f>
        <v>High Engagement</v>
      </c>
      <c r="AA208">
        <f t="shared" si="19"/>
        <v>0.19046732452057344</v>
      </c>
    </row>
    <row r="209" spans="1:27" x14ac:dyDescent="0.35">
      <c r="A209" s="2">
        <v>6962181067</v>
      </c>
      <c r="B209" s="2" t="s">
        <v>85</v>
      </c>
      <c r="C209" s="2">
        <f>VLOOKUP(user_activity!A80,users_details!$A$1:$G$34,5,0)</f>
        <v>21</v>
      </c>
      <c r="D209" s="2" t="str" cm="1">
        <f t="array" ref="D209">_xlfn.IFS( AND(C209&gt;=18, C209&lt;=25), "Emerging Adults",  AND(C209&gt;=26, C209&lt;=35),  "Young Adults",  AND(C209&gt;=36, C209&lt;=45),  "Midlife Adults",  AND(C209&gt;=46, C209&lt;=55), "Mature Adults", C209&gt;=56,  "Older Adults", TRUE, "Age Not Mentioned")</f>
        <v>Emerging Adults</v>
      </c>
      <c r="E209" s="2" t="str">
        <f>VLOOKUP(user_activity!A80,users_details!$A$1:$G$34,6,0)</f>
        <v>Bushwick, Brooklyn</v>
      </c>
      <c r="F209" s="2" t="str">
        <f>VLOOKUP(user_activity!A80,users_details!$A$1:$G$34,7,0)</f>
        <v>Bushwick</v>
      </c>
      <c r="G209" s="2" t="s">
        <v>72</v>
      </c>
      <c r="H209" s="7">
        <v>42709</v>
      </c>
      <c r="I209" s="9" t="str">
        <f t="shared" si="15"/>
        <v>Monday</v>
      </c>
      <c r="J209" s="9" t="str">
        <f t="shared" si="16"/>
        <v>December</v>
      </c>
      <c r="K209" s="2">
        <v>2.369999886</v>
      </c>
      <c r="L209" s="2">
        <v>2.369999886</v>
      </c>
      <c r="M209" s="2">
        <v>0</v>
      </c>
      <c r="N209" s="2">
        <v>0</v>
      </c>
      <c r="O209" s="2">
        <v>0.25</v>
      </c>
      <c r="P209" s="2">
        <v>2.1099998950000001</v>
      </c>
      <c r="Q209" s="2">
        <v>0</v>
      </c>
      <c r="R209" s="2">
        <v>0</v>
      </c>
      <c r="S209" s="2">
        <v>8</v>
      </c>
      <c r="T209" s="2">
        <v>105</v>
      </c>
      <c r="U209" s="2">
        <f t="shared" si="17"/>
        <v>113</v>
      </c>
      <c r="V209" s="2">
        <v>127</v>
      </c>
      <c r="W209" s="2">
        <v>3587</v>
      </c>
      <c r="X209" s="2">
        <f t="shared" si="18"/>
        <v>3587</v>
      </c>
      <c r="Y209" s="2">
        <v>928</v>
      </c>
      <c r="Z209" t="str" cm="1">
        <f t="array" ref="Z209">_xlfn.IFS(OR(R209&gt;66, S209&gt;38), "High Engagement", OR(AND(R209&gt;32, R209&lt;=66), AND(S209&gt;19, S209&lt;=38)), "Medium-High Engagement", OR(AND(R209&gt;4, R209&lt;=32), AND(S209&gt;6, S209&lt;=19)),"Medium Engagement", TRUE, "Low Engagement"
)</f>
        <v>Medium Engagement</v>
      </c>
      <c r="AA209">
        <f t="shared" si="19"/>
        <v>0.25871201561193197</v>
      </c>
    </row>
    <row r="210" spans="1:27" x14ac:dyDescent="0.35">
      <c r="A210" s="2">
        <v>6962181067</v>
      </c>
      <c r="B210" s="2" t="s">
        <v>85</v>
      </c>
      <c r="C210" s="2">
        <f>VLOOKUP(user_activity!A92,users_details!$A$1:$G$34,5,0)</f>
        <v>21</v>
      </c>
      <c r="D210" s="2" t="str" cm="1">
        <f t="array" ref="D210">_xlfn.IFS( AND(C210&gt;=18, C210&lt;=25), "Emerging Adults",  AND(C210&gt;=26, C210&lt;=35),  "Young Adults",  AND(C210&gt;=36, C210&lt;=45),  "Midlife Adults",  AND(C210&gt;=46, C210&lt;=55), "Mature Adults", C210&gt;=56,  "Older Adults", TRUE, "Age Not Mentioned")</f>
        <v>Emerging Adults</v>
      </c>
      <c r="E210" s="2" t="str">
        <f>VLOOKUP(user_activity!A92,users_details!$A$1:$G$34,6,0)</f>
        <v>Bushwick, Brooklyn</v>
      </c>
      <c r="F210" s="2" t="str">
        <f>VLOOKUP(user_activity!A92,users_details!$A$1:$G$34,7,0)</f>
        <v>Bushwick</v>
      </c>
      <c r="G210" s="2" t="s">
        <v>72</v>
      </c>
      <c r="H210" s="7">
        <v>42481</v>
      </c>
      <c r="I210" s="9" t="str">
        <f t="shared" si="15"/>
        <v>Thursday</v>
      </c>
      <c r="J210" s="9" t="str">
        <f t="shared" si="16"/>
        <v>April</v>
      </c>
      <c r="K210" s="2">
        <v>9.7100000380000004</v>
      </c>
      <c r="L210" s="2">
        <v>7.8800001139999996</v>
      </c>
      <c r="M210" s="2">
        <v>4.0816922189999998</v>
      </c>
      <c r="N210" s="2">
        <v>3.9900000100000002</v>
      </c>
      <c r="O210" s="2">
        <v>2.0999999049999998</v>
      </c>
      <c r="P210" s="2">
        <v>3.5099999899999998</v>
      </c>
      <c r="Q210" s="2">
        <v>0.109999999</v>
      </c>
      <c r="R210" s="2">
        <v>53</v>
      </c>
      <c r="S210" s="2">
        <v>27</v>
      </c>
      <c r="T210" s="2">
        <v>214</v>
      </c>
      <c r="U210" s="2">
        <f t="shared" si="17"/>
        <v>294</v>
      </c>
      <c r="V210" s="2">
        <v>708</v>
      </c>
      <c r="W210" s="2">
        <v>11835</v>
      </c>
      <c r="X210" s="2">
        <f t="shared" si="18"/>
        <v>11835</v>
      </c>
      <c r="Y210" s="2">
        <v>2179</v>
      </c>
      <c r="Z210" t="str" cm="1">
        <f t="array" ref="Z210">_xlfn.IFS(OR(R210&gt;66, S210&gt;38), "High Engagement", OR(AND(R210&gt;32, R210&lt;=66), AND(S210&gt;19, S210&lt;=38)), "Medium-High Engagement", OR(AND(R210&gt;4, R210&lt;=32), AND(S210&gt;6, S210&lt;=19)),"Medium Engagement", TRUE, "Low Engagement"
)</f>
        <v>Medium-High Engagement</v>
      </c>
      <c r="AA210">
        <f t="shared" si="19"/>
        <v>0.18411491339247993</v>
      </c>
    </row>
    <row r="211" spans="1:27" x14ac:dyDescent="0.35">
      <c r="A211" s="2">
        <v>6962181067</v>
      </c>
      <c r="B211" s="2" t="s">
        <v>85</v>
      </c>
      <c r="C211" s="2">
        <f>VLOOKUP(user_activity!A98,users_details!$A$1:$G$34,5,0)</f>
        <v>22</v>
      </c>
      <c r="D211" s="2" t="str" cm="1">
        <f t="array" ref="D211">_xlfn.IFS( AND(C211&gt;=18, C211&lt;=25), "Emerging Adults",  AND(C211&gt;=26, C211&lt;=35),  "Young Adults",  AND(C211&gt;=36, C211&lt;=45),  "Midlife Adults",  AND(C211&gt;=46, C211&lt;=55), "Mature Adults", C211&gt;=56,  "Older Adults", TRUE, "Age Not Mentioned")</f>
        <v>Emerging Adults</v>
      </c>
      <c r="E211" s="2" t="str">
        <f>VLOOKUP(user_activity!A98,users_details!$A$1:$G$34,6,0)</f>
        <v>Upper East Side, Manhattan</v>
      </c>
      <c r="F211" s="2" t="str">
        <f>VLOOKUP(user_activity!A98,users_details!$A$1:$G$34,7,0)</f>
        <v>Upper East Side</v>
      </c>
      <c r="G211" s="2" t="s">
        <v>72</v>
      </c>
      <c r="H211" s="7">
        <v>42484</v>
      </c>
      <c r="I211" s="9" t="str">
        <f t="shared" si="15"/>
        <v>Sunday</v>
      </c>
      <c r="J211" s="9" t="str">
        <f t="shared" si="16"/>
        <v>April</v>
      </c>
      <c r="K211" s="2">
        <v>3.3199999330000001</v>
      </c>
      <c r="L211" s="2">
        <v>3.3199999330000001</v>
      </c>
      <c r="M211" s="2">
        <v>0</v>
      </c>
      <c r="N211" s="2">
        <v>0</v>
      </c>
      <c r="O211" s="2">
        <v>0</v>
      </c>
      <c r="P211" s="2">
        <v>3.3199999330000001</v>
      </c>
      <c r="Q211" s="2">
        <v>0</v>
      </c>
      <c r="R211" s="2">
        <v>0</v>
      </c>
      <c r="S211" s="2">
        <v>0</v>
      </c>
      <c r="T211" s="2">
        <v>199</v>
      </c>
      <c r="U211" s="2">
        <f t="shared" si="17"/>
        <v>199</v>
      </c>
      <c r="V211" s="2">
        <v>720</v>
      </c>
      <c r="W211" s="2">
        <v>5029</v>
      </c>
      <c r="X211" s="2">
        <f t="shared" si="18"/>
        <v>5029</v>
      </c>
      <c r="Y211" s="2">
        <v>1705</v>
      </c>
      <c r="Z211" t="str" cm="1">
        <f t="array" ref="Z211">_xlfn.IFS(OR(R211&gt;66, S211&gt;38), "High Engagement", OR(AND(R211&gt;32, R211&lt;=66), AND(S211&gt;19, S211&lt;=38)), "Medium-High Engagement", OR(AND(R211&gt;4, R211&lt;=32), AND(S211&gt;6, S211&lt;=19)),"Medium Engagement", TRUE, "Low Engagement"
)</f>
        <v>Low Engagement</v>
      </c>
      <c r="AA211">
        <f t="shared" si="19"/>
        <v>0.33903360509047525</v>
      </c>
    </row>
    <row r="212" spans="1:27" x14ac:dyDescent="0.35">
      <c r="A212" s="2">
        <v>6962181067</v>
      </c>
      <c r="B212" s="2" t="s">
        <v>85</v>
      </c>
      <c r="C212" s="2">
        <f>VLOOKUP(user_activity!A105,users_details!$A$1:$G$34,5,0)</f>
        <v>22</v>
      </c>
      <c r="D212" s="2" t="str" cm="1">
        <f t="array" ref="D212">_xlfn.IFS( AND(C212&gt;=18, C212&lt;=25), "Emerging Adults",  AND(C212&gt;=26, C212&lt;=35),  "Young Adults",  AND(C212&gt;=36, C212&lt;=45),  "Midlife Adults",  AND(C212&gt;=46, C212&lt;=55), "Mature Adults", C212&gt;=56,  "Older Adults", TRUE, "Age Not Mentioned")</f>
        <v>Emerging Adults</v>
      </c>
      <c r="E212" s="2" t="str">
        <f>VLOOKUP(user_activity!A105,users_details!$A$1:$G$34,6,0)</f>
        <v>Upper East Side, Manhattan</v>
      </c>
      <c r="F212" s="2" t="str">
        <f>VLOOKUP(user_activity!A105,users_details!$A$1:$G$34,7,0)</f>
        <v>Upper East Side</v>
      </c>
      <c r="G212" s="2" t="s">
        <v>72</v>
      </c>
      <c r="H212" s="7">
        <v>42477</v>
      </c>
      <c r="I212" s="9" t="str">
        <f t="shared" si="15"/>
        <v>Sunday</v>
      </c>
      <c r="J212" s="9" t="str">
        <f t="shared" si="16"/>
        <v>April</v>
      </c>
      <c r="K212" s="2">
        <v>6.7100000380000004</v>
      </c>
      <c r="L212" s="2">
        <v>6.7100000380000004</v>
      </c>
      <c r="M212" s="2">
        <v>0</v>
      </c>
      <c r="N212" s="2">
        <v>0.33000001299999998</v>
      </c>
      <c r="O212" s="2">
        <v>0.68000000699999996</v>
      </c>
      <c r="P212" s="2">
        <v>5.6900000569999998</v>
      </c>
      <c r="Q212" s="2">
        <v>0</v>
      </c>
      <c r="R212" s="2">
        <v>5</v>
      </c>
      <c r="S212" s="2">
        <v>13</v>
      </c>
      <c r="T212" s="2">
        <v>295</v>
      </c>
      <c r="U212" s="2">
        <f t="shared" si="17"/>
        <v>313</v>
      </c>
      <c r="V212" s="2">
        <v>634</v>
      </c>
      <c r="W212" s="2">
        <v>10145</v>
      </c>
      <c r="X212" s="2">
        <f t="shared" si="18"/>
        <v>10145</v>
      </c>
      <c r="Y212" s="2">
        <v>2027</v>
      </c>
      <c r="Z212" t="str" cm="1">
        <f t="array" ref="Z212">_xlfn.IFS(OR(R212&gt;66, S212&gt;38), "High Engagement", OR(AND(R212&gt;32, R212&lt;=66), AND(S212&gt;19, S212&lt;=38)), "Medium-High Engagement", OR(AND(R212&gt;4, R212&lt;=32), AND(S212&gt;6, S212&lt;=19)),"Medium Engagement", TRUE, "Low Engagement"
)</f>
        <v>Medium Engagement</v>
      </c>
      <c r="AA212">
        <f t="shared" si="19"/>
        <v>0.19980285855101035</v>
      </c>
    </row>
    <row r="213" spans="1:27" x14ac:dyDescent="0.35">
      <c r="A213" s="2">
        <v>6962181067</v>
      </c>
      <c r="B213" s="2" t="s">
        <v>85</v>
      </c>
      <c r="C213" s="2">
        <f>VLOOKUP(user_activity!A113,users_details!$A$1:$G$34,5,0)</f>
        <v>22</v>
      </c>
      <c r="D213" s="2" t="str" cm="1">
        <f t="array" ref="D213">_xlfn.IFS( AND(C213&gt;=18, C213&lt;=25), "Emerging Adults",  AND(C213&gt;=26, C213&lt;=35),  "Young Adults",  AND(C213&gt;=36, C213&lt;=45),  "Midlife Adults",  AND(C213&gt;=46, C213&lt;=55), "Mature Adults", C213&gt;=56,  "Older Adults", TRUE, "Age Not Mentioned")</f>
        <v>Emerging Adults</v>
      </c>
      <c r="E213" s="2" t="str">
        <f>VLOOKUP(user_activity!A113,users_details!$A$1:$G$34,6,0)</f>
        <v>Upper East Side, Manhattan</v>
      </c>
      <c r="F213" s="2" t="str">
        <f>VLOOKUP(user_activity!A113,users_details!$A$1:$G$34,7,0)</f>
        <v>Upper East Side</v>
      </c>
      <c r="G213" s="2" t="s">
        <v>72</v>
      </c>
      <c r="H213" s="7">
        <v>42487</v>
      </c>
      <c r="I213" s="9" t="str">
        <f t="shared" si="15"/>
        <v>Wednesday</v>
      </c>
      <c r="J213" s="9" t="str">
        <f t="shared" si="16"/>
        <v>April</v>
      </c>
      <c r="K213" s="2">
        <v>6.8200001720000003</v>
      </c>
      <c r="L213" s="2">
        <v>6.8200001720000003</v>
      </c>
      <c r="M213" s="2">
        <v>0</v>
      </c>
      <c r="N213" s="2">
        <v>0.55000001200000004</v>
      </c>
      <c r="O213" s="2">
        <v>2.0199999809999998</v>
      </c>
      <c r="P213" s="2">
        <v>4.25</v>
      </c>
      <c r="Q213" s="2">
        <v>0</v>
      </c>
      <c r="R213" s="2">
        <v>7</v>
      </c>
      <c r="S213" s="2">
        <v>38</v>
      </c>
      <c r="T213" s="2">
        <v>279</v>
      </c>
      <c r="U213" s="2">
        <f t="shared" si="17"/>
        <v>324</v>
      </c>
      <c r="V213" s="2">
        <v>697</v>
      </c>
      <c r="W213" s="2">
        <v>10320</v>
      </c>
      <c r="X213" s="2">
        <f t="shared" si="18"/>
        <v>10320</v>
      </c>
      <c r="Y213" s="2">
        <v>2034</v>
      </c>
      <c r="Z213" t="str" cm="1">
        <f t="array" ref="Z213">_xlfn.IFS(OR(R213&gt;66, S213&gt;38), "High Engagement", OR(AND(R213&gt;32, R213&lt;=66), AND(S213&gt;19, S213&lt;=38)), "Medium-High Engagement", OR(AND(R213&gt;4, R213&lt;=32), AND(S213&gt;6, S213&lt;=19)),"Medium Engagement", TRUE, "Low Engagement"
)</f>
        <v>Medium-High Engagement</v>
      </c>
      <c r="AA213">
        <f t="shared" si="19"/>
        <v>0.19709302325581396</v>
      </c>
    </row>
    <row r="214" spans="1:27" x14ac:dyDescent="0.35">
      <c r="A214" s="2">
        <v>6962181067</v>
      </c>
      <c r="B214" s="2" t="s">
        <v>85</v>
      </c>
      <c r="C214" s="2">
        <f>VLOOKUP(user_activity!A170,users_details!$A$1:$G$34,5,0)</f>
        <v>23</v>
      </c>
      <c r="D214" s="2" t="str" cm="1">
        <f t="array" ref="D214">_xlfn.IFS( AND(C214&gt;=18, C214&lt;=25), "Emerging Adults",  AND(C214&gt;=26, C214&lt;=35),  "Young Adults",  AND(C214&gt;=36, C214&lt;=45),  "Midlife Adults",  AND(C214&gt;=46, C214&lt;=55), "Mature Adults", C214&gt;=56,  "Older Adults", TRUE, "Age Not Mentioned")</f>
        <v>Emerging Adults</v>
      </c>
      <c r="E214" s="2" t="str">
        <f>VLOOKUP(user_activity!A170,users_details!$A$1:$G$34,6,0)</f>
        <v>Crown Heights, Brooklyn</v>
      </c>
      <c r="F214" s="2" t="str">
        <f>VLOOKUP(user_activity!A170,users_details!$A$1:$G$34,7,0)</f>
        <v>Crown Heights</v>
      </c>
      <c r="G214" s="2" t="s">
        <v>72</v>
      </c>
      <c r="H214" s="7">
        <v>42474</v>
      </c>
      <c r="I214" s="9" t="str">
        <f t="shared" si="15"/>
        <v>Thursday</v>
      </c>
      <c r="J214" s="9" t="str">
        <f t="shared" si="16"/>
        <v>April</v>
      </c>
      <c r="K214" s="2">
        <v>1.0299999710000001</v>
      </c>
      <c r="L214" s="2">
        <v>1.0299999710000001</v>
      </c>
      <c r="M214" s="2">
        <v>0</v>
      </c>
      <c r="N214" s="2">
        <v>0</v>
      </c>
      <c r="O214" s="2">
        <v>0</v>
      </c>
      <c r="P214" s="2">
        <v>1.0299999710000001</v>
      </c>
      <c r="Q214" s="2">
        <v>0</v>
      </c>
      <c r="R214" s="2">
        <v>0</v>
      </c>
      <c r="S214" s="2">
        <v>0</v>
      </c>
      <c r="T214" s="2">
        <v>86</v>
      </c>
      <c r="U214" s="2">
        <f t="shared" si="17"/>
        <v>86</v>
      </c>
      <c r="V214" s="2">
        <v>862</v>
      </c>
      <c r="W214" s="2">
        <v>1551</v>
      </c>
      <c r="X214" s="2">
        <f t="shared" si="18"/>
        <v>1551</v>
      </c>
      <c r="Y214" s="2">
        <v>1466</v>
      </c>
      <c r="Z214" t="str" cm="1">
        <f t="array" ref="Z214">_xlfn.IFS(OR(R214&gt;66, S214&gt;38), "High Engagement", OR(AND(R214&gt;32, R214&lt;=66), AND(S214&gt;19, S214&lt;=38)), "Medium-High Engagement", OR(AND(R214&gt;4, R214&lt;=32), AND(S214&gt;6, S214&lt;=19)),"Medium Engagement", TRUE, "Low Engagement"
)</f>
        <v>Low Engagement</v>
      </c>
      <c r="AA214">
        <f t="shared" si="19"/>
        <v>0.94519664732430686</v>
      </c>
    </row>
    <row r="215" spans="1:27" x14ac:dyDescent="0.35">
      <c r="A215" s="2">
        <v>6962181067</v>
      </c>
      <c r="B215" s="2" t="s">
        <v>85</v>
      </c>
      <c r="C215" s="2">
        <f>VLOOKUP(user_activity!A251,users_details!$A$1:$G$34,5,0)</f>
        <v>29</v>
      </c>
      <c r="D215" s="2" t="str" cm="1">
        <f t="array" ref="D215">_xlfn.IFS( AND(C215&gt;=18, C215&lt;=25), "Emerging Adults",  AND(C215&gt;=26, C215&lt;=35),  "Young Adults",  AND(C215&gt;=36, C215&lt;=45),  "Midlife Adults",  AND(C215&gt;=46, C215&lt;=55), "Mature Adults", C215&gt;=56,  "Older Adults", TRUE, "Age Not Mentioned")</f>
        <v>Young Adults</v>
      </c>
      <c r="E215" s="2" t="str">
        <f>VLOOKUP(user_activity!A251,users_details!$A$1:$G$34,6,0)</f>
        <v>East Village, Manhattan</v>
      </c>
      <c r="F215" s="2" t="str">
        <f>VLOOKUP(user_activity!A251,users_details!$A$1:$G$34,7,0)</f>
        <v>East Village</v>
      </c>
      <c r="G215" s="2" t="s">
        <v>72</v>
      </c>
      <c r="H215" s="7">
        <v>42708</v>
      </c>
      <c r="I215" s="9" t="str">
        <f t="shared" si="15"/>
        <v>Sunday</v>
      </c>
      <c r="J215" s="9" t="str">
        <f t="shared" si="16"/>
        <v>December</v>
      </c>
      <c r="K215" s="2">
        <v>6.7399997709999999</v>
      </c>
      <c r="L215" s="2">
        <v>6.7399997709999999</v>
      </c>
      <c r="M215" s="2">
        <v>0</v>
      </c>
      <c r="N215" s="2">
        <v>3.4000000950000002</v>
      </c>
      <c r="O215" s="2">
        <v>0.829999983</v>
      </c>
      <c r="P215" s="2">
        <v>2.5099999899999998</v>
      </c>
      <c r="Q215" s="2">
        <v>0</v>
      </c>
      <c r="R215" s="2">
        <v>50</v>
      </c>
      <c r="S215" s="2">
        <v>14</v>
      </c>
      <c r="T215" s="2">
        <v>189</v>
      </c>
      <c r="U215" s="2">
        <f t="shared" si="17"/>
        <v>253</v>
      </c>
      <c r="V215" s="2">
        <v>796</v>
      </c>
      <c r="W215" s="2">
        <v>10199</v>
      </c>
      <c r="X215" s="2">
        <f t="shared" si="18"/>
        <v>10199</v>
      </c>
      <c r="Y215" s="2">
        <v>1994</v>
      </c>
      <c r="Z215" t="str" cm="1">
        <f t="array" ref="Z215">_xlfn.IFS(OR(R215&gt;66, S215&gt;38), "High Engagement", OR(AND(R215&gt;32, R215&lt;=66), AND(S215&gt;19, S215&lt;=38)), "Medium-High Engagement", OR(AND(R215&gt;4, R215&lt;=32), AND(S215&gt;6, S215&lt;=19)),"Medium Engagement", TRUE, "Low Engagement"
)</f>
        <v>Medium-High Engagement</v>
      </c>
      <c r="AA215">
        <f t="shared" si="19"/>
        <v>0.19550936366310423</v>
      </c>
    </row>
    <row r="216" spans="1:27" x14ac:dyDescent="0.35">
      <c r="A216" s="2">
        <v>6962181067</v>
      </c>
      <c r="B216" s="2" t="s">
        <v>85</v>
      </c>
      <c r="C216" s="2">
        <f>VLOOKUP(user_activity!A278,users_details!$A$1:$G$34,5,0)</f>
        <v>29</v>
      </c>
      <c r="D216" s="2" t="str" cm="1">
        <f t="array" ref="D216">_xlfn.IFS( AND(C216&gt;=18, C216&lt;=25), "Emerging Adults",  AND(C216&gt;=26, C216&lt;=35),  "Young Adults",  AND(C216&gt;=36, C216&lt;=45),  "Midlife Adults",  AND(C216&gt;=46, C216&lt;=55), "Mature Adults", C216&gt;=56,  "Older Adults", TRUE, "Age Not Mentioned")</f>
        <v>Young Adults</v>
      </c>
      <c r="E216" s="2" t="str">
        <f>VLOOKUP(user_activity!A278,users_details!$A$1:$G$34,6,0)</f>
        <v>Crown Heights, Brooklyn</v>
      </c>
      <c r="F216" s="2" t="str">
        <f>VLOOKUP(user_activity!A278,users_details!$A$1:$G$34,7,0)</f>
        <v>Crown Heights</v>
      </c>
      <c r="G216" s="2" t="s">
        <v>72</v>
      </c>
      <c r="H216" s="7">
        <v>42476</v>
      </c>
      <c r="I216" s="9" t="str">
        <f t="shared" si="15"/>
        <v>Saturday</v>
      </c>
      <c r="J216" s="9" t="str">
        <f t="shared" si="16"/>
        <v>April</v>
      </c>
      <c r="K216" s="2">
        <v>8.7399997710000008</v>
      </c>
      <c r="L216" s="2">
        <v>8.7399997710000008</v>
      </c>
      <c r="M216" s="2">
        <v>0</v>
      </c>
      <c r="N216" s="2">
        <v>3.6600000860000002</v>
      </c>
      <c r="O216" s="2">
        <v>0.189999998</v>
      </c>
      <c r="P216" s="2">
        <v>4.8800001139999996</v>
      </c>
      <c r="Q216" s="2">
        <v>0</v>
      </c>
      <c r="R216" s="2">
        <v>50</v>
      </c>
      <c r="S216" s="2">
        <v>3</v>
      </c>
      <c r="T216" s="2">
        <v>280</v>
      </c>
      <c r="U216" s="2">
        <f t="shared" si="17"/>
        <v>333</v>
      </c>
      <c r="V216" s="2">
        <v>741</v>
      </c>
      <c r="W216" s="2">
        <v>13217</v>
      </c>
      <c r="X216" s="2">
        <f t="shared" si="18"/>
        <v>13217</v>
      </c>
      <c r="Y216" s="2">
        <v>2173</v>
      </c>
      <c r="Z216" t="str" cm="1">
        <f t="array" ref="Z216">_xlfn.IFS(OR(R216&gt;66, S216&gt;38), "High Engagement", OR(AND(R216&gt;32, R216&lt;=66), AND(S216&gt;19, S216&lt;=38)), "Medium-High Engagement", OR(AND(R216&gt;4, R216&lt;=32), AND(S216&gt;6, S216&lt;=19)),"Medium Engagement", TRUE, "Low Engagement"
)</f>
        <v>Medium-High Engagement</v>
      </c>
      <c r="AA216">
        <f t="shared" si="19"/>
        <v>0.16440947264886133</v>
      </c>
    </row>
    <row r="217" spans="1:27" x14ac:dyDescent="0.35">
      <c r="A217" s="2">
        <v>6962181067</v>
      </c>
      <c r="B217" s="2" t="s">
        <v>85</v>
      </c>
      <c r="C217" s="2">
        <f>VLOOKUP(user_activity!A363,users_details!$A$1:$G$34,5,0)</f>
        <v>31</v>
      </c>
      <c r="D217" s="2" t="str" cm="1">
        <f t="array" ref="D217">_xlfn.IFS( AND(C217&gt;=18, C217&lt;=25), "Emerging Adults",  AND(C217&gt;=26, C217&lt;=35),  "Young Adults",  AND(C217&gt;=36, C217&lt;=45),  "Midlife Adults",  AND(C217&gt;=46, C217&lt;=55), "Mature Adults", C217&gt;=56,  "Older Adults", TRUE, "Age Not Mentioned")</f>
        <v>Young Adults</v>
      </c>
      <c r="E217" s="2" t="str">
        <f>VLOOKUP(user_activity!A363,users_details!$A$1:$G$34,6,0)</f>
        <v>Midtown, Manhattan</v>
      </c>
      <c r="F217" s="2" t="str">
        <f>VLOOKUP(user_activity!A363,users_details!$A$1:$G$34,7,0)</f>
        <v>Midtown</v>
      </c>
      <c r="G217" s="2" t="s">
        <v>72</v>
      </c>
      <c r="H217" s="7">
        <v>42587</v>
      </c>
      <c r="I217" s="9" t="str">
        <f t="shared" si="15"/>
        <v>Friday</v>
      </c>
      <c r="J217" s="9" t="str">
        <f t="shared" si="16"/>
        <v>August</v>
      </c>
      <c r="K217" s="2">
        <v>2.7699999809999998</v>
      </c>
      <c r="L217" s="2">
        <v>2.7699999809999998</v>
      </c>
      <c r="M217" s="2">
        <v>0</v>
      </c>
      <c r="N217" s="2">
        <v>0</v>
      </c>
      <c r="O217" s="2">
        <v>0.519999981</v>
      </c>
      <c r="P217" s="2">
        <v>2.25</v>
      </c>
      <c r="Q217" s="2">
        <v>0</v>
      </c>
      <c r="R217" s="2">
        <v>0</v>
      </c>
      <c r="S217" s="2">
        <v>14</v>
      </c>
      <c r="T217" s="2">
        <v>151</v>
      </c>
      <c r="U217" s="2">
        <f t="shared" si="17"/>
        <v>165</v>
      </c>
      <c r="V217" s="2">
        <v>709</v>
      </c>
      <c r="W217" s="2">
        <v>4188</v>
      </c>
      <c r="X217" s="2">
        <f t="shared" si="18"/>
        <v>4188</v>
      </c>
      <c r="Y217" s="2">
        <v>1659</v>
      </c>
      <c r="Z217" t="str" cm="1">
        <f t="array" ref="Z217">_xlfn.IFS(OR(R217&gt;66, S217&gt;38), "High Engagement", OR(AND(R217&gt;32, R217&lt;=66), AND(S217&gt;19, S217&lt;=38)), "Medium-High Engagement", OR(AND(R217&gt;4, R217&lt;=32), AND(S217&gt;6, S217&lt;=19)),"Medium Engagement", TRUE, "Low Engagement"
)</f>
        <v>Medium Engagement</v>
      </c>
      <c r="AA217">
        <f t="shared" si="19"/>
        <v>0.39613180515759311</v>
      </c>
    </row>
    <row r="218" spans="1:27" x14ac:dyDescent="0.35">
      <c r="A218" s="2">
        <v>6962181067</v>
      </c>
      <c r="B218" s="2" t="s">
        <v>85</v>
      </c>
      <c r="C218" s="2">
        <f>VLOOKUP(user_activity!A365,users_details!$A$1:$G$34,5,0)</f>
        <v>31</v>
      </c>
      <c r="D218" s="2" t="str" cm="1">
        <f t="array" ref="D218">_xlfn.IFS( AND(C218&gt;=18, C218&lt;=25), "Emerging Adults",  AND(C218&gt;=26, C218&lt;=35),  "Young Adults",  AND(C218&gt;=36, C218&lt;=45),  "Midlife Adults",  AND(C218&gt;=46, C218&lt;=55), "Mature Adults", C218&gt;=56,  "Older Adults", TRUE, "Age Not Mentioned")</f>
        <v>Young Adults</v>
      </c>
      <c r="E218" s="2" t="str">
        <f>VLOOKUP(user_activity!A365,users_details!$A$1:$G$34,6,0)</f>
        <v>Midtown, Manhattan</v>
      </c>
      <c r="F218" s="2" t="str">
        <f>VLOOKUP(user_activity!A365,users_details!$A$1:$G$34,7,0)</f>
        <v>Midtown</v>
      </c>
      <c r="G218" s="2" t="s">
        <v>72</v>
      </c>
      <c r="H218" s="7">
        <v>42480</v>
      </c>
      <c r="I218" s="9" t="str">
        <f t="shared" si="15"/>
        <v>Wednesday</v>
      </c>
      <c r="J218" s="9" t="str">
        <f t="shared" si="16"/>
        <v>April</v>
      </c>
      <c r="K218" s="2">
        <v>9.5500001910000005</v>
      </c>
      <c r="L218" s="2">
        <v>9.5500001910000005</v>
      </c>
      <c r="M218" s="2">
        <v>0</v>
      </c>
      <c r="N218" s="2">
        <v>4.2800002099999999</v>
      </c>
      <c r="O218" s="2">
        <v>0.189999998</v>
      </c>
      <c r="P218" s="2">
        <v>5.0900001530000001</v>
      </c>
      <c r="Q218" s="2">
        <v>0</v>
      </c>
      <c r="R218" s="2">
        <v>48</v>
      </c>
      <c r="S218" s="2">
        <v>4</v>
      </c>
      <c r="T218" s="2">
        <v>297</v>
      </c>
      <c r="U218" s="2">
        <f t="shared" si="17"/>
        <v>349</v>
      </c>
      <c r="V218" s="2">
        <v>639</v>
      </c>
      <c r="W218" s="2">
        <v>13928</v>
      </c>
      <c r="X218" s="2">
        <f t="shared" si="18"/>
        <v>13928</v>
      </c>
      <c r="Y218" s="2">
        <v>2174</v>
      </c>
      <c r="Z218" t="str" cm="1">
        <f t="array" ref="Z218">_xlfn.IFS(OR(R218&gt;66, S218&gt;38), "High Engagement", OR(AND(R218&gt;32, R218&lt;=66), AND(S218&gt;19, S218&lt;=38)), "Medium-High Engagement", OR(AND(R218&gt;4, R218&lt;=32), AND(S218&gt;6, S218&lt;=19)),"Medium Engagement", TRUE, "Low Engagement"
)</f>
        <v>Medium-High Engagement</v>
      </c>
      <c r="AA218">
        <f t="shared" si="19"/>
        <v>0.1560884549109707</v>
      </c>
    </row>
    <row r="219" spans="1:27" x14ac:dyDescent="0.35">
      <c r="A219" s="2">
        <v>6962181067</v>
      </c>
      <c r="B219" s="2" t="s">
        <v>85</v>
      </c>
      <c r="C219" s="2">
        <f>VLOOKUP(user_activity!A447,users_details!$A$1:$G$34,5,0)</f>
        <v>33</v>
      </c>
      <c r="D219" s="2" t="str" cm="1">
        <f t="array" ref="D219">_xlfn.IFS( AND(C219&gt;=18, C219&lt;=25), "Emerging Adults",  AND(C219&gt;=26, C219&lt;=35),  "Young Adults",  AND(C219&gt;=36, C219&lt;=45),  "Midlife Adults",  AND(C219&gt;=46, C219&lt;=55), "Mature Adults", C219&gt;=56,  "Older Adults", TRUE, "Age Not Mentioned")</f>
        <v>Young Adults</v>
      </c>
      <c r="E219" s="2" t="str">
        <f>VLOOKUP(user_activity!A447,users_details!$A$1:$G$34,6,0)</f>
        <v>Greenpoint, Brooklyn</v>
      </c>
      <c r="F219" s="2" t="str">
        <f>VLOOKUP(user_activity!A447,users_details!$A$1:$G$34,7,0)</f>
        <v>Greenpoint</v>
      </c>
      <c r="G219" s="2" t="s">
        <v>72</v>
      </c>
      <c r="H219" s="7">
        <v>42526</v>
      </c>
      <c r="I219" s="9" t="str">
        <f t="shared" si="15"/>
        <v>Sunday</v>
      </c>
      <c r="J219" s="9" t="str">
        <f t="shared" si="16"/>
        <v>June</v>
      </c>
      <c r="K219" s="2">
        <v>3.9100000860000002</v>
      </c>
      <c r="L219" s="2">
        <v>3.9100000860000002</v>
      </c>
      <c r="M219" s="2">
        <v>0</v>
      </c>
      <c r="N219" s="2">
        <v>0</v>
      </c>
      <c r="O219" s="2">
        <v>0</v>
      </c>
      <c r="P219" s="2">
        <v>3.9100000860000002</v>
      </c>
      <c r="Q219" s="2">
        <v>0</v>
      </c>
      <c r="R219" s="2">
        <v>0</v>
      </c>
      <c r="S219" s="2">
        <v>0</v>
      </c>
      <c r="T219" s="2">
        <v>299</v>
      </c>
      <c r="U219" s="2">
        <f t="shared" si="17"/>
        <v>299</v>
      </c>
      <c r="V219" s="2">
        <v>717</v>
      </c>
      <c r="W219" s="2">
        <v>5908</v>
      </c>
      <c r="X219" s="2">
        <f t="shared" si="18"/>
        <v>5908</v>
      </c>
      <c r="Y219" s="2">
        <v>1850</v>
      </c>
      <c r="Z219" t="str" cm="1">
        <f t="array" ref="Z219">_xlfn.IFS(OR(R219&gt;66, S219&gt;38), "High Engagement", OR(AND(R219&gt;32, R219&lt;=66), AND(S219&gt;19, S219&lt;=38)), "Medium-High Engagement", OR(AND(R219&gt;4, R219&lt;=32), AND(S219&gt;6, S219&lt;=19)),"Medium Engagement", TRUE, "Low Engagement"
)</f>
        <v>Low Engagement</v>
      </c>
      <c r="AA219">
        <f t="shared" si="19"/>
        <v>0.31313473256601221</v>
      </c>
    </row>
    <row r="220" spans="1:27" x14ac:dyDescent="0.35">
      <c r="A220" s="2">
        <v>6962181067</v>
      </c>
      <c r="B220" s="2" t="s">
        <v>85</v>
      </c>
      <c r="C220" s="2">
        <f>VLOOKUP(user_activity!A497,users_details!$A$1:$G$34,5,0)</f>
        <v>36</v>
      </c>
      <c r="D220" s="2" t="str" cm="1">
        <f t="array" ref="D220">_xlfn.IFS( AND(C220&gt;=18, C220&lt;=25), "Emerging Adults",  AND(C220&gt;=26, C220&lt;=35),  "Young Adults",  AND(C220&gt;=36, C220&lt;=45),  "Midlife Adults",  AND(C220&gt;=46, C220&lt;=55), "Mature Adults", C220&gt;=56,  "Older Adults", TRUE, "Age Not Mentioned")</f>
        <v>Midlife Adults</v>
      </c>
      <c r="E220" s="2" t="str">
        <f>VLOOKUP(user_activity!A497,users_details!$A$1:$G$34,6,0)</f>
        <v>Williamsburg, Brooklyn</v>
      </c>
      <c r="F220" s="2" t="str">
        <f>VLOOKUP(user_activity!A497,users_details!$A$1:$G$34,7,0)</f>
        <v>Williamsburg</v>
      </c>
      <c r="G220" s="2" t="s">
        <v>72</v>
      </c>
      <c r="H220" s="7">
        <v>42486</v>
      </c>
      <c r="I220" s="9" t="str">
        <f t="shared" si="15"/>
        <v>Tuesday</v>
      </c>
      <c r="J220" s="9" t="str">
        <f t="shared" si="16"/>
        <v>April</v>
      </c>
      <c r="K220" s="2">
        <v>6.9000000950000002</v>
      </c>
      <c r="L220" s="2">
        <v>6.9000000950000002</v>
      </c>
      <c r="M220" s="2">
        <v>0</v>
      </c>
      <c r="N220" s="2">
        <v>2.579999924</v>
      </c>
      <c r="O220" s="2">
        <v>0.41999998700000002</v>
      </c>
      <c r="P220" s="2">
        <v>3.9000000950000002</v>
      </c>
      <c r="Q220" s="2">
        <v>0</v>
      </c>
      <c r="R220" s="2">
        <v>36</v>
      </c>
      <c r="S220" s="2">
        <v>7</v>
      </c>
      <c r="T220" s="2">
        <v>254</v>
      </c>
      <c r="U220" s="2">
        <f t="shared" si="17"/>
        <v>297</v>
      </c>
      <c r="V220" s="2">
        <v>680</v>
      </c>
      <c r="W220" s="2">
        <v>10433</v>
      </c>
      <c r="X220" s="2">
        <f t="shared" si="18"/>
        <v>10433</v>
      </c>
      <c r="Y220" s="2">
        <v>2012</v>
      </c>
      <c r="Z220" t="str" cm="1">
        <f t="array" ref="Z220">_xlfn.IFS(OR(R220&gt;66, S220&gt;38), "High Engagement", OR(AND(R220&gt;32, R220&lt;=66), AND(S220&gt;19, S220&lt;=38)), "Medium-High Engagement", OR(AND(R220&gt;4, R220&lt;=32), AND(S220&gt;6, S220&lt;=19)),"Medium Engagement", TRUE, "Low Engagement"
)</f>
        <v>Medium-High Engagement</v>
      </c>
      <c r="AA220">
        <f t="shared" si="19"/>
        <v>0.19284961180868399</v>
      </c>
    </row>
    <row r="221" spans="1:27" x14ac:dyDescent="0.35">
      <c r="A221" s="2">
        <v>6962181067</v>
      </c>
      <c r="B221" s="2" t="s">
        <v>85</v>
      </c>
      <c r="C221" s="2">
        <f>VLOOKUP(user_activity!A559,users_details!$A$1:$G$34,5,0)</f>
        <v>38</v>
      </c>
      <c r="D221" s="2" t="str" cm="1">
        <f t="array" ref="D221">_xlfn.IFS( AND(C221&gt;=18, C221&lt;=25), "Emerging Adults",  AND(C221&gt;=26, C221&lt;=35),  "Young Adults",  AND(C221&gt;=36, C221&lt;=45),  "Midlife Adults",  AND(C221&gt;=46, C221&lt;=55), "Mature Adults", C221&gt;=56,  "Older Adults", TRUE, "Age Not Mentioned")</f>
        <v>Midlife Adults</v>
      </c>
      <c r="E221" s="2" t="str">
        <f>VLOOKUP(user_activity!A559,users_details!$A$1:$G$34,6,0)</f>
        <v>East Harlem, Manhattan</v>
      </c>
      <c r="F221" s="2" t="str">
        <f>VLOOKUP(user_activity!A559,users_details!$A$1:$G$34,7,0)</f>
        <v>East Harlem</v>
      </c>
      <c r="G221" s="2" t="s">
        <v>72</v>
      </c>
      <c r="H221" s="7">
        <v>42618</v>
      </c>
      <c r="I221" s="9" t="str">
        <f t="shared" si="15"/>
        <v>Monday</v>
      </c>
      <c r="J221" s="9" t="str">
        <f t="shared" si="16"/>
        <v>September</v>
      </c>
      <c r="K221" s="2">
        <v>8.7200002669999996</v>
      </c>
      <c r="L221" s="2">
        <v>8.6800003050000001</v>
      </c>
      <c r="M221" s="2">
        <v>3.1678218839999999</v>
      </c>
      <c r="N221" s="2">
        <v>3.9000000950000002</v>
      </c>
      <c r="O221" s="2">
        <v>1.1799999480000001</v>
      </c>
      <c r="P221" s="2">
        <v>3.6500000950000002</v>
      </c>
      <c r="Q221" s="2">
        <v>0</v>
      </c>
      <c r="R221" s="2">
        <v>43</v>
      </c>
      <c r="S221" s="2">
        <v>21</v>
      </c>
      <c r="T221" s="2">
        <v>231</v>
      </c>
      <c r="U221" s="2">
        <f t="shared" si="17"/>
        <v>295</v>
      </c>
      <c r="V221" s="2">
        <v>607</v>
      </c>
      <c r="W221" s="2">
        <v>12342</v>
      </c>
      <c r="X221" s="2">
        <f t="shared" si="18"/>
        <v>12342</v>
      </c>
      <c r="Y221" s="2">
        <v>2105</v>
      </c>
      <c r="Z221" t="str" cm="1">
        <f t="array" ref="Z221">_xlfn.IFS(OR(R221&gt;66, S221&gt;38), "High Engagement", OR(AND(R221&gt;32, R221&lt;=66), AND(S221&gt;19, S221&lt;=38)), "Medium-High Engagement", OR(AND(R221&gt;4, R221&lt;=32), AND(S221&gt;6, S221&lt;=19)),"Medium Engagement", TRUE, "Low Engagement"
)</f>
        <v>Medium-High Engagement</v>
      </c>
      <c r="AA221">
        <f t="shared" si="19"/>
        <v>0.17055582563603955</v>
      </c>
    </row>
    <row r="222" spans="1:27" x14ac:dyDescent="0.35">
      <c r="A222" s="2">
        <v>6962181067</v>
      </c>
      <c r="B222" s="2" t="s">
        <v>85</v>
      </c>
      <c r="C222" s="2">
        <f>VLOOKUP(user_activity!A585,users_details!$A$1:$G$34,5,0)</f>
        <v>38</v>
      </c>
      <c r="D222" s="2" t="str" cm="1">
        <f t="array" ref="D222">_xlfn.IFS( AND(C222&gt;=18, C222&lt;=25), "Emerging Adults",  AND(C222&gt;=26, C222&lt;=35),  "Young Adults",  AND(C222&gt;=36, C222&lt;=45),  "Midlife Adults",  AND(C222&gt;=46, C222&lt;=55), "Mature Adults", C222&gt;=56,  "Older Adults", TRUE, "Age Not Mentioned")</f>
        <v>Midlife Adults</v>
      </c>
      <c r="E222" s="2" t="str">
        <f>VLOOKUP(user_activity!A585,users_details!$A$1:$G$34,6,0)</f>
        <v>East Harlem, Manhattan</v>
      </c>
      <c r="F222" s="2" t="str">
        <f>VLOOKUP(user_activity!A585,users_details!$A$1:$G$34,7,0)</f>
        <v>East Harlem</v>
      </c>
      <c r="G222" s="2" t="s">
        <v>72</v>
      </c>
      <c r="H222" s="7">
        <v>42489</v>
      </c>
      <c r="I222" s="9" t="str">
        <f t="shared" si="15"/>
        <v>Friday</v>
      </c>
      <c r="J222" s="9" t="str">
        <f t="shared" si="16"/>
        <v>April</v>
      </c>
      <c r="K222" s="2">
        <v>7.1100001339999999</v>
      </c>
      <c r="L222" s="2">
        <v>7.1100001339999999</v>
      </c>
      <c r="M222" s="2">
        <v>0</v>
      </c>
      <c r="N222" s="2">
        <v>0.81999999300000004</v>
      </c>
      <c r="O222" s="2">
        <v>0.47999998900000002</v>
      </c>
      <c r="P222" s="2">
        <v>5.8099999430000002</v>
      </c>
      <c r="Q222" s="2">
        <v>0</v>
      </c>
      <c r="R222" s="2">
        <v>12</v>
      </c>
      <c r="S222" s="2">
        <v>15</v>
      </c>
      <c r="T222" s="2">
        <v>369</v>
      </c>
      <c r="U222" s="2">
        <f t="shared" si="17"/>
        <v>396</v>
      </c>
      <c r="V222" s="2">
        <v>645</v>
      </c>
      <c r="W222" s="2">
        <v>10762</v>
      </c>
      <c r="X222" s="2">
        <f t="shared" si="18"/>
        <v>10762</v>
      </c>
      <c r="Y222" s="2">
        <v>2254</v>
      </c>
      <c r="Z222" t="str" cm="1">
        <f t="array" ref="Z222">_xlfn.IFS(OR(R222&gt;66, S222&gt;38), "High Engagement", OR(AND(R222&gt;32, R222&lt;=66), AND(S222&gt;19, S222&lt;=38)), "Medium-High Engagement", OR(AND(R222&gt;4, R222&lt;=32), AND(S222&gt;6, S222&lt;=19)),"Medium Engagement", TRUE, "Low Engagement"
)</f>
        <v>Medium Engagement</v>
      </c>
      <c r="AA222">
        <f t="shared" si="19"/>
        <v>0.20944062441925293</v>
      </c>
    </row>
    <row r="223" spans="1:27" x14ac:dyDescent="0.35">
      <c r="A223" s="2">
        <v>6962181067</v>
      </c>
      <c r="B223" s="2" t="s">
        <v>85</v>
      </c>
      <c r="C223" s="2">
        <f>VLOOKUP(user_activity!A624,users_details!$A$1:$G$34,5,0)</f>
        <v>41</v>
      </c>
      <c r="D223" s="2" t="str" cm="1">
        <f t="array" ref="D223">_xlfn.IFS( AND(C223&gt;=18, C223&lt;=25), "Emerging Adults",  AND(C223&gt;=26, C223&lt;=35),  "Young Adults",  AND(C223&gt;=36, C223&lt;=45),  "Midlife Adults",  AND(C223&gt;=46, C223&lt;=55), "Mature Adults", C223&gt;=56,  "Older Adults", TRUE, "Age Not Mentioned")</f>
        <v>Midlife Adults</v>
      </c>
      <c r="E223" s="2" t="str">
        <f>VLOOKUP(user_activity!A624,users_details!$A$1:$G$34,6,0)</f>
        <v>East Harlem, Manhattan</v>
      </c>
      <c r="F223" s="2" t="str">
        <f>VLOOKUP(user_activity!A624,users_details!$A$1:$G$34,7,0)</f>
        <v>East Harlem</v>
      </c>
      <c r="G223" s="2" t="s">
        <v>72</v>
      </c>
      <c r="H223" s="7">
        <v>42648</v>
      </c>
      <c r="I223" s="9" t="str">
        <f t="shared" si="15"/>
        <v>Wednesday</v>
      </c>
      <c r="J223" s="9" t="str">
        <f t="shared" si="16"/>
        <v>October</v>
      </c>
      <c r="K223" s="2">
        <v>10.210000040000001</v>
      </c>
      <c r="L223" s="2">
        <v>10.210000040000001</v>
      </c>
      <c r="M223" s="2">
        <v>0</v>
      </c>
      <c r="N223" s="2">
        <v>3.4700000289999999</v>
      </c>
      <c r="O223" s="2">
        <v>1.75</v>
      </c>
      <c r="P223" s="2">
        <v>4.9899997709999999</v>
      </c>
      <c r="Q223" s="2">
        <v>0</v>
      </c>
      <c r="R223" s="2">
        <v>62</v>
      </c>
      <c r="S223" s="2">
        <v>34</v>
      </c>
      <c r="T223" s="2">
        <v>275</v>
      </c>
      <c r="U223" s="2">
        <f t="shared" si="17"/>
        <v>371</v>
      </c>
      <c r="V223" s="2">
        <v>626</v>
      </c>
      <c r="W223" s="2">
        <v>15448</v>
      </c>
      <c r="X223" s="2">
        <f t="shared" si="18"/>
        <v>15448</v>
      </c>
      <c r="Y223" s="2">
        <v>2361</v>
      </c>
      <c r="Z223" t="str" cm="1">
        <f t="array" ref="Z223">_xlfn.IFS(OR(R223&gt;66, S223&gt;38), "High Engagement", OR(AND(R223&gt;32, R223&lt;=66), AND(S223&gt;19, S223&lt;=38)), "Medium-High Engagement", OR(AND(R223&gt;4, R223&lt;=32), AND(S223&gt;6, S223&lt;=19)),"Medium Engagement", TRUE, "Low Engagement"
)</f>
        <v>Medium-High Engagement</v>
      </c>
      <c r="AA223">
        <f t="shared" si="19"/>
        <v>0.15283531848783014</v>
      </c>
    </row>
    <row r="224" spans="1:27" x14ac:dyDescent="0.35">
      <c r="A224" s="2">
        <v>6962181067</v>
      </c>
      <c r="B224" s="2" t="s">
        <v>85</v>
      </c>
      <c r="C224" s="2">
        <f>VLOOKUP(user_activity!A631,users_details!$A$1:$G$34,5,0)</f>
        <v>41</v>
      </c>
      <c r="D224" s="2" t="str" cm="1">
        <f t="array" ref="D224">_xlfn.IFS( AND(C224&gt;=18, C224&lt;=25), "Emerging Adults",  AND(C224&gt;=26, C224&lt;=35),  "Young Adults",  AND(C224&gt;=36, C224&lt;=45),  "Midlife Adults",  AND(C224&gt;=46, C224&lt;=55), "Mature Adults", C224&gt;=56,  "Older Adults", TRUE, "Age Not Mentioned")</f>
        <v>Midlife Adults</v>
      </c>
      <c r="E224" s="2" t="str">
        <f>VLOOKUP(user_activity!A631,users_details!$A$1:$G$34,6,0)</f>
        <v>East Harlem, Manhattan</v>
      </c>
      <c r="F224" s="2" t="str">
        <f>VLOOKUP(user_activity!A631,users_details!$A$1:$G$34,7,0)</f>
        <v>East Harlem</v>
      </c>
      <c r="G224" s="2" t="s">
        <v>72</v>
      </c>
      <c r="H224" s="7">
        <v>42495</v>
      </c>
      <c r="I224" s="9" t="str">
        <f t="shared" si="15"/>
        <v>Thursday</v>
      </c>
      <c r="J224" s="9" t="str">
        <f t="shared" si="16"/>
        <v>May</v>
      </c>
      <c r="K224" s="2">
        <v>6.9600000380000004</v>
      </c>
      <c r="L224" s="2">
        <v>6.9600000380000004</v>
      </c>
      <c r="M224" s="2">
        <v>0</v>
      </c>
      <c r="N224" s="2">
        <v>0.99000001000000004</v>
      </c>
      <c r="O224" s="2">
        <v>1.1599999670000001</v>
      </c>
      <c r="P224" s="2">
        <v>4.8099999430000002</v>
      </c>
      <c r="Q224" s="2">
        <v>0</v>
      </c>
      <c r="R224" s="2">
        <v>14</v>
      </c>
      <c r="S224" s="2">
        <v>22</v>
      </c>
      <c r="T224" s="2">
        <v>305</v>
      </c>
      <c r="U224" s="2">
        <f t="shared" si="17"/>
        <v>341</v>
      </c>
      <c r="V224" s="2">
        <v>591</v>
      </c>
      <c r="W224" s="2">
        <v>10524</v>
      </c>
      <c r="X224" s="2">
        <f t="shared" si="18"/>
        <v>10524</v>
      </c>
      <c r="Y224" s="2">
        <v>2066</v>
      </c>
      <c r="Z224" t="str" cm="1">
        <f t="array" ref="Z224">_xlfn.IFS(OR(R224&gt;66, S224&gt;38), "High Engagement", OR(AND(R224&gt;32, R224&lt;=66), AND(S224&gt;19, S224&lt;=38)), "Medium-High Engagement", OR(AND(R224&gt;4, R224&lt;=32), AND(S224&gt;6, S224&lt;=19)),"Medium Engagement", TRUE, "Low Engagement"
)</f>
        <v>Medium-High Engagement</v>
      </c>
      <c r="AA224">
        <f t="shared" si="19"/>
        <v>0.19631318890155836</v>
      </c>
    </row>
    <row r="225" spans="1:27" x14ac:dyDescent="0.35">
      <c r="A225" s="2">
        <v>6962181067</v>
      </c>
      <c r="B225" s="2" t="s">
        <v>85</v>
      </c>
      <c r="C225" s="2">
        <f>VLOOKUP(user_activity!A668,users_details!$A$1:$G$34,5,0)</f>
        <v>49</v>
      </c>
      <c r="D225" s="2" t="str" cm="1">
        <f t="array" ref="D225">_xlfn.IFS( AND(C225&gt;=18, C225&lt;=25), "Emerging Adults",  AND(C225&gt;=26, C225&lt;=35),  "Young Adults",  AND(C225&gt;=36, C225&lt;=45),  "Midlife Adults",  AND(C225&gt;=46, C225&lt;=55), "Mature Adults", C225&gt;=56,  "Older Adults", TRUE, "Age Not Mentioned")</f>
        <v>Mature Adults</v>
      </c>
      <c r="E225" s="2" t="str">
        <f>VLOOKUP(user_activity!A668,users_details!$A$1:$G$34,6,0)</f>
        <v>Upper West Side, Manhattan</v>
      </c>
      <c r="F225" s="2" t="str">
        <f>VLOOKUP(user_activity!A668,users_details!$A$1:$G$34,7,0)</f>
        <v>Upper West Side</v>
      </c>
      <c r="G225" s="2" t="s">
        <v>72</v>
      </c>
      <c r="H225" s="7">
        <v>42485</v>
      </c>
      <c r="I225" s="9" t="str">
        <f t="shared" si="15"/>
        <v>Monday</v>
      </c>
      <c r="J225" s="9" t="str">
        <f t="shared" si="16"/>
        <v>April</v>
      </c>
      <c r="K225" s="2">
        <v>9.2700004580000002</v>
      </c>
      <c r="L225" s="2">
        <v>9.0799999239999991</v>
      </c>
      <c r="M225" s="2">
        <v>2.7851750850000001</v>
      </c>
      <c r="N225" s="2">
        <v>3.0199999809999998</v>
      </c>
      <c r="O225" s="2">
        <v>1.6799999480000001</v>
      </c>
      <c r="P225" s="2">
        <v>4.4600000380000004</v>
      </c>
      <c r="Q225" s="2">
        <v>0.10000000100000001</v>
      </c>
      <c r="R225" s="2">
        <v>35</v>
      </c>
      <c r="S225" s="2">
        <v>31</v>
      </c>
      <c r="T225" s="2">
        <v>282</v>
      </c>
      <c r="U225" s="2">
        <f t="shared" si="17"/>
        <v>348</v>
      </c>
      <c r="V225" s="2">
        <v>637</v>
      </c>
      <c r="W225" s="2">
        <v>13239</v>
      </c>
      <c r="X225" s="2">
        <f t="shared" si="18"/>
        <v>13239</v>
      </c>
      <c r="Y225" s="2">
        <v>2194</v>
      </c>
      <c r="Z225" t="str" cm="1">
        <f t="array" ref="Z225">_xlfn.IFS(OR(R225&gt;66, S225&gt;38), "High Engagement", OR(AND(R225&gt;32, R225&lt;=66), AND(S225&gt;19, S225&lt;=38)), "Medium-High Engagement", OR(AND(R225&gt;4, R225&lt;=32), AND(S225&gt;6, S225&lt;=19)),"Medium Engagement", TRUE, "Low Engagement"
)</f>
        <v>Medium-High Engagement</v>
      </c>
      <c r="AA225">
        <f t="shared" si="19"/>
        <v>0.16572248659264294</v>
      </c>
    </row>
    <row r="226" spans="1:27" x14ac:dyDescent="0.35">
      <c r="A226" s="2">
        <v>6962181067</v>
      </c>
      <c r="B226" s="2" t="s">
        <v>85</v>
      </c>
      <c r="C226" s="2">
        <f>VLOOKUP(user_activity!A702,users_details!$A$1:$G$34,5,0)</f>
        <v>53</v>
      </c>
      <c r="D226" s="2" t="str" cm="1">
        <f t="array" ref="D226">_xlfn.IFS( AND(C226&gt;=18, C226&lt;=25), "Emerging Adults",  AND(C226&gt;=26, C226&lt;=35),  "Young Adults",  AND(C226&gt;=36, C226&lt;=45),  "Midlife Adults",  AND(C226&gt;=46, C226&lt;=55), "Mature Adults", C226&gt;=56,  "Older Adults", TRUE, "Age Not Mentioned")</f>
        <v>Mature Adults</v>
      </c>
      <c r="E226" s="2" t="str">
        <f>VLOOKUP(user_activity!A702,users_details!$A$1:$G$34,6,0)</f>
        <v>Williamsburg, Brooklyn</v>
      </c>
      <c r="F226" s="2" t="str">
        <f>VLOOKUP(user_activity!A702,users_details!$A$1:$G$34,7,0)</f>
        <v>Williamsburg</v>
      </c>
      <c r="G226" s="2" t="s">
        <v>72</v>
      </c>
      <c r="H226" s="7">
        <v>42556</v>
      </c>
      <c r="I226" s="9" t="str">
        <f t="shared" si="15"/>
        <v>Tuesday</v>
      </c>
      <c r="J226" s="9" t="str">
        <f t="shared" si="16"/>
        <v>July</v>
      </c>
      <c r="K226" s="2">
        <v>4.5</v>
      </c>
      <c r="L226" s="2">
        <v>4.5</v>
      </c>
      <c r="M226" s="2">
        <v>0</v>
      </c>
      <c r="N226" s="2">
        <v>0</v>
      </c>
      <c r="O226" s="2">
        <v>0</v>
      </c>
      <c r="P226" s="2">
        <v>4.5</v>
      </c>
      <c r="Q226" s="2">
        <v>0</v>
      </c>
      <c r="R226" s="2">
        <v>0</v>
      </c>
      <c r="S226" s="2">
        <v>0</v>
      </c>
      <c r="T226" s="2">
        <v>328</v>
      </c>
      <c r="U226" s="2">
        <f t="shared" si="17"/>
        <v>328</v>
      </c>
      <c r="V226" s="2">
        <v>745</v>
      </c>
      <c r="W226" s="2">
        <v>6815</v>
      </c>
      <c r="X226" s="2">
        <f t="shared" si="18"/>
        <v>6815</v>
      </c>
      <c r="Y226" s="2">
        <v>1947</v>
      </c>
      <c r="Z226" t="str" cm="1">
        <f t="array" ref="Z226">_xlfn.IFS(OR(R226&gt;66, S226&gt;38), "High Engagement", OR(AND(R226&gt;32, R226&lt;=66), AND(S226&gt;19, S226&lt;=38)), "Medium-High Engagement", OR(AND(R226&gt;4, R226&lt;=32), AND(S226&gt;6, S226&lt;=19)),"Medium Engagement", TRUE, "Low Engagement"
)</f>
        <v>Low Engagement</v>
      </c>
      <c r="AA226">
        <f t="shared" si="19"/>
        <v>0.28569332355099047</v>
      </c>
    </row>
    <row r="227" spans="1:27" x14ac:dyDescent="0.35">
      <c r="A227" s="2">
        <v>6962181067</v>
      </c>
      <c r="B227" s="2" t="s">
        <v>85</v>
      </c>
      <c r="C227" s="2">
        <f>VLOOKUP(user_activity!A716,users_details!$A$1:$G$34,5,0)</f>
        <v>53</v>
      </c>
      <c r="D227" s="2" t="str" cm="1">
        <f t="array" ref="D227">_xlfn.IFS( AND(C227&gt;=18, C227&lt;=25), "Emerging Adults",  AND(C227&gt;=26, C227&lt;=35),  "Young Adults",  AND(C227&gt;=36, C227&lt;=45),  "Midlife Adults",  AND(C227&gt;=46, C227&lt;=55), "Mature Adults", C227&gt;=56,  "Older Adults", TRUE, "Age Not Mentioned")</f>
        <v>Mature Adults</v>
      </c>
      <c r="E227" s="2" t="str">
        <f>VLOOKUP(user_activity!A716,users_details!$A$1:$G$34,6,0)</f>
        <v>Harlem, Manhattan</v>
      </c>
      <c r="F227" s="2" t="str">
        <f>VLOOKUP(user_activity!A716,users_details!$A$1:$G$34,7,0)</f>
        <v>Harlem</v>
      </c>
      <c r="G227" s="2" t="s">
        <v>72</v>
      </c>
      <c r="H227" s="7">
        <v>42483</v>
      </c>
      <c r="I227" s="9" t="str">
        <f t="shared" si="15"/>
        <v>Saturday</v>
      </c>
      <c r="J227" s="9" t="str">
        <f t="shared" si="16"/>
        <v>April</v>
      </c>
      <c r="K227" s="2">
        <v>13.239999770000001</v>
      </c>
      <c r="L227" s="2">
        <v>13.239999770000001</v>
      </c>
      <c r="M227" s="2">
        <v>0</v>
      </c>
      <c r="N227" s="2">
        <v>4.1999998090000004</v>
      </c>
      <c r="O227" s="2">
        <v>2</v>
      </c>
      <c r="P227" s="2">
        <v>7.0399999619999996</v>
      </c>
      <c r="Q227" s="2">
        <v>0</v>
      </c>
      <c r="R227" s="2">
        <v>58</v>
      </c>
      <c r="S227" s="2">
        <v>41</v>
      </c>
      <c r="T227" s="2">
        <v>347</v>
      </c>
      <c r="U227" s="2">
        <f t="shared" si="17"/>
        <v>446</v>
      </c>
      <c r="V227" s="2">
        <v>484</v>
      </c>
      <c r="W227" s="2">
        <v>20031</v>
      </c>
      <c r="X227" s="2">
        <f t="shared" si="18"/>
        <v>20031</v>
      </c>
      <c r="Y227" s="2">
        <v>2571</v>
      </c>
      <c r="Z227" t="str" cm="1">
        <f t="array" ref="Z227">_xlfn.IFS(OR(R227&gt;66, S227&gt;38), "High Engagement", OR(AND(R227&gt;32, R227&lt;=66), AND(S227&gt;19, S227&lt;=38)), "Medium-High Engagement", OR(AND(R227&gt;4, R227&lt;=32), AND(S227&gt;6, S227&lt;=19)),"Medium Engagement", TRUE, "Low Engagement"
)</f>
        <v>High Engagement</v>
      </c>
      <c r="AA227">
        <f t="shared" si="19"/>
        <v>0.12835105586341172</v>
      </c>
    </row>
    <row r="228" spans="1:27" x14ac:dyDescent="0.35">
      <c r="A228" s="2">
        <v>6962181067</v>
      </c>
      <c r="B228" s="2" t="s">
        <v>85</v>
      </c>
      <c r="C228" s="2">
        <f>VLOOKUP(user_activity!A731,users_details!$A$1:$G$34,5,0)</f>
        <v>53</v>
      </c>
      <c r="D228" s="2" t="str" cm="1">
        <f t="array" ref="D228">_xlfn.IFS( AND(C228&gt;=18, C228&lt;=25), "Emerging Adults",  AND(C228&gt;=26, C228&lt;=35),  "Young Adults",  AND(C228&gt;=36, C228&lt;=45),  "Midlife Adults",  AND(C228&gt;=46, C228&lt;=55), "Mature Adults", C228&gt;=56,  "Older Adults", TRUE, "Age Not Mentioned")</f>
        <v>Mature Adults</v>
      </c>
      <c r="E228" s="2" t="str">
        <f>VLOOKUP(user_activity!A731,users_details!$A$1:$G$34,6,0)</f>
        <v>Harlem, Manhattan</v>
      </c>
      <c r="F228" s="2" t="str">
        <f>VLOOKUP(user_activity!A731,users_details!$A$1:$G$34,7,0)</f>
        <v>Harlem</v>
      </c>
      <c r="G228" s="2" t="s">
        <v>72</v>
      </c>
      <c r="H228" s="7">
        <v>42679</v>
      </c>
      <c r="I228" s="9" t="str">
        <f t="shared" si="15"/>
        <v>Saturday</v>
      </c>
      <c r="J228" s="9" t="str">
        <f t="shared" si="16"/>
        <v>November</v>
      </c>
      <c r="K228" s="2">
        <v>4.4400000569999998</v>
      </c>
      <c r="L228" s="2">
        <v>4.4400000569999998</v>
      </c>
      <c r="M228" s="2">
        <v>0</v>
      </c>
      <c r="N228" s="2">
        <v>1.4900000099999999</v>
      </c>
      <c r="O228" s="2">
        <v>0.310000002</v>
      </c>
      <c r="P228" s="2">
        <v>2.6500000950000002</v>
      </c>
      <c r="Q228" s="2">
        <v>0</v>
      </c>
      <c r="R228" s="2">
        <v>24</v>
      </c>
      <c r="S228" s="2">
        <v>7</v>
      </c>
      <c r="T228" s="2">
        <v>199</v>
      </c>
      <c r="U228" s="2">
        <f t="shared" si="17"/>
        <v>230</v>
      </c>
      <c r="V228" s="2">
        <v>709</v>
      </c>
      <c r="W228" s="2">
        <v>6722</v>
      </c>
      <c r="X228" s="2">
        <f t="shared" si="18"/>
        <v>6722</v>
      </c>
      <c r="Y228" s="2">
        <v>1855</v>
      </c>
      <c r="Z228" t="str" cm="1">
        <f t="array" ref="Z228">_xlfn.IFS(OR(R228&gt;66, S228&gt;38), "High Engagement", OR(AND(R228&gt;32, R228&lt;=66), AND(S228&gt;19, S228&lt;=38)), "Medium-High Engagement", OR(AND(R228&gt;4, R228&lt;=32), AND(S228&gt;6, S228&lt;=19)),"Medium Engagement", TRUE, "Low Engagement"
)</f>
        <v>Medium Engagement</v>
      </c>
      <c r="AA228">
        <f t="shared" si="19"/>
        <v>0.27595953585242489</v>
      </c>
    </row>
    <row r="229" spans="1:27" x14ac:dyDescent="0.35">
      <c r="A229" s="2">
        <v>6962181067</v>
      </c>
      <c r="B229" s="2" t="s">
        <v>85</v>
      </c>
      <c r="C229" s="2">
        <f>VLOOKUP(user_activity!A758,users_details!$A$1:$G$34,5,0)</f>
        <v>53</v>
      </c>
      <c r="D229" s="2" t="str" cm="1">
        <f t="array" ref="D229">_xlfn.IFS( AND(C229&gt;=18, C229&lt;=25), "Emerging Adults",  AND(C229&gt;=26, C229&lt;=35),  "Young Adults",  AND(C229&gt;=36, C229&lt;=45),  "Midlife Adults",  AND(C229&gt;=46, C229&lt;=55), "Mature Adults", C229&gt;=56,  "Older Adults", TRUE, "Age Not Mentioned")</f>
        <v>Mature Adults</v>
      </c>
      <c r="E229" s="2" t="str">
        <f>VLOOKUP(user_activity!A758,users_details!$A$1:$G$34,6,0)</f>
        <v>Harlem, Manhattan</v>
      </c>
      <c r="F229" s="2" t="str">
        <f>VLOOKUP(user_activity!A758,users_details!$A$1:$G$34,7,0)</f>
        <v>Harlem</v>
      </c>
      <c r="G229" s="2" t="s">
        <v>72</v>
      </c>
      <c r="H229" s="7">
        <v>42490</v>
      </c>
      <c r="I229" s="9" t="str">
        <f t="shared" si="15"/>
        <v>Saturday</v>
      </c>
      <c r="J229" s="9" t="str">
        <f t="shared" si="16"/>
        <v>April</v>
      </c>
      <c r="K229" s="2">
        <v>6.6599998469999999</v>
      </c>
      <c r="L229" s="2">
        <v>6.6599998469999999</v>
      </c>
      <c r="M229" s="2">
        <v>0</v>
      </c>
      <c r="N229" s="2">
        <v>2.2400000100000002</v>
      </c>
      <c r="O229" s="2">
        <v>0.75999998999999996</v>
      </c>
      <c r="P229" s="2">
        <v>3.670000076</v>
      </c>
      <c r="Q229" s="2">
        <v>0</v>
      </c>
      <c r="R229" s="2">
        <v>32</v>
      </c>
      <c r="S229" s="2">
        <v>16</v>
      </c>
      <c r="T229" s="2">
        <v>237</v>
      </c>
      <c r="U229" s="2">
        <f t="shared" si="17"/>
        <v>285</v>
      </c>
      <c r="V229" s="2">
        <v>731</v>
      </c>
      <c r="W229" s="2">
        <v>10081</v>
      </c>
      <c r="X229" s="2">
        <f t="shared" si="18"/>
        <v>10081</v>
      </c>
      <c r="Y229" s="2">
        <v>2002</v>
      </c>
      <c r="Z229" t="str" cm="1">
        <f t="array" ref="Z229">_xlfn.IFS(OR(R229&gt;66, S229&gt;38), "High Engagement", OR(AND(R229&gt;32, R229&lt;=66), AND(S229&gt;19, S229&lt;=38)), "Medium-High Engagement", OR(AND(R229&gt;4, R229&lt;=32), AND(S229&gt;6, S229&lt;=19)),"Medium Engagement", TRUE, "Low Engagement"
)</f>
        <v>Medium Engagement</v>
      </c>
      <c r="AA229">
        <f t="shared" si="19"/>
        <v>0.19859140958238269</v>
      </c>
    </row>
    <row r="230" spans="1:27" x14ac:dyDescent="0.35">
      <c r="A230" s="2">
        <v>6962181067</v>
      </c>
      <c r="B230" s="2" t="s">
        <v>85</v>
      </c>
      <c r="C230" s="2">
        <f>VLOOKUP(user_activity!A775,users_details!$A$1:$G$34,5,0)</f>
        <v>53</v>
      </c>
      <c r="D230" s="2" t="str" cm="1">
        <f t="array" ref="D230">_xlfn.IFS( AND(C230&gt;=18, C230&lt;=25), "Emerging Adults",  AND(C230&gt;=26, C230&lt;=35),  "Young Adults",  AND(C230&gt;=36, C230&lt;=45),  "Midlife Adults",  AND(C230&gt;=46, C230&lt;=55), "Mature Adults", C230&gt;=56,  "Older Adults", TRUE, "Age Not Mentioned")</f>
        <v>Mature Adults</v>
      </c>
      <c r="E230" s="2" t="str">
        <f>VLOOKUP(user_activity!A775,users_details!$A$1:$G$34,6,0)</f>
        <v>Harlem, Manhattan</v>
      </c>
      <c r="F230" s="2" t="str">
        <f>VLOOKUP(user_activity!A775,users_details!$A$1:$G$34,7,0)</f>
        <v>Harlem</v>
      </c>
      <c r="G230" s="2" t="s">
        <v>72</v>
      </c>
      <c r="H230" s="7">
        <v>42482</v>
      </c>
      <c r="I230" s="9" t="str">
        <f t="shared" si="15"/>
        <v>Friday</v>
      </c>
      <c r="J230" s="9" t="str">
        <f t="shared" si="16"/>
        <v>April</v>
      </c>
      <c r="K230" s="2">
        <v>7.0900001530000001</v>
      </c>
      <c r="L230" s="2">
        <v>7.0900001530000001</v>
      </c>
      <c r="M230" s="2">
        <v>0</v>
      </c>
      <c r="N230" s="2">
        <v>1.769999981</v>
      </c>
      <c r="O230" s="2">
        <v>1.5499999520000001</v>
      </c>
      <c r="P230" s="2">
        <v>3.7699999809999998</v>
      </c>
      <c r="Q230" s="2">
        <v>0</v>
      </c>
      <c r="R230" s="2">
        <v>30</v>
      </c>
      <c r="S230" s="2">
        <v>33</v>
      </c>
      <c r="T230" s="2">
        <v>240</v>
      </c>
      <c r="U230" s="2">
        <f t="shared" si="17"/>
        <v>303</v>
      </c>
      <c r="V230" s="2">
        <v>659</v>
      </c>
      <c r="W230" s="2">
        <v>10725</v>
      </c>
      <c r="X230" s="2">
        <f t="shared" si="18"/>
        <v>10725</v>
      </c>
      <c r="Y230" s="2">
        <v>2086</v>
      </c>
      <c r="Z230" t="str" cm="1">
        <f t="array" ref="Z230">_xlfn.IFS(OR(R230&gt;66, S230&gt;38), "High Engagement", OR(AND(R230&gt;32, R230&lt;=66), AND(S230&gt;19, S230&lt;=38)), "Medium-High Engagement", OR(AND(R230&gt;4, R230&lt;=32), AND(S230&gt;6, S230&lt;=19)),"Medium Engagement", TRUE, "Low Engagement"
)</f>
        <v>Medium-High Engagement</v>
      </c>
      <c r="AA230">
        <f t="shared" si="19"/>
        <v>0.19449883449883451</v>
      </c>
    </row>
    <row r="231" spans="1:27" x14ac:dyDescent="0.35">
      <c r="A231" s="2">
        <v>6962181067</v>
      </c>
      <c r="B231" s="2" t="s">
        <v>85</v>
      </c>
      <c r="C231" s="2">
        <f>VLOOKUP(user_activity!A793,users_details!$A$1:$G$34,5,0)</f>
        <v>54</v>
      </c>
      <c r="D231" s="2" t="str" cm="1">
        <f t="array" ref="D231">_xlfn.IFS( AND(C231&gt;=18, C231&lt;=25), "Emerging Adults",  AND(C231&gt;=26, C231&lt;=35),  "Young Adults",  AND(C231&gt;=36, C231&lt;=45),  "Midlife Adults",  AND(C231&gt;=46, C231&lt;=55), "Mature Adults", C231&gt;=56,  "Older Adults", TRUE, "Age Not Mentioned")</f>
        <v>Mature Adults</v>
      </c>
      <c r="E231" s="2" t="str">
        <f>VLOOKUP(user_activity!A793,users_details!$A$1:$G$34,6,0)</f>
        <v>Crown Heights, Brooklyn</v>
      </c>
      <c r="F231" s="2" t="str">
        <f>VLOOKUP(user_activity!A793,users_details!$A$1:$G$34,7,0)</f>
        <v>Crown Heights</v>
      </c>
      <c r="G231" s="2" t="s">
        <v>72</v>
      </c>
      <c r="H231" s="7">
        <v>42475</v>
      </c>
      <c r="I231" s="9" t="str">
        <f t="shared" si="15"/>
        <v>Friday</v>
      </c>
      <c r="J231" s="9" t="str">
        <f t="shared" si="16"/>
        <v>April</v>
      </c>
      <c r="K231" s="2">
        <v>3.6800000669999999</v>
      </c>
      <c r="L231" s="2">
        <v>3.6800000669999999</v>
      </c>
      <c r="M231" s="2">
        <v>0</v>
      </c>
      <c r="N231" s="2">
        <v>0</v>
      </c>
      <c r="O231" s="2">
        <v>0</v>
      </c>
      <c r="P231" s="2">
        <v>3.6800000669999999</v>
      </c>
      <c r="Q231" s="2">
        <v>0</v>
      </c>
      <c r="R231" s="2">
        <v>0</v>
      </c>
      <c r="S231" s="2">
        <v>0</v>
      </c>
      <c r="T231" s="2">
        <v>217</v>
      </c>
      <c r="U231" s="2">
        <f t="shared" si="17"/>
        <v>217</v>
      </c>
      <c r="V231" s="2">
        <v>837</v>
      </c>
      <c r="W231" s="2">
        <v>5563</v>
      </c>
      <c r="X231" s="2">
        <f t="shared" si="18"/>
        <v>5563</v>
      </c>
      <c r="Y231" s="2">
        <v>1756</v>
      </c>
      <c r="Z231" t="str" cm="1">
        <f t="array" ref="Z231">_xlfn.IFS(OR(R231&gt;66, S231&gt;38), "High Engagement", OR(AND(R231&gt;32, R231&lt;=66), AND(S231&gt;19, S231&lt;=38)), "Medium-High Engagement", OR(AND(R231&gt;4, R231&lt;=32), AND(S231&gt;6, S231&lt;=19)),"Medium Engagement", TRUE, "Low Engagement"
)</f>
        <v>Low Engagement</v>
      </c>
      <c r="AA231">
        <f t="shared" si="19"/>
        <v>0.31565701959374437</v>
      </c>
    </row>
    <row r="232" spans="1:27" x14ac:dyDescent="0.35">
      <c r="A232" s="2">
        <v>6962181067</v>
      </c>
      <c r="B232" s="2" t="s">
        <v>85</v>
      </c>
      <c r="C232" s="2">
        <f>VLOOKUP(user_activity!A840,users_details!$A$1:$G$34,5,0)</f>
        <v>56</v>
      </c>
      <c r="D232" s="2" t="str" cm="1">
        <f t="array" ref="D232">_xlfn.IFS( AND(C232&gt;=18, C232&lt;=25), "Emerging Adults",  AND(C232&gt;=26, C232&lt;=35),  "Young Adults",  AND(C232&gt;=36, C232&lt;=45),  "Midlife Adults",  AND(C232&gt;=46, C232&lt;=55), "Mature Adults", C232&gt;=56,  "Older Adults", TRUE, "Age Not Mentioned")</f>
        <v>Older Adults</v>
      </c>
      <c r="E232" s="2" t="str">
        <f>VLOOKUP(user_activity!A840,users_details!$A$1:$G$34,6,0)</f>
        <v>Flatbush, Brooklyn</v>
      </c>
      <c r="F232" s="2" t="str">
        <f>VLOOKUP(user_activity!A840,users_details!$A$1:$G$34,7,0)</f>
        <v>Flatbush</v>
      </c>
      <c r="G232" s="2" t="s">
        <v>72</v>
      </c>
      <c r="H232" s="7">
        <v>42434</v>
      </c>
      <c r="I232" s="9" t="str">
        <f t="shared" si="15"/>
        <v>Saturday</v>
      </c>
      <c r="J232" s="9" t="str">
        <f t="shared" si="16"/>
        <v>March</v>
      </c>
      <c r="K232" s="2">
        <v>8.1199998860000004</v>
      </c>
      <c r="L232" s="2">
        <v>8.1199998860000004</v>
      </c>
      <c r="M232" s="2">
        <v>0</v>
      </c>
      <c r="N232" s="2">
        <v>1.7400000099999999</v>
      </c>
      <c r="O232" s="2">
        <v>2.039999962</v>
      </c>
      <c r="P232" s="2">
        <v>4.329999924</v>
      </c>
      <c r="Q232" s="2">
        <v>0</v>
      </c>
      <c r="R232" s="2">
        <v>21</v>
      </c>
      <c r="S232" s="2">
        <v>36</v>
      </c>
      <c r="T232" s="2">
        <v>267</v>
      </c>
      <c r="U232" s="2">
        <f t="shared" si="17"/>
        <v>324</v>
      </c>
      <c r="V232" s="2">
        <v>654</v>
      </c>
      <c r="W232" s="2">
        <v>12109</v>
      </c>
      <c r="X232" s="2">
        <f t="shared" si="18"/>
        <v>12109</v>
      </c>
      <c r="Y232" s="2">
        <v>2072</v>
      </c>
      <c r="Z232" t="str" cm="1">
        <f t="array" ref="Z232">_xlfn.IFS(OR(R232&gt;66, S232&gt;38), "High Engagement", OR(AND(R232&gt;32, R232&lt;=66), AND(S232&gt;19, S232&lt;=38)), "Medium-High Engagement", OR(AND(R232&gt;4, R232&lt;=32), AND(S232&gt;6, S232&lt;=19)),"Medium Engagement", TRUE, "Low Engagement"
)</f>
        <v>Medium-High Engagement</v>
      </c>
      <c r="AA232">
        <f t="shared" si="19"/>
        <v>0.17111239573870674</v>
      </c>
    </row>
    <row r="233" spans="1:27" x14ac:dyDescent="0.35">
      <c r="A233" s="2">
        <v>6962181067</v>
      </c>
      <c r="B233" s="2" t="s">
        <v>85</v>
      </c>
      <c r="C233" s="2">
        <f>VLOOKUP(user_activity!A853,users_details!$A$1:$G$34,5,0)</f>
        <v>58</v>
      </c>
      <c r="D233" s="2" t="str" cm="1">
        <f t="array" ref="D233">_xlfn.IFS( AND(C233&gt;=18, C233&lt;=25), "Emerging Adults",  AND(C233&gt;=26, C233&lt;=35),  "Young Adults",  AND(C233&gt;=36, C233&lt;=45),  "Midlife Adults",  AND(C233&gt;=46, C233&lt;=55), "Mature Adults", C233&gt;=56,  "Older Adults", TRUE, "Age Not Mentioned")</f>
        <v>Older Adults</v>
      </c>
      <c r="E233" s="2" t="str">
        <f>VLOOKUP(user_activity!A853,users_details!$A$1:$G$34,6,0)</f>
        <v>East Village, Manhattan</v>
      </c>
      <c r="F233" s="2" t="str">
        <f>VLOOKUP(user_activity!A853,users_details!$A$1:$G$34,7,0)</f>
        <v>East Village</v>
      </c>
      <c r="G233" s="2" t="s">
        <v>72</v>
      </c>
      <c r="H233" s="7">
        <v>42465</v>
      </c>
      <c r="I233" s="9" t="str">
        <f t="shared" si="15"/>
        <v>Tuesday</v>
      </c>
      <c r="J233" s="9" t="str">
        <f t="shared" si="16"/>
        <v>April</v>
      </c>
      <c r="K233" s="2">
        <v>6.7100000380000004</v>
      </c>
      <c r="L233" s="2">
        <v>6.7100000380000004</v>
      </c>
      <c r="M233" s="2">
        <v>0</v>
      </c>
      <c r="N233" s="2">
        <v>0.469999999</v>
      </c>
      <c r="O233" s="2">
        <v>1.6799999480000001</v>
      </c>
      <c r="P233" s="2">
        <v>4.5500001909999996</v>
      </c>
      <c r="Q233" s="2">
        <v>0</v>
      </c>
      <c r="R233" s="2">
        <v>15</v>
      </c>
      <c r="S233" s="2">
        <v>36</v>
      </c>
      <c r="T233" s="2">
        <v>284</v>
      </c>
      <c r="U233" s="2">
        <f t="shared" si="17"/>
        <v>335</v>
      </c>
      <c r="V233" s="2">
        <v>683</v>
      </c>
      <c r="W233" s="2">
        <v>10147</v>
      </c>
      <c r="X233" s="2">
        <f t="shared" si="18"/>
        <v>10147</v>
      </c>
      <c r="Y233" s="2">
        <v>2086</v>
      </c>
      <c r="Z233" t="str" cm="1">
        <f t="array" ref="Z233">_xlfn.IFS(OR(R233&gt;66, S233&gt;38), "High Engagement", OR(AND(R233&gt;32, R233&lt;=66), AND(S233&gt;19, S233&lt;=38)), "Medium-High Engagement", OR(AND(R233&gt;4, R233&lt;=32), AND(S233&gt;6, S233&lt;=19)),"Medium Engagement", TRUE, "Low Engagement"
)</f>
        <v>Medium-High Engagement</v>
      </c>
      <c r="AA233">
        <f t="shared" si="19"/>
        <v>0.20557800335074405</v>
      </c>
    </row>
    <row r="234" spans="1:27" x14ac:dyDescent="0.35">
      <c r="A234" s="2">
        <v>6962181067</v>
      </c>
      <c r="B234" s="2" t="s">
        <v>85</v>
      </c>
      <c r="C234" s="2">
        <f>VLOOKUP(user_activity!A895,users_details!$A$1:$G$34,5,0)</f>
        <v>59</v>
      </c>
      <c r="D234" s="2" t="str" cm="1">
        <f t="array" ref="D234">_xlfn.IFS( AND(C234&gt;=18, C234&lt;=25), "Emerging Adults",  AND(C234&gt;=26, C234&lt;=35),  "Young Adults",  AND(C234&gt;=36, C234&lt;=45),  "Midlife Adults",  AND(C234&gt;=46, C234&lt;=55), "Mature Adults", C234&gt;=56,  "Older Adults", TRUE, "Age Not Mentioned")</f>
        <v>Older Adults</v>
      </c>
      <c r="E234" s="2" t="str">
        <f>VLOOKUP(user_activity!A895,users_details!$A$1:$G$34,6,0)</f>
        <v>Upper West Side, Manhattan</v>
      </c>
      <c r="F234" s="2" t="str">
        <f>VLOOKUP(user_activity!A895,users_details!$A$1:$G$34,7,0)</f>
        <v>Upper West Side</v>
      </c>
      <c r="G234" s="2" t="s">
        <v>72</v>
      </c>
      <c r="H234" s="7">
        <v>42478</v>
      </c>
      <c r="I234" s="9" t="str">
        <f t="shared" si="15"/>
        <v>Monday</v>
      </c>
      <c r="J234" s="9" t="str">
        <f t="shared" si="16"/>
        <v>April</v>
      </c>
      <c r="K234" s="2">
        <v>7.5399999619999996</v>
      </c>
      <c r="L234" s="2">
        <v>7.5399999619999996</v>
      </c>
      <c r="M234" s="2">
        <v>0</v>
      </c>
      <c r="N234" s="2">
        <v>0.829999983</v>
      </c>
      <c r="O234" s="2">
        <v>2.3900001049999999</v>
      </c>
      <c r="P234" s="2">
        <v>4.3200001720000003</v>
      </c>
      <c r="Q234" s="2">
        <v>0</v>
      </c>
      <c r="R234" s="2">
        <v>13</v>
      </c>
      <c r="S234" s="2">
        <v>42</v>
      </c>
      <c r="T234" s="2">
        <v>238</v>
      </c>
      <c r="U234" s="2">
        <f t="shared" si="17"/>
        <v>293</v>
      </c>
      <c r="V234" s="2">
        <v>689</v>
      </c>
      <c r="W234" s="2">
        <v>11404</v>
      </c>
      <c r="X234" s="2">
        <f t="shared" si="18"/>
        <v>11404</v>
      </c>
      <c r="Y234" s="2">
        <v>2039</v>
      </c>
      <c r="Z234" t="str" cm="1">
        <f t="array" ref="Z234">_xlfn.IFS(OR(R234&gt;66, S234&gt;38), "High Engagement", OR(AND(R234&gt;32, R234&lt;=66), AND(S234&gt;19, S234&lt;=38)), "Medium-High Engagement", OR(AND(R234&gt;4, R234&lt;=32), AND(S234&gt;6, S234&lt;=19)),"Medium Engagement", TRUE, "Low Engagement"
)</f>
        <v>High Engagement</v>
      </c>
      <c r="AA234">
        <f t="shared" si="19"/>
        <v>0.17879691336373202</v>
      </c>
    </row>
    <row r="235" spans="1:27" x14ac:dyDescent="0.35">
      <c r="A235" s="2">
        <v>6962181067</v>
      </c>
      <c r="B235" s="2" t="s">
        <v>85</v>
      </c>
      <c r="C235" s="2">
        <f>VLOOKUP(user_activity!A898,users_details!$A$1:$G$34,5,0)</f>
        <v>59</v>
      </c>
      <c r="D235" s="2" t="str" cm="1">
        <f t="array" ref="D235">_xlfn.IFS( AND(C235&gt;=18, C235&lt;=25), "Emerging Adults",  AND(C235&gt;=26, C235&lt;=35),  "Young Adults",  AND(C235&gt;=36, C235&lt;=45),  "Midlife Adults",  AND(C235&gt;=46, C235&lt;=55), "Mature Adults", C235&gt;=56,  "Older Adults", TRUE, "Age Not Mentioned")</f>
        <v>Older Adults</v>
      </c>
      <c r="E235" s="2" t="str">
        <f>VLOOKUP(user_activity!A898,users_details!$A$1:$G$34,6,0)</f>
        <v>Upper West Side, Manhattan</v>
      </c>
      <c r="F235" s="2" t="str">
        <f>VLOOKUP(user_activity!A898,users_details!$A$1:$G$34,7,0)</f>
        <v>Upper West Side</v>
      </c>
      <c r="G235" s="2" t="s">
        <v>72</v>
      </c>
      <c r="H235" s="7">
        <v>42374</v>
      </c>
      <c r="I235" s="9" t="str">
        <f t="shared" si="15"/>
        <v>Tuesday</v>
      </c>
      <c r="J235" s="9" t="str">
        <f t="shared" si="16"/>
        <v>January</v>
      </c>
      <c r="K235" s="2">
        <v>3.6099998950000001</v>
      </c>
      <c r="L235" s="2">
        <v>3.6099998950000001</v>
      </c>
      <c r="M235" s="2">
        <v>0</v>
      </c>
      <c r="N235" s="2">
        <v>0</v>
      </c>
      <c r="O235" s="2">
        <v>0</v>
      </c>
      <c r="P235" s="2">
        <v>3.6099998950000001</v>
      </c>
      <c r="Q235" s="2">
        <v>0</v>
      </c>
      <c r="R235" s="2">
        <v>0</v>
      </c>
      <c r="S235" s="2">
        <v>0</v>
      </c>
      <c r="T235" s="2">
        <v>215</v>
      </c>
      <c r="U235" s="2">
        <f t="shared" si="17"/>
        <v>215</v>
      </c>
      <c r="V235" s="2">
        <v>722</v>
      </c>
      <c r="W235" s="2">
        <v>5454</v>
      </c>
      <c r="X235" s="2">
        <f t="shared" si="18"/>
        <v>5454</v>
      </c>
      <c r="Y235" s="2">
        <v>1740</v>
      </c>
      <c r="Z235" t="str" cm="1">
        <f t="array" ref="Z235">_xlfn.IFS(OR(R235&gt;66, S235&gt;38), "High Engagement", OR(AND(R235&gt;32, R235&lt;=66), AND(S235&gt;19, S235&lt;=38)), "Medium-High Engagement", OR(AND(R235&gt;4, R235&lt;=32), AND(S235&gt;6, S235&lt;=19)),"Medium Engagement", TRUE, "Low Engagement"
)</f>
        <v>Low Engagement</v>
      </c>
      <c r="AA235">
        <f t="shared" si="19"/>
        <v>0.31903190319031904</v>
      </c>
    </row>
    <row r="236" spans="1:27" x14ac:dyDescent="0.35">
      <c r="A236" s="2">
        <v>6962181067</v>
      </c>
      <c r="B236" s="2" t="s">
        <v>85</v>
      </c>
      <c r="C236" s="2">
        <f>VLOOKUP(user_activity!A900,users_details!$A$1:$G$34,5,0)</f>
        <v>59</v>
      </c>
      <c r="D236" s="2" t="str" cm="1">
        <f t="array" ref="D236">_xlfn.IFS( AND(C236&gt;=18, C236&lt;=25), "Emerging Adults",  AND(C236&gt;=26, C236&lt;=35),  "Young Adults",  AND(C236&gt;=36, C236&lt;=45),  "Midlife Adults",  AND(C236&gt;=46, C236&lt;=55), "Mature Adults", C236&gt;=56,  "Older Adults", TRUE, "Age Not Mentioned")</f>
        <v>Older Adults</v>
      </c>
      <c r="E236" s="2" t="str">
        <f>VLOOKUP(user_activity!A900,users_details!$A$1:$G$34,6,0)</f>
        <v>Upper West Side, Manhattan</v>
      </c>
      <c r="F236" s="2" t="str">
        <f>VLOOKUP(user_activity!A900,users_details!$A$1:$G$34,7,0)</f>
        <v>Upper West Side</v>
      </c>
      <c r="G236" s="2" t="s">
        <v>72</v>
      </c>
      <c r="H236" s="7">
        <v>42473</v>
      </c>
      <c r="I236" s="9" t="str">
        <f t="shared" si="15"/>
        <v>Wednesday</v>
      </c>
      <c r="J236" s="9" t="str">
        <f t="shared" si="16"/>
        <v>April</v>
      </c>
      <c r="K236" s="2">
        <v>3.7400000100000002</v>
      </c>
      <c r="L236" s="2">
        <v>3.7400000100000002</v>
      </c>
      <c r="M236" s="2">
        <v>0</v>
      </c>
      <c r="N236" s="2">
        <v>0.56999999300000004</v>
      </c>
      <c r="O236" s="2">
        <v>1.210000038</v>
      </c>
      <c r="P236" s="2">
        <v>1.960000038</v>
      </c>
      <c r="Q236" s="2">
        <v>0</v>
      </c>
      <c r="R236" s="2">
        <v>8</v>
      </c>
      <c r="S236" s="2">
        <v>24</v>
      </c>
      <c r="T236" s="2">
        <v>142</v>
      </c>
      <c r="U236" s="2">
        <f t="shared" si="17"/>
        <v>174</v>
      </c>
      <c r="V236" s="2">
        <v>548</v>
      </c>
      <c r="W236" s="2">
        <v>5652</v>
      </c>
      <c r="X236" s="2">
        <f t="shared" si="18"/>
        <v>5652</v>
      </c>
      <c r="Y236" s="2">
        <v>1718</v>
      </c>
      <c r="Z236" t="str" cm="1">
        <f t="array" ref="Z236">_xlfn.IFS(OR(R236&gt;66, S236&gt;38), "High Engagement", OR(AND(R236&gt;32, R236&lt;=66), AND(S236&gt;19, S236&lt;=38)), "Medium-High Engagement", OR(AND(R236&gt;4, R236&lt;=32), AND(S236&gt;6, S236&lt;=19)),"Medium Engagement", TRUE, "Low Engagement"
)</f>
        <v>Medium-High Engagement</v>
      </c>
      <c r="AA236">
        <f t="shared" si="19"/>
        <v>0.30396319886765749</v>
      </c>
    </row>
    <row r="237" spans="1:27" x14ac:dyDescent="0.35">
      <c r="A237" s="2">
        <v>6962181067</v>
      </c>
      <c r="B237" s="2" t="s">
        <v>85</v>
      </c>
      <c r="C237" s="2">
        <f>VLOOKUP(user_activity!A935,users_details!$A$1:$G$34,5,0)</f>
        <v>60</v>
      </c>
      <c r="D237" s="2" t="str" cm="1">
        <f t="array" ref="D237">_xlfn.IFS( AND(C237&gt;=18, C237&lt;=25), "Emerging Adults",  AND(C237&gt;=26, C237&lt;=35),  "Young Adults",  AND(C237&gt;=36, C237&lt;=45),  "Midlife Adults",  AND(C237&gt;=46, C237&lt;=55), "Mature Adults", C237&gt;=56,  "Older Adults", TRUE, "Age Not Mentioned")</f>
        <v>Older Adults</v>
      </c>
      <c r="E237" s="2" t="str">
        <f>VLOOKUP(user_activity!A935,users_details!$A$1:$G$34,6,0)</f>
        <v>East Village, Manhattan</v>
      </c>
      <c r="F237" s="2" t="str">
        <f>VLOOKUP(user_activity!A935,users_details!$A$1:$G$34,7,0)</f>
        <v>East Village</v>
      </c>
      <c r="G237" s="2" t="s">
        <v>72</v>
      </c>
      <c r="H237" s="7">
        <v>42405</v>
      </c>
      <c r="I237" s="9" t="str">
        <f t="shared" si="15"/>
        <v>Friday</v>
      </c>
      <c r="J237" s="9" t="str">
        <f t="shared" si="16"/>
        <v>February</v>
      </c>
      <c r="K237" s="2">
        <v>8.5399999619999996</v>
      </c>
      <c r="L237" s="2">
        <v>8.5399999619999996</v>
      </c>
      <c r="M237" s="2">
        <v>0</v>
      </c>
      <c r="N237" s="2">
        <v>1.2000000479999999</v>
      </c>
      <c r="O237" s="2">
        <v>2</v>
      </c>
      <c r="P237" s="2">
        <v>5.3400001530000001</v>
      </c>
      <c r="Q237" s="2">
        <v>0</v>
      </c>
      <c r="R237" s="2">
        <v>18</v>
      </c>
      <c r="S237" s="2">
        <v>39</v>
      </c>
      <c r="T237" s="2">
        <v>313</v>
      </c>
      <c r="U237" s="2">
        <f t="shared" si="17"/>
        <v>370</v>
      </c>
      <c r="V237" s="2">
        <v>655</v>
      </c>
      <c r="W237" s="2">
        <v>12912</v>
      </c>
      <c r="X237" s="2">
        <f t="shared" si="18"/>
        <v>12912</v>
      </c>
      <c r="Y237" s="2">
        <v>2162</v>
      </c>
      <c r="Z237" t="str" cm="1">
        <f t="array" ref="Z237">_xlfn.IFS(OR(R237&gt;66, S237&gt;38), "High Engagement", OR(AND(R237&gt;32, R237&lt;=66), AND(S237&gt;19, S237&lt;=38)), "Medium-High Engagement", OR(AND(R237&gt;4, R237&lt;=32), AND(S237&gt;6, S237&lt;=19)),"Medium Engagement", TRUE, "Low Engagement"
)</f>
        <v>High Engagement</v>
      </c>
      <c r="AA237">
        <f t="shared" si="19"/>
        <v>0.16744114002478314</v>
      </c>
    </row>
    <row r="238" spans="1:27" x14ac:dyDescent="0.35">
      <c r="A238" s="2">
        <v>1927972279</v>
      </c>
      <c r="B238" s="2" t="s">
        <v>75</v>
      </c>
      <c r="C238" s="2">
        <f>VLOOKUP(user_activity!A4,users_details!$A$1:$G$34,5,0)</f>
        <v>18</v>
      </c>
      <c r="D238" s="2" t="str" cm="1">
        <f t="array" ref="D238">_xlfn.IFS( AND(C238&gt;=18, C238&lt;=25), "Emerging Adults",  AND(C238&gt;=26, C238&lt;=35),  "Young Adults",  AND(C238&gt;=36, C238&lt;=45),  "Midlife Adults",  AND(C238&gt;=46, C238&lt;=55), "Mature Adults", C238&gt;=56,  "Older Adults", TRUE, "Age Not Mentioned")</f>
        <v>Emerging Adults</v>
      </c>
      <c r="E238" s="2" t="str">
        <f>VLOOKUP(user_activity!A4,users_details!$A$1:$G$34,6,0)</f>
        <v>Hell's Kitchen, Manhattan</v>
      </c>
      <c r="F238" s="2" t="str">
        <f>VLOOKUP(user_activity!A4,users_details!$A$1:$G$34,7,0)</f>
        <v>Hell's Kitchen</v>
      </c>
      <c r="G238" s="2" t="s">
        <v>71</v>
      </c>
      <c r="H238" s="7">
        <v>42485</v>
      </c>
      <c r="I238" s="9" t="str">
        <f t="shared" si="15"/>
        <v>Monday</v>
      </c>
      <c r="J238" s="9" t="str">
        <f t="shared" si="16"/>
        <v>April</v>
      </c>
      <c r="K238" s="2">
        <v>0.109999999</v>
      </c>
      <c r="L238" s="2">
        <v>0.109999999</v>
      </c>
      <c r="M238" s="2">
        <v>0</v>
      </c>
      <c r="N238" s="2">
        <v>0</v>
      </c>
      <c r="O238" s="2">
        <v>0</v>
      </c>
      <c r="P238" s="2">
        <v>0.109999999</v>
      </c>
      <c r="Q238" s="2">
        <v>0</v>
      </c>
      <c r="R238" s="2">
        <v>0</v>
      </c>
      <c r="S238" s="2">
        <v>0</v>
      </c>
      <c r="T238" s="2">
        <v>12</v>
      </c>
      <c r="U238" s="2">
        <f t="shared" si="17"/>
        <v>12</v>
      </c>
      <c r="V238" s="2">
        <v>1303</v>
      </c>
      <c r="W238" s="2">
        <v>152</v>
      </c>
      <c r="X238" s="2">
        <f t="shared" si="18"/>
        <v>152</v>
      </c>
      <c r="Y238" s="2">
        <v>2100</v>
      </c>
      <c r="Z238" t="str" cm="1">
        <f t="array" ref="Z238">_xlfn.IFS(OR(R238&gt;66, S238&gt;38), "High Engagement", OR(AND(R238&gt;32, R238&lt;=66), AND(S238&gt;19, S238&lt;=38)), "Medium-High Engagement", OR(AND(R238&gt;4, R238&lt;=32), AND(S238&gt;6, S238&lt;=19)),"Medium Engagement", TRUE, "Low Engagement"
)</f>
        <v>Low Engagement</v>
      </c>
      <c r="AA238">
        <f t="shared" si="19"/>
        <v>13.815789473684211</v>
      </c>
    </row>
    <row r="239" spans="1:27" x14ac:dyDescent="0.35">
      <c r="A239" s="2">
        <v>1927972279</v>
      </c>
      <c r="B239" s="2" t="s">
        <v>75</v>
      </c>
      <c r="C239" s="2">
        <f>VLOOKUP(user_activity!A14,users_details!$A$1:$G$34,5,0)</f>
        <v>18</v>
      </c>
      <c r="D239" s="2" t="str" cm="1">
        <f t="array" ref="D239">_xlfn.IFS( AND(C239&gt;=18, C239&lt;=25), "Emerging Adults",  AND(C239&gt;=26, C239&lt;=35),  "Young Adults",  AND(C239&gt;=36, C239&lt;=45),  "Midlife Adults",  AND(C239&gt;=46, C239&lt;=55), "Mature Adults", C239&gt;=56,  "Older Adults", TRUE, "Age Not Mentioned")</f>
        <v>Emerging Adults</v>
      </c>
      <c r="E239" s="2" t="str">
        <f>VLOOKUP(user_activity!A14,users_details!$A$1:$G$34,6,0)</f>
        <v>Hell's Kitchen, Manhattan</v>
      </c>
      <c r="F239" s="2" t="str">
        <f>VLOOKUP(user_activity!A14,users_details!$A$1:$G$34,7,0)</f>
        <v>Hell's Kitchen</v>
      </c>
      <c r="G239" s="2" t="s">
        <v>71</v>
      </c>
      <c r="H239" s="7">
        <v>42488</v>
      </c>
      <c r="I239" s="9" t="str">
        <f t="shared" si="15"/>
        <v>Thursday</v>
      </c>
      <c r="J239" s="9" t="str">
        <f t="shared" si="16"/>
        <v>April</v>
      </c>
      <c r="K239" s="2">
        <v>1.1599999670000001</v>
      </c>
      <c r="L239" s="2">
        <v>1.1599999670000001</v>
      </c>
      <c r="M239" s="2">
        <v>0</v>
      </c>
      <c r="N239" s="2">
        <v>0</v>
      </c>
      <c r="O239" s="2">
        <v>0</v>
      </c>
      <c r="P239" s="2">
        <v>1.1599999670000001</v>
      </c>
      <c r="Q239" s="2">
        <v>0</v>
      </c>
      <c r="R239" s="2">
        <v>0</v>
      </c>
      <c r="S239" s="2">
        <v>0</v>
      </c>
      <c r="T239" s="2">
        <v>95</v>
      </c>
      <c r="U239" s="2">
        <f t="shared" si="17"/>
        <v>95</v>
      </c>
      <c r="V239" s="2">
        <v>1167</v>
      </c>
      <c r="W239" s="2">
        <v>1675</v>
      </c>
      <c r="X239" s="2">
        <f t="shared" si="18"/>
        <v>1675</v>
      </c>
      <c r="Y239" s="2">
        <v>2351</v>
      </c>
      <c r="Z239" t="str" cm="1">
        <f t="array" ref="Z239">_xlfn.IFS(OR(R239&gt;66, S239&gt;38), "High Engagement", OR(AND(R239&gt;32, R239&lt;=66), AND(S239&gt;19, S239&lt;=38)), "Medium-High Engagement", OR(AND(R239&gt;4, R239&lt;=32), AND(S239&gt;6, S239&lt;=19)),"Medium Engagement", TRUE, "Low Engagement"
)</f>
        <v>Low Engagement</v>
      </c>
      <c r="AA239">
        <f t="shared" si="19"/>
        <v>1.4035820895522388</v>
      </c>
    </row>
    <row r="240" spans="1:27" x14ac:dyDescent="0.35">
      <c r="A240" s="2">
        <v>4558609924</v>
      </c>
      <c r="B240" s="2" t="s">
        <v>83</v>
      </c>
      <c r="C240" s="2">
        <f>VLOOKUP(user_activity!A15,users_details!$A$1:$G$34,5,0)</f>
        <v>18</v>
      </c>
      <c r="D240" s="2" t="str" cm="1">
        <f t="array" ref="D240">_xlfn.IFS( AND(C240&gt;=18, C240&lt;=25), "Emerging Adults",  AND(C240&gt;=26, C240&lt;=35),  "Young Adults",  AND(C240&gt;=36, C240&lt;=45),  "Midlife Adults",  AND(C240&gt;=46, C240&lt;=55), "Mature Adults", C240&gt;=56,  "Older Adults", TRUE, "Age Not Mentioned")</f>
        <v>Emerging Adults</v>
      </c>
      <c r="E240" s="2" t="str">
        <f>VLOOKUP(user_activity!A15,users_details!$A$1:$G$34,6,0)</f>
        <v>Upper West Side, Manhattan</v>
      </c>
      <c r="F240" s="2" t="str">
        <f>VLOOKUP(user_activity!A15,users_details!$A$1:$G$34,7,0)</f>
        <v>Upper West Side</v>
      </c>
      <c r="G240" s="2" t="s">
        <v>72</v>
      </c>
      <c r="H240" s="7">
        <v>42374</v>
      </c>
      <c r="I240" s="9" t="str">
        <f t="shared" si="15"/>
        <v>Tuesday</v>
      </c>
      <c r="J240" s="9" t="str">
        <f t="shared" si="16"/>
        <v>January</v>
      </c>
      <c r="K240" s="2">
        <v>2.2699999809999998</v>
      </c>
      <c r="L240" s="2">
        <v>2.2699999809999998</v>
      </c>
      <c r="M240" s="2">
        <v>0</v>
      </c>
      <c r="N240" s="2">
        <v>0</v>
      </c>
      <c r="O240" s="2">
        <v>0</v>
      </c>
      <c r="P240" s="2">
        <v>2.2699999809999998</v>
      </c>
      <c r="Q240" s="2">
        <v>0</v>
      </c>
      <c r="R240" s="2">
        <v>0</v>
      </c>
      <c r="S240" s="2">
        <v>0</v>
      </c>
      <c r="T240" s="2">
        <v>190</v>
      </c>
      <c r="U240" s="2">
        <f t="shared" si="17"/>
        <v>190</v>
      </c>
      <c r="V240" s="2">
        <v>1121</v>
      </c>
      <c r="W240" s="2">
        <v>3428</v>
      </c>
      <c r="X240" s="2">
        <f t="shared" si="18"/>
        <v>3428</v>
      </c>
      <c r="Y240" s="2">
        <v>1692</v>
      </c>
      <c r="Z240" t="str" cm="1">
        <f t="array" ref="Z240">_xlfn.IFS(OR(R240&gt;66, S240&gt;38), "High Engagement", OR(AND(R240&gt;32, R240&lt;=66), AND(S240&gt;19, S240&lt;=38)), "Medium-High Engagement", OR(AND(R240&gt;4, R240&lt;=32), AND(S240&gt;6, S240&lt;=19)),"Medium Engagement", TRUE, "Low Engagement"
)</f>
        <v>Low Engagement</v>
      </c>
      <c r="AA240">
        <f t="shared" si="19"/>
        <v>0.49358226371061842</v>
      </c>
    </row>
    <row r="241" spans="1:27" x14ac:dyDescent="0.35">
      <c r="A241" s="2">
        <v>4558609924</v>
      </c>
      <c r="B241" s="2" t="s">
        <v>83</v>
      </c>
      <c r="C241" s="2">
        <f>VLOOKUP(user_activity!A20,users_details!$A$1:$G$34,5,0)</f>
        <v>18</v>
      </c>
      <c r="D241" s="2" t="str" cm="1">
        <f t="array" ref="D241">_xlfn.IFS( AND(C241&gt;=18, C241&lt;=25), "Emerging Adults",  AND(C241&gt;=26, C241&lt;=35),  "Young Adults",  AND(C241&gt;=36, C241&lt;=45),  "Midlife Adults",  AND(C241&gt;=46, C241&lt;=55), "Mature Adults", C241&gt;=56,  "Older Adults", TRUE, "Age Not Mentioned")</f>
        <v>Emerging Adults</v>
      </c>
      <c r="E241" s="2" t="str">
        <f>VLOOKUP(user_activity!A20,users_details!$A$1:$G$34,6,0)</f>
        <v>Hell's Kitchen, Manhattan</v>
      </c>
      <c r="F241" s="2" t="str">
        <f>VLOOKUP(user_activity!A20,users_details!$A$1:$G$34,7,0)</f>
        <v>Hell's Kitchen</v>
      </c>
      <c r="G241" s="2" t="s">
        <v>72</v>
      </c>
      <c r="H241" s="7">
        <v>42556</v>
      </c>
      <c r="I241" s="9" t="str">
        <f t="shared" si="15"/>
        <v>Tuesday</v>
      </c>
      <c r="J241" s="9" t="str">
        <f t="shared" si="16"/>
        <v>July</v>
      </c>
      <c r="K241" s="2">
        <v>5.4400000569999998</v>
      </c>
      <c r="L241" s="2">
        <v>5.4400000569999998</v>
      </c>
      <c r="M241" s="2">
        <v>0</v>
      </c>
      <c r="N241" s="2">
        <v>1.6100000139999999</v>
      </c>
      <c r="O241" s="2">
        <v>1</v>
      </c>
      <c r="P241" s="2">
        <v>2.829999924</v>
      </c>
      <c r="Q241" s="2">
        <v>0</v>
      </c>
      <c r="R241" s="2">
        <v>23</v>
      </c>
      <c r="S241" s="2">
        <v>16</v>
      </c>
      <c r="T241" s="2">
        <v>233</v>
      </c>
      <c r="U241" s="2">
        <f t="shared" si="17"/>
        <v>272</v>
      </c>
      <c r="V241" s="2">
        <v>1116</v>
      </c>
      <c r="W241" s="2">
        <v>8237</v>
      </c>
      <c r="X241" s="2">
        <f t="shared" si="18"/>
        <v>8237</v>
      </c>
      <c r="Y241" s="2">
        <v>1973</v>
      </c>
      <c r="Z241" t="str" cm="1">
        <f t="array" ref="Z241">_xlfn.IFS(OR(R241&gt;66, S241&gt;38), "High Engagement", OR(AND(R241&gt;32, R241&lt;=66), AND(S241&gt;19, S241&lt;=38)), "Medium-High Engagement", OR(AND(R241&gt;4, R241&lt;=32), AND(S241&gt;6, S241&lt;=19)),"Medium Engagement", TRUE, "Low Engagement"
)</f>
        <v>Medium Engagement</v>
      </c>
      <c r="AA241">
        <f t="shared" si="19"/>
        <v>0.239528954716523</v>
      </c>
    </row>
    <row r="242" spans="1:27" x14ac:dyDescent="0.35">
      <c r="A242" s="2">
        <v>4558609924</v>
      </c>
      <c r="B242" s="2" t="s">
        <v>83</v>
      </c>
      <c r="C242" s="2">
        <f>VLOOKUP(user_activity!A25,users_details!$A$1:$G$34,5,0)</f>
        <v>18</v>
      </c>
      <c r="D242" s="2" t="str" cm="1">
        <f t="array" ref="D242">_xlfn.IFS( AND(C242&gt;=18, C242&lt;=25), "Emerging Adults",  AND(C242&gt;=26, C242&lt;=35),  "Young Adults",  AND(C242&gt;=36, C242&lt;=45),  "Midlife Adults",  AND(C242&gt;=46, C242&lt;=55), "Mature Adults", C242&gt;=56,  "Older Adults", TRUE, "Age Not Mentioned")</f>
        <v>Emerging Adults</v>
      </c>
      <c r="E242" s="2" t="str">
        <f>VLOOKUP(user_activity!A25,users_details!$A$1:$G$34,6,0)</f>
        <v>Upper West Side, Manhattan</v>
      </c>
      <c r="F242" s="2" t="str">
        <f>VLOOKUP(user_activity!A25,users_details!$A$1:$G$34,7,0)</f>
        <v>Upper West Side</v>
      </c>
      <c r="G242" s="2" t="s">
        <v>72</v>
      </c>
      <c r="H242" s="7">
        <v>42495</v>
      </c>
      <c r="I242" s="9" t="str">
        <f t="shared" si="15"/>
        <v>Thursday</v>
      </c>
      <c r="J242" s="9" t="str">
        <f t="shared" si="16"/>
        <v>May</v>
      </c>
      <c r="K242" s="2">
        <v>7.0100002290000001</v>
      </c>
      <c r="L242" s="2">
        <v>7.0100002290000001</v>
      </c>
      <c r="M242" s="2">
        <v>0</v>
      </c>
      <c r="N242" s="2">
        <v>1.0099999900000001</v>
      </c>
      <c r="O242" s="2">
        <v>0.5</v>
      </c>
      <c r="P242" s="2">
        <v>5.5100002290000001</v>
      </c>
      <c r="Q242" s="2">
        <v>0</v>
      </c>
      <c r="R242" s="2">
        <v>14</v>
      </c>
      <c r="S242" s="2">
        <v>8</v>
      </c>
      <c r="T242" s="2">
        <v>370</v>
      </c>
      <c r="U242" s="2">
        <f t="shared" si="17"/>
        <v>392</v>
      </c>
      <c r="V242" s="2">
        <v>1048</v>
      </c>
      <c r="W242" s="2">
        <v>10611</v>
      </c>
      <c r="X242" s="2">
        <f t="shared" si="18"/>
        <v>10611</v>
      </c>
      <c r="Y242" s="2">
        <v>2262</v>
      </c>
      <c r="Z242" t="str" cm="1">
        <f t="array" ref="Z242">_xlfn.IFS(OR(R242&gt;66, S242&gt;38), "High Engagement", OR(AND(R242&gt;32, R242&lt;=66), AND(S242&gt;19, S242&lt;=38)), "Medium-High Engagement", OR(AND(R242&gt;4, R242&lt;=32), AND(S242&gt;6, S242&lt;=19)),"Medium Engagement", TRUE, "Low Engagement"
)</f>
        <v>Medium Engagement</v>
      </c>
      <c r="AA242">
        <f t="shared" si="19"/>
        <v>0.21317500706813683</v>
      </c>
    </row>
    <row r="243" spans="1:27" x14ac:dyDescent="0.35">
      <c r="A243" s="2">
        <v>4558609924</v>
      </c>
      <c r="B243" s="2" t="s">
        <v>83</v>
      </c>
      <c r="C243" s="2">
        <f>VLOOKUP(user_activity!A72,users_details!$A$1:$G$34,5,0)</f>
        <v>21</v>
      </c>
      <c r="D243" s="2" t="str" cm="1">
        <f t="array" ref="D243">_xlfn.IFS( AND(C243&gt;=18, C243&lt;=25), "Emerging Adults",  AND(C243&gt;=26, C243&lt;=35),  "Young Adults",  AND(C243&gt;=36, C243&lt;=45),  "Midlife Adults",  AND(C243&gt;=46, C243&lt;=55), "Mature Adults", C243&gt;=56,  "Older Adults", TRUE, "Age Not Mentioned")</f>
        <v>Emerging Adults</v>
      </c>
      <c r="E243" s="2" t="str">
        <f>VLOOKUP(user_activity!A72,users_details!$A$1:$G$34,6,0)</f>
        <v>Bushwick, Brooklyn</v>
      </c>
      <c r="F243" s="2" t="str">
        <f>VLOOKUP(user_activity!A72,users_details!$A$1:$G$34,7,0)</f>
        <v>Bushwick</v>
      </c>
      <c r="G243" s="2" t="s">
        <v>72</v>
      </c>
      <c r="H243" s="7">
        <v>42405</v>
      </c>
      <c r="I243" s="9" t="str">
        <f t="shared" si="15"/>
        <v>Friday</v>
      </c>
      <c r="J243" s="9" t="str">
        <f t="shared" si="16"/>
        <v>February</v>
      </c>
      <c r="K243" s="2">
        <v>5.2199997900000001</v>
      </c>
      <c r="L243" s="2">
        <v>5.2199997900000001</v>
      </c>
      <c r="M243" s="2">
        <v>0</v>
      </c>
      <c r="N243" s="2">
        <v>0</v>
      </c>
      <c r="O243" s="2">
        <v>0</v>
      </c>
      <c r="P243" s="2">
        <v>5.2199997900000001</v>
      </c>
      <c r="Q243" s="2">
        <v>0</v>
      </c>
      <c r="R243" s="2">
        <v>0</v>
      </c>
      <c r="S243" s="2">
        <v>0</v>
      </c>
      <c r="T243" s="2">
        <v>383</v>
      </c>
      <c r="U243" s="2">
        <f t="shared" si="17"/>
        <v>383</v>
      </c>
      <c r="V243" s="2">
        <v>1057</v>
      </c>
      <c r="W243" s="2">
        <v>7891</v>
      </c>
      <c r="X243" s="2">
        <f t="shared" si="18"/>
        <v>7891</v>
      </c>
      <c r="Y243" s="2">
        <v>2066</v>
      </c>
      <c r="Z243" t="str" cm="1">
        <f t="array" ref="Z243">_xlfn.IFS(OR(R243&gt;66, S243&gt;38), "High Engagement", OR(AND(R243&gt;32, R243&lt;=66), AND(S243&gt;19, S243&lt;=38)), "Medium-High Engagement", OR(AND(R243&gt;4, R243&lt;=32), AND(S243&gt;6, S243&lt;=19)),"Medium Engagement", TRUE, "Low Engagement"
)</f>
        <v>Low Engagement</v>
      </c>
      <c r="AA243">
        <f t="shared" si="19"/>
        <v>0.26181726016981371</v>
      </c>
    </row>
    <row r="244" spans="1:27" x14ac:dyDescent="0.35">
      <c r="A244" s="2">
        <v>4558609924</v>
      </c>
      <c r="B244" s="2" t="s">
        <v>83</v>
      </c>
      <c r="C244" s="2">
        <f>VLOOKUP(user_activity!A75,users_details!$A$1:$G$34,5,0)</f>
        <v>21</v>
      </c>
      <c r="D244" s="2" t="str" cm="1">
        <f t="array" ref="D244">_xlfn.IFS( AND(C244&gt;=18, C244&lt;=25), "Emerging Adults",  AND(C244&gt;=26, C244&lt;=35),  "Young Adults",  AND(C244&gt;=36, C244&lt;=45),  "Midlife Adults",  AND(C244&gt;=46, C244&lt;=55), "Mature Adults", C244&gt;=56,  "Older Adults", TRUE, "Age Not Mentioned")</f>
        <v>Emerging Adults</v>
      </c>
      <c r="E244" s="2" t="str">
        <f>VLOOKUP(user_activity!A75,users_details!$A$1:$G$34,6,0)</f>
        <v>Bushwick, Brooklyn</v>
      </c>
      <c r="F244" s="2" t="str">
        <f>VLOOKUP(user_activity!A75,users_details!$A$1:$G$34,7,0)</f>
        <v>Bushwick</v>
      </c>
      <c r="G244" s="2" t="s">
        <v>72</v>
      </c>
      <c r="H244" s="7">
        <v>42434</v>
      </c>
      <c r="I244" s="9" t="str">
        <f t="shared" si="15"/>
        <v>Saturday</v>
      </c>
      <c r="J244" s="9" t="str">
        <f t="shared" si="16"/>
        <v>March</v>
      </c>
      <c r="K244" s="2">
        <v>3.4800000190000002</v>
      </c>
      <c r="L244" s="2">
        <v>3.4800000190000002</v>
      </c>
      <c r="M244" s="2">
        <v>0</v>
      </c>
      <c r="N244" s="2">
        <v>0.60000002399999997</v>
      </c>
      <c r="O244" s="2">
        <v>0.280000001</v>
      </c>
      <c r="P244" s="2">
        <v>2.5999999049999998</v>
      </c>
      <c r="Q244" s="2">
        <v>0</v>
      </c>
      <c r="R244" s="2">
        <v>21</v>
      </c>
      <c r="S244" s="2">
        <v>10</v>
      </c>
      <c r="T244" s="2">
        <v>237</v>
      </c>
      <c r="U244" s="2">
        <f t="shared" si="17"/>
        <v>268</v>
      </c>
      <c r="V244" s="2">
        <v>1172</v>
      </c>
      <c r="W244" s="2">
        <v>5267</v>
      </c>
      <c r="X244" s="2">
        <f t="shared" si="18"/>
        <v>5267</v>
      </c>
      <c r="Y244" s="2">
        <v>1953</v>
      </c>
      <c r="Z244" t="str" cm="1">
        <f t="array" ref="Z244">_xlfn.IFS(OR(R244&gt;66, S244&gt;38), "High Engagement", OR(AND(R244&gt;32, R244&lt;=66), AND(S244&gt;19, S244&lt;=38)), "Medium-High Engagement", OR(AND(R244&gt;4, R244&lt;=32), AND(S244&gt;6, S244&lt;=19)),"Medium Engagement", TRUE, "Low Engagement"
)</f>
        <v>Medium Engagement</v>
      </c>
      <c r="AA244">
        <f t="shared" si="19"/>
        <v>0.37079931649895576</v>
      </c>
    </row>
    <row r="245" spans="1:27" x14ac:dyDescent="0.35">
      <c r="A245" s="2">
        <v>4558609924</v>
      </c>
      <c r="B245" s="2" t="s">
        <v>83</v>
      </c>
      <c r="C245" s="2">
        <f>VLOOKUP(user_activity!A86,users_details!$A$1:$G$34,5,0)</f>
        <v>21</v>
      </c>
      <c r="D245" s="2" t="str" cm="1">
        <f t="array" ref="D245">_xlfn.IFS( AND(C245&gt;=18, C245&lt;=25), "Emerging Adults",  AND(C245&gt;=26, C245&lt;=35),  "Young Adults",  AND(C245&gt;=36, C245&lt;=45),  "Midlife Adults",  AND(C245&gt;=46, C245&lt;=55), "Mature Adults", C245&gt;=56,  "Older Adults", TRUE, "Age Not Mentioned")</f>
        <v>Emerging Adults</v>
      </c>
      <c r="E245" s="2" t="str">
        <f>VLOOKUP(user_activity!A86,users_details!$A$1:$G$34,6,0)</f>
        <v>Bushwick, Brooklyn</v>
      </c>
      <c r="F245" s="2" t="str">
        <f>VLOOKUP(user_activity!A86,users_details!$A$1:$G$34,7,0)</f>
        <v>Bushwick</v>
      </c>
      <c r="G245" s="2" t="s">
        <v>72</v>
      </c>
      <c r="H245" s="7">
        <v>42475</v>
      </c>
      <c r="I245" s="9" t="str">
        <f t="shared" si="15"/>
        <v>Friday</v>
      </c>
      <c r="J245" s="9" t="str">
        <f t="shared" si="16"/>
        <v>April</v>
      </c>
      <c r="K245" s="2">
        <v>5.1500000950000002</v>
      </c>
      <c r="L245" s="2">
        <v>5.1500000950000002</v>
      </c>
      <c r="M245" s="2">
        <v>0</v>
      </c>
      <c r="N245" s="2">
        <v>0.58999997400000004</v>
      </c>
      <c r="O245" s="2">
        <v>0.83999997400000004</v>
      </c>
      <c r="P245" s="2">
        <v>3.7300000190000002</v>
      </c>
      <c r="Q245" s="2">
        <v>0</v>
      </c>
      <c r="R245" s="2">
        <v>17</v>
      </c>
      <c r="S245" s="2">
        <v>30</v>
      </c>
      <c r="T245" s="2">
        <v>262</v>
      </c>
      <c r="U245" s="2">
        <f t="shared" si="17"/>
        <v>309</v>
      </c>
      <c r="V245" s="2">
        <v>1131</v>
      </c>
      <c r="W245" s="2">
        <v>7795</v>
      </c>
      <c r="X245" s="2">
        <f t="shared" si="18"/>
        <v>7795</v>
      </c>
      <c r="Y245" s="2">
        <v>2121</v>
      </c>
      <c r="Z245" t="str" cm="1">
        <f t="array" ref="Z245">_xlfn.IFS(OR(R245&gt;66, S245&gt;38), "High Engagement", OR(AND(R245&gt;32, R245&lt;=66), AND(S245&gt;19, S245&lt;=38)), "Medium-High Engagement", OR(AND(R245&gt;4, R245&lt;=32), AND(S245&gt;6, S245&lt;=19)),"Medium Engagement", TRUE, "Low Engagement"
)</f>
        <v>Medium-High Engagement</v>
      </c>
      <c r="AA245">
        <f t="shared" si="19"/>
        <v>0.27209749839640796</v>
      </c>
    </row>
    <row r="246" spans="1:27" x14ac:dyDescent="0.35">
      <c r="A246" s="2">
        <v>4558609924</v>
      </c>
      <c r="B246" s="2" t="s">
        <v>83</v>
      </c>
      <c r="C246" s="2">
        <f>VLOOKUP(user_activity!A109,users_details!$A$1:$G$34,5,0)</f>
        <v>22</v>
      </c>
      <c r="D246" s="2" t="str" cm="1">
        <f t="array" ref="D246">_xlfn.IFS( AND(C246&gt;=18, C246&lt;=25), "Emerging Adults",  AND(C246&gt;=26, C246&lt;=35),  "Young Adults",  AND(C246&gt;=36, C246&lt;=45),  "Midlife Adults",  AND(C246&gt;=46, C246&lt;=55), "Mature Adults", C246&gt;=56,  "Older Adults", TRUE, "Age Not Mentioned")</f>
        <v>Emerging Adults</v>
      </c>
      <c r="E246" s="2" t="str">
        <f>VLOOKUP(user_activity!A109,users_details!$A$1:$G$34,6,0)</f>
        <v>Upper East Side, Manhattan</v>
      </c>
      <c r="F246" s="2" t="str">
        <f>VLOOKUP(user_activity!A109,users_details!$A$1:$G$34,7,0)</f>
        <v>Upper East Side</v>
      </c>
      <c r="G246" s="2" t="s">
        <v>72</v>
      </c>
      <c r="H246" s="7">
        <v>42477</v>
      </c>
      <c r="I246" s="9" t="str">
        <f t="shared" si="15"/>
        <v>Sunday</v>
      </c>
      <c r="J246" s="9" t="str">
        <f t="shared" si="16"/>
        <v>April</v>
      </c>
      <c r="K246" s="2">
        <v>6.4000000950000002</v>
      </c>
      <c r="L246" s="2">
        <v>6.4000000950000002</v>
      </c>
      <c r="M246" s="2">
        <v>0</v>
      </c>
      <c r="N246" s="2">
        <v>0.55000001200000004</v>
      </c>
      <c r="O246" s="2">
        <v>1.1399999860000001</v>
      </c>
      <c r="P246" s="2">
        <v>4.7100000380000004</v>
      </c>
      <c r="Q246" s="2">
        <v>0</v>
      </c>
      <c r="R246" s="2">
        <v>7</v>
      </c>
      <c r="S246" s="2">
        <v>19</v>
      </c>
      <c r="T246" s="2">
        <v>304</v>
      </c>
      <c r="U246" s="2">
        <f t="shared" si="17"/>
        <v>330</v>
      </c>
      <c r="V246" s="2">
        <v>1110</v>
      </c>
      <c r="W246" s="2">
        <v>9634</v>
      </c>
      <c r="X246" s="2">
        <f t="shared" si="18"/>
        <v>9634</v>
      </c>
      <c r="Y246" s="2">
        <v>2117</v>
      </c>
      <c r="Z246" t="str" cm="1">
        <f t="array" ref="Z246">_xlfn.IFS(OR(R246&gt;66, S246&gt;38), "High Engagement", OR(AND(R246&gt;32, R246&lt;=66), AND(S246&gt;19, S246&lt;=38)), "Medium-High Engagement", OR(AND(R246&gt;4, R246&lt;=32), AND(S246&gt;6, S246&lt;=19)),"Medium Engagement", TRUE, "Low Engagement"
)</f>
        <v>Medium Engagement</v>
      </c>
      <c r="AA246">
        <f t="shared" si="19"/>
        <v>0.21974257836827901</v>
      </c>
    </row>
    <row r="247" spans="1:27" x14ac:dyDescent="0.35">
      <c r="A247" s="2">
        <v>4558609924</v>
      </c>
      <c r="B247" s="2" t="s">
        <v>83</v>
      </c>
      <c r="C247" s="2">
        <f>VLOOKUP(user_activity!A118,users_details!$A$1:$G$34,5,0)</f>
        <v>22</v>
      </c>
      <c r="D247" s="2" t="str" cm="1">
        <f t="array" ref="D247">_xlfn.IFS( AND(C247&gt;=18, C247&lt;=25), "Emerging Adults",  AND(C247&gt;=26, C247&lt;=35),  "Young Adults",  AND(C247&gt;=36, C247&lt;=45),  "Midlife Adults",  AND(C247&gt;=46, C247&lt;=55), "Mature Adults", C247&gt;=56,  "Older Adults", TRUE, "Age Not Mentioned")</f>
        <v>Emerging Adults</v>
      </c>
      <c r="E247" s="2" t="str">
        <f>VLOOKUP(user_activity!A118,users_details!$A$1:$G$34,6,0)</f>
        <v>Upper East Side, Manhattan</v>
      </c>
      <c r="F247" s="2" t="str">
        <f>VLOOKUP(user_activity!A118,users_details!$A$1:$G$34,7,0)</f>
        <v>Upper East Side</v>
      </c>
      <c r="G247" s="2" t="s">
        <v>72</v>
      </c>
      <c r="H247" s="7">
        <v>42488</v>
      </c>
      <c r="I247" s="9" t="str">
        <f t="shared" si="15"/>
        <v>Thursday</v>
      </c>
      <c r="J247" s="9" t="str">
        <f t="shared" si="16"/>
        <v>April</v>
      </c>
      <c r="K247" s="2">
        <v>6.25</v>
      </c>
      <c r="L247" s="2">
        <v>6.25</v>
      </c>
      <c r="M247" s="2">
        <v>0</v>
      </c>
      <c r="N247" s="2">
        <v>0.02</v>
      </c>
      <c r="O247" s="2">
        <v>0.27000001099999998</v>
      </c>
      <c r="P247" s="2">
        <v>5.9499998090000004</v>
      </c>
      <c r="Q247" s="2">
        <v>0</v>
      </c>
      <c r="R247" s="2">
        <v>1</v>
      </c>
      <c r="S247" s="2">
        <v>11</v>
      </c>
      <c r="T247" s="2">
        <v>367</v>
      </c>
      <c r="U247" s="2">
        <f t="shared" si="17"/>
        <v>379</v>
      </c>
      <c r="V247" s="2">
        <v>985</v>
      </c>
      <c r="W247" s="2">
        <v>9451</v>
      </c>
      <c r="X247" s="2">
        <f t="shared" si="18"/>
        <v>9451</v>
      </c>
      <c r="Y247" s="2">
        <v>2185</v>
      </c>
      <c r="Z247" t="str" cm="1">
        <f t="array" ref="Z247">_xlfn.IFS(OR(R247&gt;66, S247&gt;38), "High Engagement", OR(AND(R247&gt;32, R247&lt;=66), AND(S247&gt;19, S247&lt;=38)), "Medium-High Engagement", OR(AND(R247&gt;4, R247&lt;=32), AND(S247&gt;6, S247&lt;=19)),"Medium Engagement", TRUE, "Low Engagement"
)</f>
        <v>Medium Engagement</v>
      </c>
      <c r="AA247">
        <f t="shared" si="19"/>
        <v>0.23119246640567137</v>
      </c>
    </row>
    <row r="248" spans="1:27" x14ac:dyDescent="0.35">
      <c r="A248" s="2">
        <v>1927972279</v>
      </c>
      <c r="B248" s="2" t="s">
        <v>75</v>
      </c>
      <c r="C248" s="2">
        <f>VLOOKUP(user_activity!A139,users_details!$A$1:$G$34,5,0)</f>
        <v>22</v>
      </c>
      <c r="D248" s="2" t="str" cm="1">
        <f t="array" ref="D248">_xlfn.IFS( AND(C248&gt;=18, C248&lt;=25), "Emerging Adults",  AND(C248&gt;=26, C248&lt;=35),  "Young Adults",  AND(C248&gt;=36, C248&lt;=45),  "Midlife Adults",  AND(C248&gt;=46, C248&lt;=55), "Mature Adults", C248&gt;=56,  "Older Adults", TRUE, "Age Not Mentioned")</f>
        <v>Emerging Adults</v>
      </c>
      <c r="E248" s="2" t="str">
        <f>VLOOKUP(user_activity!A139,users_details!$A$1:$G$34,6,0)</f>
        <v>Upper East Side, Manhattan</v>
      </c>
      <c r="F248" s="2" t="str">
        <f>VLOOKUP(user_activity!A139,users_details!$A$1:$G$34,7,0)</f>
        <v>Upper East Side</v>
      </c>
      <c r="G248" s="2" t="s">
        <v>71</v>
      </c>
      <c r="H248" s="7">
        <v>42486</v>
      </c>
      <c r="I248" s="9" t="str">
        <f t="shared" si="15"/>
        <v>Tuesday</v>
      </c>
      <c r="J248" s="9" t="str">
        <f t="shared" si="16"/>
        <v>April</v>
      </c>
      <c r="K248" s="2">
        <v>2.5999999049999998</v>
      </c>
      <c r="L248" s="2">
        <v>2.5999999049999998</v>
      </c>
      <c r="M248" s="2">
        <v>0</v>
      </c>
      <c r="N248" s="2">
        <v>0</v>
      </c>
      <c r="O248" s="2">
        <v>0</v>
      </c>
      <c r="P248" s="2">
        <v>2.5999999049999998</v>
      </c>
      <c r="Q248" s="2">
        <v>0</v>
      </c>
      <c r="R248" s="2">
        <v>0</v>
      </c>
      <c r="S248" s="2">
        <v>0</v>
      </c>
      <c r="T248" s="2">
        <v>192</v>
      </c>
      <c r="U248" s="2">
        <f t="shared" si="17"/>
        <v>192</v>
      </c>
      <c r="V248" s="2">
        <v>1058</v>
      </c>
      <c r="W248" s="2">
        <v>3761</v>
      </c>
      <c r="X248" s="2">
        <f t="shared" si="18"/>
        <v>3761</v>
      </c>
      <c r="Y248" s="2">
        <v>2638</v>
      </c>
      <c r="Z248" t="str" cm="1">
        <f t="array" ref="Z248">_xlfn.IFS(OR(R248&gt;66, S248&gt;38), "High Engagement", OR(AND(R248&gt;32, R248&lt;=66), AND(S248&gt;19, S248&lt;=38)), "Medium-High Engagement", OR(AND(R248&gt;4, R248&lt;=32), AND(S248&gt;6, S248&lt;=19)),"Medium Engagement", TRUE, "Low Engagement"
)</f>
        <v>Low Engagement</v>
      </c>
      <c r="AA248">
        <f t="shared" si="19"/>
        <v>0.70140919968093596</v>
      </c>
    </row>
    <row r="249" spans="1:27" x14ac:dyDescent="0.35">
      <c r="A249" s="2">
        <v>1927972279</v>
      </c>
      <c r="B249" s="2" t="s">
        <v>75</v>
      </c>
      <c r="C249" s="2">
        <f>VLOOKUP(user_activity!A159,users_details!$A$1:$G$34,5,0)</f>
        <v>23</v>
      </c>
      <c r="D249" s="2" t="str" cm="1">
        <f t="array" ref="D249">_xlfn.IFS( AND(C249&gt;=18, C249&lt;=25), "Emerging Adults",  AND(C249&gt;=26, C249&lt;=35),  "Young Adults",  AND(C249&gt;=36, C249&lt;=45),  "Midlife Adults",  AND(C249&gt;=46, C249&lt;=55), "Mature Adults", C249&gt;=56,  "Older Adults", TRUE, "Age Not Mentioned")</f>
        <v>Emerging Adults</v>
      </c>
      <c r="E249" s="2" t="str">
        <f>VLOOKUP(user_activity!A159,users_details!$A$1:$G$34,6,0)</f>
        <v>Washington Heights, Manhattan</v>
      </c>
      <c r="F249" s="2" t="str">
        <f>VLOOKUP(user_activity!A159,users_details!$A$1:$G$34,7,0)</f>
        <v>Washington Heights</v>
      </c>
      <c r="G249" s="2" t="s">
        <v>71</v>
      </c>
      <c r="H249" s="7">
        <v>42490</v>
      </c>
      <c r="I249" s="9" t="str">
        <f t="shared" si="15"/>
        <v>Saturday</v>
      </c>
      <c r="J249" s="9" t="str">
        <f t="shared" si="16"/>
        <v>April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f t="shared" si="17"/>
        <v>0</v>
      </c>
      <c r="V249" s="2">
        <v>1440</v>
      </c>
      <c r="W249" s="2">
        <v>0</v>
      </c>
      <c r="X249" s="2">
        <f t="shared" si="18"/>
        <v>7405.5</v>
      </c>
      <c r="Y249" s="2">
        <v>2064</v>
      </c>
      <c r="Z249" t="str" cm="1">
        <f t="array" ref="Z249">_xlfn.IFS(OR(R249&gt;66, S249&gt;38), "High Engagement", OR(AND(R249&gt;32, R249&lt;=66), AND(S249&gt;19, S249&lt;=38)), "Medium-High Engagement", OR(AND(R249&gt;4, R249&lt;=32), AND(S249&gt;6, S249&lt;=19)),"Medium Engagement", TRUE, "Low Engagement"
)</f>
        <v>Low Engagement</v>
      </c>
      <c r="AA249">
        <f t="shared" si="19"/>
        <v>0</v>
      </c>
    </row>
    <row r="250" spans="1:27" x14ac:dyDescent="0.35">
      <c r="A250" s="2">
        <v>4558609924</v>
      </c>
      <c r="B250" s="2" t="s">
        <v>83</v>
      </c>
      <c r="C250" s="2">
        <f>VLOOKUP(user_activity!A174,users_details!$A$1:$G$34,5,0)</f>
        <v>23</v>
      </c>
      <c r="D250" s="2" t="str" cm="1">
        <f t="array" ref="D250">_xlfn.IFS( AND(C250&gt;=18, C250&lt;=25), "Emerging Adults",  AND(C250&gt;=26, C250&lt;=35),  "Young Adults",  AND(C250&gt;=36, C250&lt;=45),  "Midlife Adults",  AND(C250&gt;=46, C250&lt;=55), "Mature Adults", C250&gt;=56,  "Older Adults", TRUE, "Age Not Mentioned")</f>
        <v>Emerging Adults</v>
      </c>
      <c r="E250" s="2" t="str">
        <f>VLOOKUP(user_activity!A174,users_details!$A$1:$G$34,6,0)</f>
        <v>Washington Heights, Manhattan</v>
      </c>
      <c r="F250" s="2" t="str">
        <f>VLOOKUP(user_activity!A174,users_details!$A$1:$G$34,7,0)</f>
        <v>Washington Heights</v>
      </c>
      <c r="G250" s="2" t="s">
        <v>72</v>
      </c>
      <c r="H250" s="7">
        <v>42481</v>
      </c>
      <c r="I250" s="9" t="str">
        <f t="shared" si="15"/>
        <v>Thursday</v>
      </c>
      <c r="J250" s="9" t="str">
        <f t="shared" si="16"/>
        <v>April</v>
      </c>
      <c r="K250" s="2">
        <v>9.0799999239999991</v>
      </c>
      <c r="L250" s="2">
        <v>9.0799999239999991</v>
      </c>
      <c r="M250" s="2">
        <v>0</v>
      </c>
      <c r="N250" s="2">
        <v>0.41999998700000002</v>
      </c>
      <c r="O250" s="2">
        <v>0.97000002900000004</v>
      </c>
      <c r="P250" s="2">
        <v>7.6999998090000004</v>
      </c>
      <c r="Q250" s="2">
        <v>0</v>
      </c>
      <c r="R250" s="2">
        <v>6</v>
      </c>
      <c r="S250" s="2">
        <v>21</v>
      </c>
      <c r="T250" s="2">
        <v>432</v>
      </c>
      <c r="U250" s="2">
        <f t="shared" si="17"/>
        <v>459</v>
      </c>
      <c r="V250" s="2">
        <v>844</v>
      </c>
      <c r="W250" s="2">
        <v>13743</v>
      </c>
      <c r="X250" s="2">
        <f t="shared" si="18"/>
        <v>13743</v>
      </c>
      <c r="Y250" s="2">
        <v>2486</v>
      </c>
      <c r="Z250" t="str" cm="1">
        <f t="array" ref="Z250">_xlfn.IFS(OR(R250&gt;66, S250&gt;38), "High Engagement", OR(AND(R250&gt;32, R250&lt;=66), AND(S250&gt;19, S250&lt;=38)), "Medium-High Engagement", OR(AND(R250&gt;4, R250&lt;=32), AND(S250&gt;6, S250&lt;=19)),"Medium Engagement", TRUE, "Low Engagement"
)</f>
        <v>Medium-High Engagement</v>
      </c>
      <c r="AA250">
        <f t="shared" si="19"/>
        <v>0.18089209051880958</v>
      </c>
    </row>
    <row r="251" spans="1:27" x14ac:dyDescent="0.35">
      <c r="A251" s="2">
        <v>4558609924</v>
      </c>
      <c r="B251" s="2" t="s">
        <v>83</v>
      </c>
      <c r="C251" s="2">
        <f>VLOOKUP(user_activity!A220,users_details!$A$1:$G$34,5,0)</f>
        <v>24</v>
      </c>
      <c r="D251" s="2" t="str" cm="1">
        <f t="array" ref="D251">_xlfn.IFS( AND(C251&gt;=18, C251&lt;=25), "Emerging Adults",  AND(C251&gt;=26, C251&lt;=35),  "Young Adults",  AND(C251&gt;=36, C251&lt;=45),  "Midlife Adults",  AND(C251&gt;=46, C251&lt;=55), "Mature Adults", C251&gt;=56,  "Older Adults", TRUE, "Age Not Mentioned")</f>
        <v>Emerging Adults</v>
      </c>
      <c r="E251" s="2" t="str">
        <f>VLOOKUP(user_activity!A220,users_details!$A$1:$G$34,6,0)</f>
        <v>East Village, Manhattan</v>
      </c>
      <c r="F251" s="2" t="str">
        <f>VLOOKUP(user_activity!A220,users_details!$A$1:$G$34,7,0)</f>
        <v>East Village</v>
      </c>
      <c r="G251" s="2" t="s">
        <v>72</v>
      </c>
      <c r="H251" s="7">
        <v>42618</v>
      </c>
      <c r="I251" s="9" t="str">
        <f t="shared" si="15"/>
        <v>Monday</v>
      </c>
      <c r="J251" s="9" t="str">
        <f t="shared" si="16"/>
        <v>September</v>
      </c>
      <c r="K251" s="2">
        <v>7.5700001720000003</v>
      </c>
      <c r="L251" s="2">
        <v>7.5700001720000003</v>
      </c>
      <c r="M251" s="2">
        <v>0</v>
      </c>
      <c r="N251" s="2">
        <v>0.43000000700000002</v>
      </c>
      <c r="O251" s="2">
        <v>1.6200000050000001</v>
      </c>
      <c r="P251" s="2">
        <v>5.5199999809999998</v>
      </c>
      <c r="Q251" s="2">
        <v>0</v>
      </c>
      <c r="R251" s="2">
        <v>6</v>
      </c>
      <c r="S251" s="2">
        <v>30</v>
      </c>
      <c r="T251" s="2">
        <v>339</v>
      </c>
      <c r="U251" s="2">
        <f t="shared" si="17"/>
        <v>375</v>
      </c>
      <c r="V251" s="2">
        <v>1065</v>
      </c>
      <c r="W251" s="2">
        <v>11451</v>
      </c>
      <c r="X251" s="2">
        <f t="shared" si="18"/>
        <v>11451</v>
      </c>
      <c r="Y251" s="2">
        <v>2223</v>
      </c>
      <c r="Z251" t="str" cm="1">
        <f t="array" ref="Z251">_xlfn.IFS(OR(R251&gt;66, S251&gt;38), "High Engagement", OR(AND(R251&gt;32, R251&lt;=66), AND(S251&gt;19, S251&lt;=38)), "Medium-High Engagement", OR(AND(R251&gt;4, R251&lt;=32), AND(S251&gt;6, S251&lt;=19)),"Medium Engagement", TRUE, "Low Engagement"
)</f>
        <v>Medium-High Engagement</v>
      </c>
      <c r="AA251">
        <f t="shared" si="19"/>
        <v>0.1941315168980875</v>
      </c>
    </row>
    <row r="252" spans="1:27" x14ac:dyDescent="0.35">
      <c r="A252" s="2">
        <v>4558609924</v>
      </c>
      <c r="B252" s="2" t="s">
        <v>83</v>
      </c>
      <c r="C252" s="2">
        <f>VLOOKUP(user_activity!A255,users_details!$A$1:$G$34,5,0)</f>
        <v>29</v>
      </c>
      <c r="D252" s="2" t="str" cm="1">
        <f t="array" ref="D252">_xlfn.IFS( AND(C252&gt;=18, C252&lt;=25), "Emerging Adults",  AND(C252&gt;=26, C252&lt;=35),  "Young Adults",  AND(C252&gt;=36, C252&lt;=45),  "Midlife Adults",  AND(C252&gt;=46, C252&lt;=55), "Mature Adults", C252&gt;=56,  "Older Adults", TRUE, "Age Not Mentioned")</f>
        <v>Young Adults</v>
      </c>
      <c r="E252" s="2" t="str">
        <f>VLOOKUP(user_activity!A255,users_details!$A$1:$G$34,6,0)</f>
        <v>Crown Heights, Brooklyn</v>
      </c>
      <c r="F252" s="2" t="str">
        <f>VLOOKUP(user_activity!A255,users_details!$A$1:$G$34,7,0)</f>
        <v>Crown Heights</v>
      </c>
      <c r="G252" s="2" t="s">
        <v>72</v>
      </c>
      <c r="H252" s="7">
        <v>42479</v>
      </c>
      <c r="I252" s="9" t="str">
        <f t="shared" si="15"/>
        <v>Tuesday</v>
      </c>
      <c r="J252" s="9" t="str">
        <f t="shared" si="16"/>
        <v>April</v>
      </c>
      <c r="K252" s="2">
        <v>3.5699999330000001</v>
      </c>
      <c r="L252" s="2">
        <v>3.5699999330000001</v>
      </c>
      <c r="M252" s="2">
        <v>0</v>
      </c>
      <c r="N252" s="2">
        <v>5.0000001000000002E-2</v>
      </c>
      <c r="O252" s="2">
        <v>0.36000001399999998</v>
      </c>
      <c r="P252" s="2">
        <v>3.1600000860000002</v>
      </c>
      <c r="Q252" s="2">
        <v>0</v>
      </c>
      <c r="R252" s="2">
        <v>1</v>
      </c>
      <c r="S252" s="2">
        <v>9</v>
      </c>
      <c r="T252" s="2">
        <v>248</v>
      </c>
      <c r="U252" s="2">
        <f t="shared" si="17"/>
        <v>258</v>
      </c>
      <c r="V252" s="2">
        <v>1182</v>
      </c>
      <c r="W252" s="2">
        <v>5401</v>
      </c>
      <c r="X252" s="2">
        <f t="shared" si="18"/>
        <v>5401</v>
      </c>
      <c r="Y252" s="2">
        <v>1876</v>
      </c>
      <c r="Z252" t="str" cm="1">
        <f t="array" ref="Z252">_xlfn.IFS(OR(R252&gt;66, S252&gt;38), "High Engagement", OR(AND(R252&gt;32, R252&lt;=66), AND(S252&gt;19, S252&lt;=38)), "Medium-High Engagement", OR(AND(R252&gt;4, R252&lt;=32), AND(S252&gt;6, S252&lt;=19)),"Medium Engagement", TRUE, "Low Engagement"
)</f>
        <v>Medium Engagement</v>
      </c>
      <c r="AA252">
        <f t="shared" si="19"/>
        <v>0.34734308461396035</v>
      </c>
    </row>
    <row r="253" spans="1:27" x14ac:dyDescent="0.35">
      <c r="A253" s="2">
        <v>1927972279</v>
      </c>
      <c r="B253" s="2" t="s">
        <v>75</v>
      </c>
      <c r="C253" s="2">
        <f>VLOOKUP(user_activity!A281,users_details!$A$1:$G$34,5,0)</f>
        <v>29</v>
      </c>
      <c r="D253" s="2" t="str" cm="1">
        <f t="array" ref="D253">_xlfn.IFS( AND(C253&gt;=18, C253&lt;=25), "Emerging Adults",  AND(C253&gt;=26, C253&lt;=35),  "Young Adults",  AND(C253&gt;=36, C253&lt;=45),  "Midlife Adults",  AND(C253&gt;=46, C253&lt;=55), "Mature Adults", C253&gt;=56,  "Older Adults", TRUE, "Age Not Mentioned")</f>
        <v>Young Adults</v>
      </c>
      <c r="E253" s="2" t="str">
        <f>VLOOKUP(user_activity!A281,users_details!$A$1:$G$34,6,0)</f>
        <v>Crown Heights, Brooklyn</v>
      </c>
      <c r="F253" s="2" t="str">
        <f>VLOOKUP(user_activity!A281,users_details!$A$1:$G$34,7,0)</f>
        <v>Crown Heights</v>
      </c>
      <c r="G253" s="2" t="s">
        <v>71</v>
      </c>
      <c r="H253" s="7">
        <v>42556</v>
      </c>
      <c r="I253" s="9" t="str">
        <f t="shared" si="15"/>
        <v>Tuesday</v>
      </c>
      <c r="J253" s="9" t="str">
        <f t="shared" si="16"/>
        <v>July</v>
      </c>
      <c r="K253" s="2">
        <v>1.039999962</v>
      </c>
      <c r="L253" s="2">
        <v>1.039999962</v>
      </c>
      <c r="M253" s="2">
        <v>0</v>
      </c>
      <c r="N253" s="2">
        <v>0</v>
      </c>
      <c r="O253" s="2">
        <v>0</v>
      </c>
      <c r="P253" s="2">
        <v>1.039999962</v>
      </c>
      <c r="Q253" s="2">
        <v>0</v>
      </c>
      <c r="R253" s="2">
        <v>0</v>
      </c>
      <c r="S253" s="2">
        <v>0</v>
      </c>
      <c r="T253" s="2">
        <v>48</v>
      </c>
      <c r="U253" s="2">
        <f t="shared" si="17"/>
        <v>48</v>
      </c>
      <c r="V253" s="2">
        <v>1392</v>
      </c>
      <c r="W253" s="2">
        <v>1510</v>
      </c>
      <c r="X253" s="2">
        <f t="shared" si="18"/>
        <v>1510</v>
      </c>
      <c r="Y253" s="2">
        <v>2229</v>
      </c>
      <c r="Z253" t="str" cm="1">
        <f t="array" ref="Z253">_xlfn.IFS(OR(R253&gt;66, S253&gt;38), "High Engagement", OR(AND(R253&gt;32, R253&lt;=66), AND(S253&gt;19, S253&lt;=38)), "Medium-High Engagement", OR(AND(R253&gt;4, R253&lt;=32), AND(S253&gt;6, S253&lt;=19)),"Medium Engagement", TRUE, "Low Engagement"
)</f>
        <v>Low Engagement</v>
      </c>
      <c r="AA253">
        <f t="shared" si="19"/>
        <v>1.476158940397351</v>
      </c>
    </row>
    <row r="254" spans="1:27" x14ac:dyDescent="0.35">
      <c r="A254" s="2">
        <v>1927972279</v>
      </c>
      <c r="B254" s="2" t="s">
        <v>75</v>
      </c>
      <c r="C254" s="2">
        <f>VLOOKUP(user_activity!A287,users_details!$A$1:$G$34,5,0)</f>
        <v>29</v>
      </c>
      <c r="D254" s="2" t="str" cm="1">
        <f t="array" ref="D254">_xlfn.IFS( AND(C254&gt;=18, C254&lt;=25), "Emerging Adults",  AND(C254&gt;=26, C254&lt;=35),  "Young Adults",  AND(C254&gt;=36, C254&lt;=45),  "Midlife Adults",  AND(C254&gt;=46, C254&lt;=55), "Mature Adults", C254&gt;=56,  "Older Adults", TRUE, "Age Not Mentioned")</f>
        <v>Young Adults</v>
      </c>
      <c r="E254" s="2" t="str">
        <f>VLOOKUP(user_activity!A287,users_details!$A$1:$G$34,6,0)</f>
        <v>Crown Heights, Brooklyn</v>
      </c>
      <c r="F254" s="2" t="str">
        <f>VLOOKUP(user_activity!A287,users_details!$A$1:$G$34,7,0)</f>
        <v>Crown Heights</v>
      </c>
      <c r="G254" s="2" t="s">
        <v>71</v>
      </c>
      <c r="H254" s="7">
        <v>42482</v>
      </c>
      <c r="I254" s="9" t="str">
        <f t="shared" si="15"/>
        <v>Friday</v>
      </c>
      <c r="J254" s="9" t="str">
        <f t="shared" si="16"/>
        <v>April</v>
      </c>
      <c r="K254" s="2">
        <v>0.10000000100000001</v>
      </c>
      <c r="L254" s="2">
        <v>0.10000000100000001</v>
      </c>
      <c r="M254" s="2">
        <v>0</v>
      </c>
      <c r="N254" s="2">
        <v>0</v>
      </c>
      <c r="O254" s="2">
        <v>0</v>
      </c>
      <c r="P254" s="2">
        <v>0.10000000100000001</v>
      </c>
      <c r="Q254" s="2">
        <v>0</v>
      </c>
      <c r="R254" s="2">
        <v>0</v>
      </c>
      <c r="S254" s="2">
        <v>0</v>
      </c>
      <c r="T254" s="2">
        <v>10</v>
      </c>
      <c r="U254" s="2">
        <f t="shared" si="17"/>
        <v>10</v>
      </c>
      <c r="V254" s="2">
        <v>1430</v>
      </c>
      <c r="W254" s="2">
        <v>149</v>
      </c>
      <c r="X254" s="2">
        <f t="shared" si="18"/>
        <v>149</v>
      </c>
      <c r="Y254" s="2">
        <v>2093</v>
      </c>
      <c r="Z254" t="str" cm="1">
        <f t="array" ref="Z254">_xlfn.IFS(OR(R254&gt;66, S254&gt;38), "High Engagement", OR(AND(R254&gt;32, R254&lt;=66), AND(S254&gt;19, S254&lt;=38)), "Medium-High Engagement", OR(AND(R254&gt;4, R254&lt;=32), AND(S254&gt;6, S254&lt;=19)),"Medium Engagement", TRUE, "Low Engagement"
)</f>
        <v>Low Engagement</v>
      </c>
      <c r="AA254">
        <f t="shared" si="19"/>
        <v>14.046979865771812</v>
      </c>
    </row>
    <row r="255" spans="1:27" x14ac:dyDescent="0.35">
      <c r="A255" s="2">
        <v>1927972279</v>
      </c>
      <c r="B255" s="2" t="s">
        <v>75</v>
      </c>
      <c r="C255" s="2">
        <f>VLOOKUP(user_activity!A310,users_details!$A$1:$G$34,5,0)</f>
        <v>30</v>
      </c>
      <c r="D255" s="2" t="str" cm="1">
        <f t="array" ref="D255">_xlfn.IFS( AND(C255&gt;=18, C255&lt;=25), "Emerging Adults",  AND(C255&gt;=26, C255&lt;=35),  "Young Adults",  AND(C255&gt;=36, C255&lt;=45),  "Midlife Adults",  AND(C255&gt;=46, C255&lt;=55), "Mature Adults", C255&gt;=56,  "Older Adults", TRUE, "Age Not Mentioned")</f>
        <v>Young Adults</v>
      </c>
      <c r="E255" s="2" t="str">
        <f>VLOOKUP(user_activity!A310,users_details!$A$1:$G$34,6,0)</f>
        <v>Clinton Hill, Brooklyn</v>
      </c>
      <c r="F255" s="2" t="str">
        <f>VLOOKUP(user_activity!A310,users_details!$A$1:$G$34,7,0)</f>
        <v>Clinton Hill</v>
      </c>
      <c r="G255" s="2" t="s">
        <v>71</v>
      </c>
      <c r="H255" s="7">
        <v>42480</v>
      </c>
      <c r="I255" s="9" t="str">
        <f t="shared" si="15"/>
        <v>Wednesday</v>
      </c>
      <c r="J255" s="9" t="str">
        <f t="shared" si="16"/>
        <v>April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f t="shared" si="17"/>
        <v>0</v>
      </c>
      <c r="V255" s="2">
        <v>1440</v>
      </c>
      <c r="W255" s="2">
        <v>0</v>
      </c>
      <c r="X255" s="2">
        <f t="shared" si="18"/>
        <v>7405.5</v>
      </c>
      <c r="Y255" s="2">
        <v>2063</v>
      </c>
      <c r="Z255" t="str" cm="1">
        <f t="array" ref="Z255">_xlfn.IFS(OR(R255&gt;66, S255&gt;38), "High Engagement", OR(AND(R255&gt;32, R255&lt;=66), AND(S255&gt;19, S255&lt;=38)), "Medium-High Engagement", OR(AND(R255&gt;4, R255&lt;=32), AND(S255&gt;6, S255&lt;=19)),"Medium Engagement", TRUE, "Low Engagement"
)</f>
        <v>Low Engagement</v>
      </c>
      <c r="AA255">
        <f t="shared" si="19"/>
        <v>0</v>
      </c>
    </row>
    <row r="256" spans="1:27" x14ac:dyDescent="0.35">
      <c r="A256" s="2">
        <v>1927972279</v>
      </c>
      <c r="B256" s="2" t="s">
        <v>75</v>
      </c>
      <c r="C256" s="2">
        <f>VLOOKUP(user_activity!A313,users_details!$A$1:$G$34,5,0)</f>
        <v>30</v>
      </c>
      <c r="D256" s="2" t="str" cm="1">
        <f t="array" ref="D256">_xlfn.IFS( AND(C256&gt;=18, C256&lt;=25), "Emerging Adults",  AND(C256&gt;=26, C256&lt;=35),  "Young Adults",  AND(C256&gt;=36, C256&lt;=45),  "Midlife Adults",  AND(C256&gt;=46, C256&lt;=55), "Mature Adults", C256&gt;=56,  "Older Adults", TRUE, "Age Not Mentioned")</f>
        <v>Young Adults</v>
      </c>
      <c r="E256" s="2" t="str">
        <f>VLOOKUP(user_activity!A313,users_details!$A$1:$G$34,6,0)</f>
        <v>Clinton Hill, Brooklyn</v>
      </c>
      <c r="F256" s="2" t="str">
        <f>VLOOKUP(user_activity!A313,users_details!$A$1:$G$34,7,0)</f>
        <v>Clinton Hill</v>
      </c>
      <c r="G256" s="2" t="s">
        <v>71</v>
      </c>
      <c r="H256" s="7">
        <v>42434</v>
      </c>
      <c r="I256" s="9" t="str">
        <f t="shared" si="15"/>
        <v>Saturday</v>
      </c>
      <c r="J256" s="9" t="str">
        <f t="shared" si="16"/>
        <v>March</v>
      </c>
      <c r="K256" s="2">
        <v>0.920000017</v>
      </c>
      <c r="L256" s="2">
        <v>0.920000017</v>
      </c>
      <c r="M256" s="2">
        <v>0</v>
      </c>
      <c r="N256" s="2">
        <v>0.730000019</v>
      </c>
      <c r="O256" s="2">
        <v>0</v>
      </c>
      <c r="P256" s="2">
        <v>0.18000000699999999</v>
      </c>
      <c r="Q256" s="2">
        <v>0</v>
      </c>
      <c r="R256" s="2">
        <v>10</v>
      </c>
      <c r="S256" s="2">
        <v>0</v>
      </c>
      <c r="T256" s="2">
        <v>17</v>
      </c>
      <c r="U256" s="2">
        <f t="shared" si="17"/>
        <v>27</v>
      </c>
      <c r="V256" s="2">
        <v>1413</v>
      </c>
      <c r="W256" s="2">
        <v>1326</v>
      </c>
      <c r="X256" s="2">
        <f t="shared" si="18"/>
        <v>1326</v>
      </c>
      <c r="Y256" s="2">
        <v>2195</v>
      </c>
      <c r="Z256" t="str" cm="1">
        <f t="array" ref="Z256">_xlfn.IFS(OR(R256&gt;66, S256&gt;38), "High Engagement", OR(AND(R256&gt;32, R256&lt;=66), AND(S256&gt;19, S256&lt;=38)), "Medium-High Engagement", OR(AND(R256&gt;4, R256&lt;=32), AND(S256&gt;6, S256&lt;=19)),"Medium Engagement", TRUE, "Low Engagement"
)</f>
        <v>Medium Engagement</v>
      </c>
      <c r="AA256">
        <f t="shared" si="19"/>
        <v>1.6553544494720964</v>
      </c>
    </row>
    <row r="257" spans="1:27" x14ac:dyDescent="0.35">
      <c r="A257" s="2">
        <v>1927972279</v>
      </c>
      <c r="B257" s="2" t="s">
        <v>75</v>
      </c>
      <c r="C257" s="2">
        <f>VLOOKUP(user_activity!A314,users_details!$A$1:$G$34,5,0)</f>
        <v>30</v>
      </c>
      <c r="D257" s="2" t="str" cm="1">
        <f t="array" ref="D257">_xlfn.IFS( AND(C257&gt;=18, C257&lt;=25), "Emerging Adults",  AND(C257&gt;=26, C257&lt;=35),  "Young Adults",  AND(C257&gt;=36, C257&lt;=45),  "Midlife Adults",  AND(C257&gt;=46, C257&lt;=55), "Mature Adults", C257&gt;=56,  "Older Adults", TRUE, "Age Not Mentioned")</f>
        <v>Young Adults</v>
      </c>
      <c r="E257" s="2" t="str">
        <f>VLOOKUP(user_activity!A314,users_details!$A$1:$G$34,6,0)</f>
        <v>Midtown, Manhattan</v>
      </c>
      <c r="F257" s="2" t="str">
        <f>VLOOKUP(user_activity!A314,users_details!$A$1:$G$34,7,0)</f>
        <v>Midtown</v>
      </c>
      <c r="G257" s="2" t="s">
        <v>71</v>
      </c>
      <c r="H257" s="7">
        <v>42484</v>
      </c>
      <c r="I257" s="9" t="str">
        <f t="shared" si="15"/>
        <v>Sunday</v>
      </c>
      <c r="J257" s="9" t="str">
        <f t="shared" si="16"/>
        <v>April</v>
      </c>
      <c r="K257" s="2">
        <v>1.4500000479999999</v>
      </c>
      <c r="L257" s="2">
        <v>1.4500000479999999</v>
      </c>
      <c r="M257" s="2">
        <v>0</v>
      </c>
      <c r="N257" s="2">
        <v>7.0000000000000007E-2</v>
      </c>
      <c r="O257" s="2">
        <v>0.23999999499999999</v>
      </c>
      <c r="P257" s="2">
        <v>1.1399999860000001</v>
      </c>
      <c r="Q257" s="2">
        <v>0</v>
      </c>
      <c r="R257" s="2">
        <v>1</v>
      </c>
      <c r="S257" s="2">
        <v>6</v>
      </c>
      <c r="T257" s="2">
        <v>75</v>
      </c>
      <c r="U257" s="2">
        <f t="shared" si="17"/>
        <v>82</v>
      </c>
      <c r="V257" s="2">
        <v>1358</v>
      </c>
      <c r="W257" s="2">
        <v>2090</v>
      </c>
      <c r="X257" s="2">
        <f t="shared" si="18"/>
        <v>2090</v>
      </c>
      <c r="Y257" s="2">
        <v>2324</v>
      </c>
      <c r="Z257" t="str" cm="1">
        <f t="array" ref="Z257">_xlfn.IFS(OR(R257&gt;66, S257&gt;38), "High Engagement", OR(AND(R257&gt;32, R257&lt;=66), AND(S257&gt;19, S257&lt;=38)), "Medium-High Engagement", OR(AND(R257&gt;4, R257&lt;=32), AND(S257&gt;6, S257&lt;=19)),"Medium Engagement", TRUE, "Low Engagement"
)</f>
        <v>Low Engagement</v>
      </c>
      <c r="AA257">
        <f t="shared" si="19"/>
        <v>1.1119617224880383</v>
      </c>
    </row>
    <row r="258" spans="1:27" x14ac:dyDescent="0.35">
      <c r="A258" s="2">
        <v>1927972279</v>
      </c>
      <c r="B258" s="2" t="s">
        <v>75</v>
      </c>
      <c r="C258" s="2">
        <f>VLOOKUP(user_activity!A323,users_details!$A$1:$G$34,5,0)</f>
        <v>30</v>
      </c>
      <c r="D258" s="2" t="str" cm="1">
        <f t="array" ref="D258">_xlfn.IFS( AND(C258&gt;=18, C258&lt;=25), "Emerging Adults",  AND(C258&gt;=26, C258&lt;=35),  "Young Adults",  AND(C258&gt;=36, C258&lt;=45),  "Midlife Adults",  AND(C258&gt;=46, C258&lt;=55), "Mature Adults", C258&gt;=56,  "Older Adults", TRUE, "Age Not Mentioned")</f>
        <v>Young Adults</v>
      </c>
      <c r="E258" s="2" t="str">
        <f>VLOOKUP(user_activity!A323,users_details!$A$1:$G$34,6,0)</f>
        <v>Clinton Hill, Brooklyn</v>
      </c>
      <c r="F258" s="2" t="str">
        <f>VLOOKUP(user_activity!A323,users_details!$A$1:$G$34,7,0)</f>
        <v>Clinton Hill</v>
      </c>
      <c r="G258" s="2" t="s">
        <v>71</v>
      </c>
      <c r="H258" s="7">
        <v>42489</v>
      </c>
      <c r="I258" s="9" t="str">
        <f t="shared" ref="I258:I321" si="20">TEXT(H258, "dddd")</f>
        <v>Friday</v>
      </c>
      <c r="J258" s="9" t="str">
        <f t="shared" ref="J258:J321" si="21">TEXT(H258, "mmmm")</f>
        <v>April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f t="shared" ref="U258:U321" si="22">R258+S258+T258</f>
        <v>0</v>
      </c>
      <c r="V258" s="2">
        <v>1440</v>
      </c>
      <c r="W258" s="2">
        <v>0</v>
      </c>
      <c r="X258" s="2">
        <f t="shared" ref="X258:X321" si="23">IF(W258=0,MEDIAN($W$2:$W$941),W258)</f>
        <v>7405.5</v>
      </c>
      <c r="Y258" s="2">
        <v>2063</v>
      </c>
      <c r="Z258" t="str" cm="1">
        <f t="array" ref="Z258">_xlfn.IFS(OR(R258&gt;66, S258&gt;38), "High Engagement", OR(AND(R258&gt;32, R258&lt;=66), AND(S258&gt;19, S258&lt;=38)), "Medium-High Engagement", OR(AND(R258&gt;4, R258&lt;=32), AND(S258&gt;6, S258&lt;=19)),"Medium Engagement", TRUE, "Low Engagement"
)</f>
        <v>Low Engagement</v>
      </c>
      <c r="AA258">
        <f t="shared" si="19"/>
        <v>0</v>
      </c>
    </row>
    <row r="259" spans="1:27" x14ac:dyDescent="0.35">
      <c r="A259" s="2">
        <v>1927972279</v>
      </c>
      <c r="B259" s="2" t="s">
        <v>75</v>
      </c>
      <c r="C259" s="2">
        <f>VLOOKUP(user_activity!A332,users_details!$A$1:$G$34,5,0)</f>
        <v>30</v>
      </c>
      <c r="D259" s="2" t="str" cm="1">
        <f t="array" ref="D259">_xlfn.IFS( AND(C259&gt;=18, C259&lt;=25), "Emerging Adults",  AND(C259&gt;=26, C259&lt;=35),  "Young Adults",  AND(C259&gt;=36, C259&lt;=45),  "Midlife Adults",  AND(C259&gt;=46, C259&lt;=55), "Mature Adults", C259&gt;=56,  "Older Adults", TRUE, "Age Not Mentioned")</f>
        <v>Young Adults</v>
      </c>
      <c r="E259" s="2" t="str">
        <f>VLOOKUP(user_activity!A332,users_details!$A$1:$G$34,6,0)</f>
        <v>Clinton Hill, Brooklyn</v>
      </c>
      <c r="F259" s="2" t="str">
        <f>VLOOKUP(user_activity!A332,users_details!$A$1:$G$34,7,0)</f>
        <v>Clinton Hill</v>
      </c>
      <c r="G259" s="2" t="s">
        <v>71</v>
      </c>
      <c r="H259" s="7">
        <v>42465</v>
      </c>
      <c r="I259" s="9" t="str">
        <f t="shared" si="20"/>
        <v>Tuesday</v>
      </c>
      <c r="J259" s="9" t="str">
        <f t="shared" si="21"/>
        <v>April</v>
      </c>
      <c r="K259" s="2">
        <v>1.2400000099999999</v>
      </c>
      <c r="L259" s="2">
        <v>1.2400000099999999</v>
      </c>
      <c r="M259" s="2">
        <v>0</v>
      </c>
      <c r="N259" s="2">
        <v>0</v>
      </c>
      <c r="O259" s="2">
        <v>0</v>
      </c>
      <c r="P259" s="2">
        <v>1.2400000099999999</v>
      </c>
      <c r="Q259" s="2">
        <v>0</v>
      </c>
      <c r="R259" s="2">
        <v>0</v>
      </c>
      <c r="S259" s="2">
        <v>0</v>
      </c>
      <c r="T259" s="2">
        <v>87</v>
      </c>
      <c r="U259" s="2">
        <f t="shared" si="22"/>
        <v>87</v>
      </c>
      <c r="V259" s="2">
        <v>1353</v>
      </c>
      <c r="W259" s="2">
        <v>1786</v>
      </c>
      <c r="X259" s="2">
        <f t="shared" si="23"/>
        <v>1786</v>
      </c>
      <c r="Y259" s="2">
        <v>2338</v>
      </c>
      <c r="Z259" t="str" cm="1">
        <f t="array" ref="Z259">_xlfn.IFS(OR(R259&gt;66, S259&gt;38), "High Engagement", OR(AND(R259&gt;32, R259&lt;=66), AND(S259&gt;19, S259&lt;=38)), "Medium-High Engagement", OR(AND(R259&gt;4, R259&lt;=32), AND(S259&gt;6, S259&lt;=19)),"Medium Engagement", TRUE, "Low Engagement"
)</f>
        <v>Low Engagement</v>
      </c>
      <c r="AA259">
        <f t="shared" ref="AA259:AA322" si="24">IF(W259&gt;0, Y259/W259, 0)</f>
        <v>1.3090705487122061</v>
      </c>
    </row>
    <row r="260" spans="1:27" x14ac:dyDescent="0.35">
      <c r="A260" s="2">
        <v>1927972279</v>
      </c>
      <c r="B260" s="2" t="s">
        <v>75</v>
      </c>
      <c r="C260" s="2">
        <f>VLOOKUP(user_activity!A338,users_details!$A$1:$G$34,5,0)</f>
        <v>30</v>
      </c>
      <c r="D260" s="2" t="str" cm="1">
        <f t="array" ref="D260">_xlfn.IFS( AND(C260&gt;=18, C260&lt;=25), "Emerging Adults",  AND(C260&gt;=26, C260&lt;=35),  "Young Adults",  AND(C260&gt;=36, C260&lt;=45),  "Midlife Adults",  AND(C260&gt;=46, C260&lt;=55), "Mature Adults", C260&gt;=56,  "Older Adults", TRUE, "Age Not Mentioned")</f>
        <v>Young Adults</v>
      </c>
      <c r="E260" s="2" t="str">
        <f>VLOOKUP(user_activity!A338,users_details!$A$1:$G$34,6,0)</f>
        <v>Midtown, Manhattan</v>
      </c>
      <c r="F260" s="2" t="str">
        <f>VLOOKUP(user_activity!A338,users_details!$A$1:$G$34,7,0)</f>
        <v>Midtown</v>
      </c>
      <c r="G260" s="2" t="s">
        <v>71</v>
      </c>
      <c r="H260" s="7">
        <v>42481</v>
      </c>
      <c r="I260" s="9" t="str">
        <f t="shared" si="20"/>
        <v>Thursday</v>
      </c>
      <c r="J260" s="9" t="str">
        <f t="shared" si="21"/>
        <v>April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f t="shared" si="22"/>
        <v>0</v>
      </c>
      <c r="V260" s="2">
        <v>1440</v>
      </c>
      <c r="W260" s="2">
        <v>0</v>
      </c>
      <c r="X260" s="2">
        <f t="shared" si="23"/>
        <v>7405.5</v>
      </c>
      <c r="Y260" s="2">
        <v>2064</v>
      </c>
      <c r="Z260" t="str" cm="1">
        <f t="array" ref="Z260">_xlfn.IFS(OR(R260&gt;66, S260&gt;38), "High Engagement", OR(AND(R260&gt;32, R260&lt;=66), AND(S260&gt;19, S260&lt;=38)), "Medium-High Engagement", OR(AND(R260&gt;4, R260&lt;=32), AND(S260&gt;6, S260&lt;=19)),"Medium Engagement", TRUE, "Low Engagement"
)</f>
        <v>Low Engagement</v>
      </c>
      <c r="AA260">
        <f t="shared" si="24"/>
        <v>0</v>
      </c>
    </row>
    <row r="261" spans="1:27" x14ac:dyDescent="0.35">
      <c r="A261" s="2">
        <v>4558609924</v>
      </c>
      <c r="B261" s="2" t="s">
        <v>83</v>
      </c>
      <c r="C261" s="2">
        <f>VLOOKUP(user_activity!A353,users_details!$A$1:$G$34,5,0)</f>
        <v>31</v>
      </c>
      <c r="D261" s="2" t="str" cm="1">
        <f t="array" ref="D261">_xlfn.IFS( AND(C261&gt;=18, C261&lt;=25), "Emerging Adults",  AND(C261&gt;=26, C261&lt;=35),  "Young Adults",  AND(C261&gt;=36, C261&lt;=45),  "Midlife Adults",  AND(C261&gt;=46, C261&lt;=55), "Mature Adults", C261&gt;=56,  "Older Adults", TRUE, "Age Not Mentioned")</f>
        <v>Young Adults</v>
      </c>
      <c r="E261" s="2" t="str">
        <f>VLOOKUP(user_activity!A353,users_details!$A$1:$G$34,6,0)</f>
        <v>Midtown, Manhattan</v>
      </c>
      <c r="F261" s="2" t="str">
        <f>VLOOKUP(user_activity!A353,users_details!$A$1:$G$34,7,0)</f>
        <v>Midtown</v>
      </c>
      <c r="G261" s="2" t="s">
        <v>72</v>
      </c>
      <c r="H261" s="7">
        <v>42480</v>
      </c>
      <c r="I261" s="9" t="str">
        <f t="shared" si="20"/>
        <v>Wednesday</v>
      </c>
      <c r="J261" s="9" t="str">
        <f t="shared" si="21"/>
        <v>April</v>
      </c>
      <c r="K261" s="2">
        <v>3.170000076</v>
      </c>
      <c r="L261" s="2">
        <v>3.170000076</v>
      </c>
      <c r="M261" s="2">
        <v>0</v>
      </c>
      <c r="N261" s="2">
        <v>0</v>
      </c>
      <c r="O261" s="2">
        <v>0</v>
      </c>
      <c r="P261" s="2">
        <v>3.170000076</v>
      </c>
      <c r="Q261" s="2">
        <v>0</v>
      </c>
      <c r="R261" s="2">
        <v>0</v>
      </c>
      <c r="S261" s="2">
        <v>0</v>
      </c>
      <c r="T261" s="2">
        <v>222</v>
      </c>
      <c r="U261" s="2">
        <f t="shared" si="22"/>
        <v>222</v>
      </c>
      <c r="V261" s="2">
        <v>1218</v>
      </c>
      <c r="W261" s="2">
        <v>4803</v>
      </c>
      <c r="X261" s="2">
        <f t="shared" si="23"/>
        <v>4803</v>
      </c>
      <c r="Y261" s="2">
        <v>1788</v>
      </c>
      <c r="Z261" t="str" cm="1">
        <f t="array" ref="Z261">_xlfn.IFS(OR(R261&gt;66, S261&gt;38), "High Engagement", OR(AND(R261&gt;32, R261&lt;=66), AND(S261&gt;19, S261&lt;=38)), "Medium-High Engagement", OR(AND(R261&gt;4, R261&lt;=32), AND(S261&gt;6, S261&lt;=19)),"Medium Engagement", TRUE, "Low Engagement"
)</f>
        <v>Low Engagement</v>
      </c>
      <c r="AA261">
        <f t="shared" si="24"/>
        <v>0.37226733291692693</v>
      </c>
    </row>
    <row r="262" spans="1:27" x14ac:dyDescent="0.35">
      <c r="A262" s="2">
        <v>4558609924</v>
      </c>
      <c r="B262" s="2" t="s">
        <v>83</v>
      </c>
      <c r="C262" s="2">
        <f>VLOOKUP(user_activity!A356,users_details!$A$1:$G$34,5,0)</f>
        <v>31</v>
      </c>
      <c r="D262" s="2" t="str" cm="1">
        <f t="array" ref="D262">_xlfn.IFS( AND(C262&gt;=18, C262&lt;=25), "Emerging Adults",  AND(C262&gt;=26, C262&lt;=35),  "Young Adults",  AND(C262&gt;=36, C262&lt;=45),  "Midlife Adults",  AND(C262&gt;=46, C262&lt;=55), "Mature Adults", C262&gt;=56,  "Older Adults", TRUE, "Age Not Mentioned")</f>
        <v>Young Adults</v>
      </c>
      <c r="E262" s="2" t="str">
        <f>VLOOKUP(user_activity!A356,users_details!$A$1:$G$34,6,0)</f>
        <v>Midtown, Manhattan</v>
      </c>
      <c r="F262" s="2" t="str">
        <f>VLOOKUP(user_activity!A356,users_details!$A$1:$G$34,7,0)</f>
        <v>Midtown</v>
      </c>
      <c r="G262" s="2" t="s">
        <v>72</v>
      </c>
      <c r="H262" s="7">
        <v>42483</v>
      </c>
      <c r="I262" s="9" t="str">
        <f t="shared" si="20"/>
        <v>Saturday</v>
      </c>
      <c r="J262" s="9" t="str">
        <f t="shared" si="21"/>
        <v>April</v>
      </c>
      <c r="K262" s="2">
        <v>4.5500001909999996</v>
      </c>
      <c r="L262" s="2">
        <v>4.5500001909999996</v>
      </c>
      <c r="M262" s="2">
        <v>0</v>
      </c>
      <c r="N262" s="2">
        <v>0.34000000400000002</v>
      </c>
      <c r="O262" s="2">
        <v>0.20000000300000001</v>
      </c>
      <c r="P262" s="2">
        <v>4.0100002290000001</v>
      </c>
      <c r="Q262" s="2">
        <v>0</v>
      </c>
      <c r="R262" s="2">
        <v>5</v>
      </c>
      <c r="S262" s="2">
        <v>5</v>
      </c>
      <c r="T262" s="2">
        <v>308</v>
      </c>
      <c r="U262" s="2">
        <f t="shared" si="22"/>
        <v>318</v>
      </c>
      <c r="V262" s="2">
        <v>1122</v>
      </c>
      <c r="W262" s="2">
        <v>6890</v>
      </c>
      <c r="X262" s="2">
        <f t="shared" si="23"/>
        <v>6890</v>
      </c>
      <c r="Y262" s="2">
        <v>2085</v>
      </c>
      <c r="Z262" t="str" cm="1">
        <f t="array" ref="Z262">_xlfn.IFS(OR(R262&gt;66, S262&gt;38), "High Engagement", OR(AND(R262&gt;32, R262&lt;=66), AND(S262&gt;19, S262&lt;=38)), "Medium-High Engagement", OR(AND(R262&gt;4, R262&lt;=32), AND(S262&gt;6, S262&lt;=19)),"Medium Engagement", TRUE, "Low Engagement"
)</f>
        <v>Medium Engagement</v>
      </c>
      <c r="AA262">
        <f t="shared" si="24"/>
        <v>0.3026124818577649</v>
      </c>
    </row>
    <row r="263" spans="1:27" x14ac:dyDescent="0.35">
      <c r="A263" s="2">
        <v>4558609924</v>
      </c>
      <c r="B263" s="2" t="s">
        <v>83</v>
      </c>
      <c r="C263" s="2">
        <f>VLOOKUP(user_activity!A418,users_details!$A$1:$G$34,5,0)</f>
        <v>32</v>
      </c>
      <c r="D263" s="2" t="str" cm="1">
        <f t="array" ref="D263">_xlfn.IFS( AND(C263&gt;=18, C263&lt;=25), "Emerging Adults",  AND(C263&gt;=26, C263&lt;=35),  "Young Adults",  AND(C263&gt;=36, C263&lt;=45),  "Midlife Adults",  AND(C263&gt;=46, C263&lt;=55), "Mature Adults", C263&gt;=56,  "Older Adults", TRUE, "Age Not Mentioned")</f>
        <v>Young Adults</v>
      </c>
      <c r="E263" s="2" t="str">
        <f>VLOOKUP(user_activity!A418,users_details!$A$1:$G$34,6,0)</f>
        <v>East Harlem, Manhattan</v>
      </c>
      <c r="F263" s="2" t="str">
        <f>VLOOKUP(user_activity!A418,users_details!$A$1:$G$34,7,0)</f>
        <v>East Harlem</v>
      </c>
      <c r="G263" s="2" t="s">
        <v>72</v>
      </c>
      <c r="H263" s="7">
        <v>42476</v>
      </c>
      <c r="I263" s="9" t="str">
        <f t="shared" si="20"/>
        <v>Saturday</v>
      </c>
      <c r="J263" s="9" t="str">
        <f t="shared" si="21"/>
        <v>April</v>
      </c>
      <c r="K263" s="2">
        <v>4.8200001720000003</v>
      </c>
      <c r="L263" s="2">
        <v>4.8200001720000003</v>
      </c>
      <c r="M263" s="2">
        <v>0</v>
      </c>
      <c r="N263" s="2">
        <v>0.55000001200000004</v>
      </c>
      <c r="O263" s="2">
        <v>0.75</v>
      </c>
      <c r="P263" s="2">
        <v>3.5</v>
      </c>
      <c r="Q263" s="2">
        <v>0</v>
      </c>
      <c r="R263" s="2">
        <v>8</v>
      </c>
      <c r="S263" s="2">
        <v>12</v>
      </c>
      <c r="T263" s="2">
        <v>308</v>
      </c>
      <c r="U263" s="2">
        <f t="shared" si="22"/>
        <v>328</v>
      </c>
      <c r="V263" s="2">
        <v>1112</v>
      </c>
      <c r="W263" s="2">
        <v>7289</v>
      </c>
      <c r="X263" s="2">
        <f t="shared" si="23"/>
        <v>7289</v>
      </c>
      <c r="Y263" s="2">
        <v>1997</v>
      </c>
      <c r="Z263" t="str" cm="1">
        <f t="array" ref="Z263">_xlfn.IFS(OR(R263&gt;66, S263&gt;38), "High Engagement", OR(AND(R263&gt;32, R263&lt;=66), AND(S263&gt;19, S263&lt;=38)), "Medium-High Engagement", OR(AND(R263&gt;4, R263&lt;=32), AND(S263&gt;6, S263&lt;=19)),"Medium Engagement", TRUE, "Low Engagement"
)</f>
        <v>Medium Engagement</v>
      </c>
      <c r="AA263">
        <f t="shared" si="24"/>
        <v>0.27397448209630954</v>
      </c>
    </row>
    <row r="264" spans="1:27" x14ac:dyDescent="0.35">
      <c r="A264" s="2">
        <v>1927972279</v>
      </c>
      <c r="B264" s="2" t="s">
        <v>75</v>
      </c>
      <c r="C264" s="2">
        <f>VLOOKUP(user_activity!A485,users_details!$A$1:$G$34,5,0)</f>
        <v>33</v>
      </c>
      <c r="D264" s="2" t="str" cm="1">
        <f t="array" ref="D264">_xlfn.IFS( AND(C264&gt;=18, C264&lt;=25), "Emerging Adults",  AND(C264&gt;=26, C264&lt;=35),  "Young Adults",  AND(C264&gt;=36, C264&lt;=45),  "Midlife Adults",  AND(C264&gt;=46, C264&lt;=55), "Mature Adults", C264&gt;=56,  "Older Adults", TRUE, "Age Not Mentioned")</f>
        <v>Young Adults</v>
      </c>
      <c r="E264" s="2" t="str">
        <f>VLOOKUP(user_activity!A485,users_details!$A$1:$G$34,6,0)</f>
        <v>Harlem, Manhattan</v>
      </c>
      <c r="F264" s="2" t="str">
        <f>VLOOKUP(user_activity!A485,users_details!$A$1:$G$34,7,0)</f>
        <v>Harlem</v>
      </c>
      <c r="G264" s="2" t="s">
        <v>71</v>
      </c>
      <c r="H264" s="7">
        <v>42709</v>
      </c>
      <c r="I264" s="9" t="str">
        <f t="shared" si="20"/>
        <v>Monday</v>
      </c>
      <c r="J264" s="9" t="str">
        <f t="shared" si="21"/>
        <v>December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f t="shared" si="22"/>
        <v>0</v>
      </c>
      <c r="V264" s="2">
        <v>966</v>
      </c>
      <c r="W264" s="2">
        <v>0</v>
      </c>
      <c r="X264" s="2">
        <f t="shared" si="23"/>
        <v>7405.5</v>
      </c>
      <c r="Y264" s="2">
        <v>1383</v>
      </c>
      <c r="Z264" t="str" cm="1">
        <f t="array" ref="Z264">_xlfn.IFS(OR(R264&gt;66, S264&gt;38), "High Engagement", OR(AND(R264&gt;32, R264&lt;=66), AND(S264&gt;19, S264&lt;=38)), "Medium-High Engagement", OR(AND(R264&gt;4, R264&lt;=32), AND(S264&gt;6, S264&lt;=19)),"Medium Engagement", TRUE, "Low Engagement"
)</f>
        <v>Low Engagement</v>
      </c>
      <c r="AA264">
        <f t="shared" si="24"/>
        <v>0</v>
      </c>
    </row>
    <row r="265" spans="1:27" x14ac:dyDescent="0.35">
      <c r="A265" s="2">
        <v>4558609924</v>
      </c>
      <c r="B265" s="2" t="s">
        <v>83</v>
      </c>
      <c r="C265" s="2">
        <f>VLOOKUP(user_activity!A494,users_details!$A$1:$G$34,5,0)</f>
        <v>33</v>
      </c>
      <c r="D265" s="2" t="str" cm="1">
        <f t="array" ref="D265">_xlfn.IFS( AND(C265&gt;=18, C265&lt;=25), "Emerging Adults",  AND(C265&gt;=26, C265&lt;=35),  "Young Adults",  AND(C265&gt;=36, C265&lt;=45),  "Midlife Adults",  AND(C265&gt;=46, C265&lt;=55), "Mature Adults", C265&gt;=56,  "Older Adults", TRUE, "Age Not Mentioned")</f>
        <v>Young Adults</v>
      </c>
      <c r="E265" s="2" t="str">
        <f>VLOOKUP(user_activity!A494,users_details!$A$1:$G$34,6,0)</f>
        <v>Greenpoint, Brooklyn</v>
      </c>
      <c r="F265" s="2" t="str">
        <f>VLOOKUP(user_activity!A494,users_details!$A$1:$G$34,7,0)</f>
        <v>Greenpoint</v>
      </c>
      <c r="G265" s="2" t="s">
        <v>72</v>
      </c>
      <c r="H265" s="7">
        <v>42484</v>
      </c>
      <c r="I265" s="9" t="str">
        <f t="shared" si="20"/>
        <v>Sunday</v>
      </c>
      <c r="J265" s="9" t="str">
        <f t="shared" si="21"/>
        <v>April</v>
      </c>
      <c r="K265" s="2">
        <v>5.6599998469999999</v>
      </c>
      <c r="L265" s="2">
        <v>5.6599998469999999</v>
      </c>
      <c r="M265" s="2">
        <v>0</v>
      </c>
      <c r="N265" s="2">
        <v>0</v>
      </c>
      <c r="O265" s="2">
        <v>0</v>
      </c>
      <c r="P265" s="2">
        <v>5.6500000950000002</v>
      </c>
      <c r="Q265" s="2">
        <v>0</v>
      </c>
      <c r="R265" s="2">
        <v>0</v>
      </c>
      <c r="S265" s="2">
        <v>0</v>
      </c>
      <c r="T265" s="2">
        <v>395</v>
      </c>
      <c r="U265" s="2">
        <f t="shared" si="22"/>
        <v>395</v>
      </c>
      <c r="V265" s="2">
        <v>1045</v>
      </c>
      <c r="W265" s="2">
        <v>8563</v>
      </c>
      <c r="X265" s="2">
        <f t="shared" si="23"/>
        <v>8563</v>
      </c>
      <c r="Y265" s="2">
        <v>2173</v>
      </c>
      <c r="Z265" t="str" cm="1">
        <f t="array" ref="Z265">_xlfn.IFS(OR(R265&gt;66, S265&gt;38), "High Engagement", OR(AND(R265&gt;32, R265&lt;=66), AND(S265&gt;19, S265&lt;=38)), "Medium-High Engagement", OR(AND(R265&gt;4, R265&lt;=32), AND(S265&gt;6, S265&lt;=19)),"Medium Engagement", TRUE, "Low Engagement"
)</f>
        <v>Low Engagement</v>
      </c>
      <c r="AA265">
        <f t="shared" si="24"/>
        <v>0.25376620343337614</v>
      </c>
    </row>
    <row r="266" spans="1:27" x14ac:dyDescent="0.35">
      <c r="A266" s="2">
        <v>4558609924</v>
      </c>
      <c r="B266" s="2" t="s">
        <v>83</v>
      </c>
      <c r="C266" s="2">
        <f>VLOOKUP(user_activity!A500,users_details!$A$1:$G$34,5,0)</f>
        <v>36</v>
      </c>
      <c r="D266" s="2" t="str" cm="1">
        <f t="array" ref="D266">_xlfn.IFS( AND(C266&gt;=18, C266&lt;=25), "Emerging Adults",  AND(C266&gt;=26, C266&lt;=35),  "Young Adults",  AND(C266&gt;=36, C266&lt;=45),  "Midlife Adults",  AND(C266&gt;=46, C266&lt;=55), "Mature Adults", C266&gt;=56,  "Older Adults", TRUE, "Age Not Mentioned")</f>
        <v>Midlife Adults</v>
      </c>
      <c r="E266" s="2" t="str">
        <f>VLOOKUP(user_activity!A500,users_details!$A$1:$G$34,6,0)</f>
        <v>Williamsburg, Brooklyn</v>
      </c>
      <c r="F266" s="2" t="str">
        <f>VLOOKUP(user_activity!A500,users_details!$A$1:$G$34,7,0)</f>
        <v>Williamsburg</v>
      </c>
      <c r="G266" s="2" t="s">
        <v>72</v>
      </c>
      <c r="H266" s="7">
        <v>42485</v>
      </c>
      <c r="I266" s="9" t="str">
        <f t="shared" si="20"/>
        <v>Monday</v>
      </c>
      <c r="J266" s="9" t="str">
        <f t="shared" si="21"/>
        <v>April</v>
      </c>
      <c r="K266" s="2">
        <v>5.3499999049999998</v>
      </c>
      <c r="L266" s="2">
        <v>5.3499999049999998</v>
      </c>
      <c r="M266" s="2">
        <v>0</v>
      </c>
      <c r="N266" s="2">
        <v>0.58999997400000004</v>
      </c>
      <c r="O266" s="2">
        <v>0.25</v>
      </c>
      <c r="P266" s="2">
        <v>4.5100002290000001</v>
      </c>
      <c r="Q266" s="2">
        <v>0</v>
      </c>
      <c r="R266" s="2">
        <v>18</v>
      </c>
      <c r="S266" s="2">
        <v>10</v>
      </c>
      <c r="T266" s="2">
        <v>340</v>
      </c>
      <c r="U266" s="2">
        <f t="shared" si="22"/>
        <v>368</v>
      </c>
      <c r="V266" s="2">
        <v>993</v>
      </c>
      <c r="W266" s="2">
        <v>8095</v>
      </c>
      <c r="X266" s="2">
        <f t="shared" si="23"/>
        <v>8095</v>
      </c>
      <c r="Y266" s="2">
        <v>2225</v>
      </c>
      <c r="Z266" t="str" cm="1">
        <f t="array" ref="Z266">_xlfn.IFS(OR(R266&gt;66, S266&gt;38), "High Engagement", OR(AND(R266&gt;32, R266&lt;=66), AND(S266&gt;19, S266&lt;=38)), "Medium-High Engagement", OR(AND(R266&gt;4, R266&lt;=32), AND(S266&gt;6, S266&lt;=19)),"Medium Engagement", TRUE, "Low Engagement"
)</f>
        <v>Medium Engagement</v>
      </c>
      <c r="AA266">
        <f t="shared" si="24"/>
        <v>0.27486102532427426</v>
      </c>
    </row>
    <row r="267" spans="1:27" x14ac:dyDescent="0.35">
      <c r="A267" s="2">
        <v>1927972279</v>
      </c>
      <c r="B267" s="2" t="s">
        <v>75</v>
      </c>
      <c r="C267" s="2">
        <f>VLOOKUP(user_activity!A504,users_details!$A$1:$G$34,5,0)</f>
        <v>36</v>
      </c>
      <c r="D267" s="2" t="str" cm="1">
        <f t="array" ref="D267">_xlfn.IFS( AND(C267&gt;=18, C267&lt;=25), "Emerging Adults",  AND(C267&gt;=26, C267&lt;=35),  "Young Adults",  AND(C267&gt;=36, C267&lt;=45),  "Midlife Adults",  AND(C267&gt;=46, C267&lt;=55), "Mature Adults", C267&gt;=56,  "Older Adults", TRUE, "Age Not Mentioned")</f>
        <v>Midlife Adults</v>
      </c>
      <c r="E267" s="2" t="str">
        <f>VLOOKUP(user_activity!A504,users_details!$A$1:$G$34,6,0)</f>
        <v>Williamsburg, Brooklyn</v>
      </c>
      <c r="F267" s="2" t="str">
        <f>VLOOKUP(user_activity!A504,users_details!$A$1:$G$34,7,0)</f>
        <v>Williamsburg</v>
      </c>
      <c r="G267" s="2" t="s">
        <v>71</v>
      </c>
      <c r="H267" s="7">
        <v>42474</v>
      </c>
      <c r="I267" s="9" t="str">
        <f t="shared" si="20"/>
        <v>Thursday</v>
      </c>
      <c r="J267" s="9" t="str">
        <f t="shared" si="21"/>
        <v>April</v>
      </c>
      <c r="K267" s="2">
        <v>1.5</v>
      </c>
      <c r="L267" s="2">
        <v>1.5</v>
      </c>
      <c r="M267" s="2">
        <v>0</v>
      </c>
      <c r="N267" s="2">
        <v>0</v>
      </c>
      <c r="O267" s="2">
        <v>0.40000000600000002</v>
      </c>
      <c r="P267" s="2">
        <v>1.1000000240000001</v>
      </c>
      <c r="Q267" s="2">
        <v>0</v>
      </c>
      <c r="R267" s="2">
        <v>0</v>
      </c>
      <c r="S267" s="2">
        <v>9</v>
      </c>
      <c r="T267" s="2">
        <v>88</v>
      </c>
      <c r="U267" s="2">
        <f t="shared" si="22"/>
        <v>97</v>
      </c>
      <c r="V267" s="2">
        <v>1292</v>
      </c>
      <c r="W267" s="2">
        <v>2163</v>
      </c>
      <c r="X267" s="2">
        <f t="shared" si="23"/>
        <v>2163</v>
      </c>
      <c r="Y267" s="2">
        <v>2383</v>
      </c>
      <c r="Z267" t="str" cm="1">
        <f t="array" ref="Z267">_xlfn.IFS(OR(R267&gt;66, S267&gt;38), "High Engagement", OR(AND(R267&gt;32, R267&lt;=66), AND(S267&gt;19, S267&lt;=38)), "Medium-High Engagement", OR(AND(R267&gt;4, R267&lt;=32), AND(S267&gt;6, S267&lt;=19)),"Medium Engagement", TRUE, "Low Engagement"
)</f>
        <v>Medium Engagement</v>
      </c>
      <c r="AA267">
        <f t="shared" si="24"/>
        <v>1.1017105871474804</v>
      </c>
    </row>
    <row r="268" spans="1:27" x14ac:dyDescent="0.35">
      <c r="A268" s="2">
        <v>4558609924</v>
      </c>
      <c r="B268" s="2" t="s">
        <v>83</v>
      </c>
      <c r="C268" s="2">
        <f>VLOOKUP(user_activity!A512,users_details!$A$1:$G$34,5,0)</f>
        <v>36</v>
      </c>
      <c r="D268" s="2" t="str" cm="1">
        <f t="array" ref="D268">_xlfn.IFS( AND(C268&gt;=18, C268&lt;=25), "Emerging Adults",  AND(C268&gt;=26, C268&lt;=35),  "Young Adults",  AND(C268&gt;=36, C268&lt;=45),  "Midlife Adults",  AND(C268&gt;=46, C268&lt;=55), "Mature Adults", C268&gt;=56,  "Older Adults", TRUE, "Age Not Mentioned")</f>
        <v>Midlife Adults</v>
      </c>
      <c r="E268" s="2" t="str">
        <f>VLOOKUP(user_activity!A512,users_details!$A$1:$G$34,6,0)</f>
        <v>Williamsburg, Brooklyn</v>
      </c>
      <c r="F268" s="2" t="str">
        <f>VLOOKUP(user_activity!A512,users_details!$A$1:$G$34,7,0)</f>
        <v>Williamsburg</v>
      </c>
      <c r="G268" s="2" t="s">
        <v>72</v>
      </c>
      <c r="H268" s="7">
        <v>42587</v>
      </c>
      <c r="I268" s="9" t="str">
        <f t="shared" si="20"/>
        <v>Friday</v>
      </c>
      <c r="J268" s="9" t="str">
        <f t="shared" si="21"/>
        <v>August</v>
      </c>
      <c r="K268" s="2">
        <v>4.329999924</v>
      </c>
      <c r="L268" s="2">
        <v>4.329999924</v>
      </c>
      <c r="M268" s="2">
        <v>0</v>
      </c>
      <c r="N268" s="2">
        <v>1.7999999520000001</v>
      </c>
      <c r="O268" s="2">
        <v>0.5</v>
      </c>
      <c r="P268" s="2">
        <v>2.0199999809999998</v>
      </c>
      <c r="Q268" s="2">
        <v>0</v>
      </c>
      <c r="R268" s="2">
        <v>66</v>
      </c>
      <c r="S268" s="2">
        <v>35</v>
      </c>
      <c r="T268" s="2">
        <v>238</v>
      </c>
      <c r="U268" s="2">
        <f t="shared" si="22"/>
        <v>339</v>
      </c>
      <c r="V268" s="2">
        <v>1019</v>
      </c>
      <c r="W268" s="2">
        <v>6543</v>
      </c>
      <c r="X268" s="2">
        <f t="shared" si="23"/>
        <v>6543</v>
      </c>
      <c r="Y268" s="2">
        <v>2666</v>
      </c>
      <c r="Z268" t="str" cm="1">
        <f t="array" ref="Z268">_xlfn.IFS(OR(R268&gt;66, S268&gt;38), "High Engagement", OR(AND(R268&gt;32, R268&lt;=66), AND(S268&gt;19, S268&lt;=38)), "Medium-High Engagement", OR(AND(R268&gt;4, R268&lt;=32), AND(S268&gt;6, S268&lt;=19)),"Medium Engagement", TRUE, "Low Engagement"
)</f>
        <v>Medium-High Engagement</v>
      </c>
      <c r="AA268">
        <f t="shared" si="24"/>
        <v>0.40745835243771972</v>
      </c>
    </row>
    <row r="269" spans="1:27" x14ac:dyDescent="0.35">
      <c r="A269" s="2">
        <v>1927972279</v>
      </c>
      <c r="B269" s="2" t="s">
        <v>75</v>
      </c>
      <c r="C269" s="2">
        <f>VLOOKUP(user_activity!A515,users_details!$A$1:$G$34,5,0)</f>
        <v>36</v>
      </c>
      <c r="D269" s="2" t="str" cm="1">
        <f t="array" ref="D269">_xlfn.IFS( AND(C269&gt;=18, C269&lt;=25), "Emerging Adults",  AND(C269&gt;=26, C269&lt;=35),  "Young Adults",  AND(C269&gt;=36, C269&lt;=45),  "Midlife Adults",  AND(C269&gt;=46, C269&lt;=55), "Mature Adults", C269&gt;=56,  "Older Adults", TRUE, "Age Not Mentioned")</f>
        <v>Midlife Adults</v>
      </c>
      <c r="E269" s="2" t="str">
        <f>VLOOKUP(user_activity!A515,users_details!$A$1:$G$34,6,0)</f>
        <v>Williamsburg, Brooklyn</v>
      </c>
      <c r="F269" s="2" t="str">
        <f>VLOOKUP(user_activity!A515,users_details!$A$1:$G$34,7,0)</f>
        <v>Williamsburg</v>
      </c>
      <c r="G269" s="2" t="s">
        <v>71</v>
      </c>
      <c r="H269" s="7">
        <v>42475</v>
      </c>
      <c r="I269" s="9" t="str">
        <f t="shared" si="20"/>
        <v>Friday</v>
      </c>
      <c r="J269" s="9" t="str">
        <f t="shared" si="21"/>
        <v>April</v>
      </c>
      <c r="K269" s="2">
        <v>0.68000000699999996</v>
      </c>
      <c r="L269" s="2">
        <v>0.68000000699999996</v>
      </c>
      <c r="M269" s="2">
        <v>0</v>
      </c>
      <c r="N269" s="2">
        <v>0</v>
      </c>
      <c r="O269" s="2">
        <v>0</v>
      </c>
      <c r="P269" s="2">
        <v>0.68000000699999996</v>
      </c>
      <c r="Q269" s="2">
        <v>0</v>
      </c>
      <c r="R269" s="2">
        <v>0</v>
      </c>
      <c r="S269" s="2">
        <v>0</v>
      </c>
      <c r="T269" s="2">
        <v>51</v>
      </c>
      <c r="U269" s="2">
        <f t="shared" si="22"/>
        <v>51</v>
      </c>
      <c r="V269" s="2">
        <v>941</v>
      </c>
      <c r="W269" s="2">
        <v>980</v>
      </c>
      <c r="X269" s="2">
        <f t="shared" si="23"/>
        <v>980</v>
      </c>
      <c r="Y269" s="2">
        <v>2221</v>
      </c>
      <c r="Z269" t="str" cm="1">
        <f t="array" ref="Z269">_xlfn.IFS(OR(R269&gt;66, S269&gt;38), "High Engagement", OR(AND(R269&gt;32, R269&lt;=66), AND(S269&gt;19, S269&lt;=38)), "Medium-High Engagement", OR(AND(R269&gt;4, R269&lt;=32), AND(S269&gt;6, S269&lt;=19)),"Medium Engagement", TRUE, "Low Engagement"
)</f>
        <v>Low Engagement</v>
      </c>
      <c r="AA269">
        <f t="shared" si="24"/>
        <v>2.2663265306122451</v>
      </c>
    </row>
    <row r="270" spans="1:27" x14ac:dyDescent="0.35">
      <c r="A270" s="2">
        <v>1927972279</v>
      </c>
      <c r="B270" s="2" t="s">
        <v>75</v>
      </c>
      <c r="C270" s="2">
        <f>VLOOKUP(user_activity!A536,users_details!$A$1:$G$34,5,0)</f>
        <v>38</v>
      </c>
      <c r="D270" s="2" t="str" cm="1">
        <f t="array" ref="D270">_xlfn.IFS( AND(C270&gt;=18, C270&lt;=25), "Emerging Adults",  AND(C270&gt;=26, C270&lt;=35),  "Young Adults",  AND(C270&gt;=36, C270&lt;=45),  "Midlife Adults",  AND(C270&gt;=46, C270&lt;=55), "Mature Adults", C270&gt;=56,  "Older Adults", TRUE, "Age Not Mentioned")</f>
        <v>Midlife Adults</v>
      </c>
      <c r="E270" s="2" t="str">
        <f>VLOOKUP(user_activity!A536,users_details!$A$1:$G$34,6,0)</f>
        <v>East Harlem, Manhattan</v>
      </c>
      <c r="F270" s="2" t="str">
        <f>VLOOKUP(user_activity!A536,users_details!$A$1:$G$34,7,0)</f>
        <v>East Harlem</v>
      </c>
      <c r="G270" s="2" t="s">
        <v>71</v>
      </c>
      <c r="H270" s="7">
        <v>42587</v>
      </c>
      <c r="I270" s="9" t="str">
        <f t="shared" si="20"/>
        <v>Friday</v>
      </c>
      <c r="J270" s="9" t="str">
        <f t="shared" si="21"/>
        <v>August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f t="shared" si="22"/>
        <v>0</v>
      </c>
      <c r="V270" s="2">
        <v>1440</v>
      </c>
      <c r="W270" s="2">
        <v>0</v>
      </c>
      <c r="X270" s="2">
        <f t="shared" si="23"/>
        <v>7405.5</v>
      </c>
      <c r="Y270" s="2">
        <v>2063</v>
      </c>
      <c r="Z270" t="str" cm="1">
        <f t="array" ref="Z270">_xlfn.IFS(OR(R270&gt;66, S270&gt;38), "High Engagement", OR(AND(R270&gt;32, R270&lt;=66), AND(S270&gt;19, S270&lt;=38)), "Medium-High Engagement", OR(AND(R270&gt;4, R270&lt;=32), AND(S270&gt;6, S270&lt;=19)),"Medium Engagement", TRUE, "Low Engagement"
)</f>
        <v>Low Engagement</v>
      </c>
      <c r="AA270">
        <f t="shared" si="24"/>
        <v>0</v>
      </c>
    </row>
    <row r="271" spans="1:27" x14ac:dyDescent="0.35">
      <c r="A271" s="2">
        <v>1927972279</v>
      </c>
      <c r="B271" s="2" t="s">
        <v>75</v>
      </c>
      <c r="C271" s="2">
        <f>VLOOKUP(user_activity!A537,users_details!$A$1:$G$34,5,0)</f>
        <v>38</v>
      </c>
      <c r="D271" s="2" t="str" cm="1">
        <f t="array" ref="D271">_xlfn.IFS( AND(C271&gt;=18, C271&lt;=25), "Emerging Adults",  AND(C271&gt;=26, C271&lt;=35),  "Young Adults",  AND(C271&gt;=36, C271&lt;=45),  "Midlife Adults",  AND(C271&gt;=46, C271&lt;=55), "Mature Adults", C271&gt;=56,  "Older Adults", TRUE, "Age Not Mentioned")</f>
        <v>Midlife Adults</v>
      </c>
      <c r="E271" s="2" t="str">
        <f>VLOOKUP(user_activity!A537,users_details!$A$1:$G$34,6,0)</f>
        <v>East Harlem, Manhattan</v>
      </c>
      <c r="F271" s="2" t="str">
        <f>VLOOKUP(user_activity!A537,users_details!$A$1:$G$34,7,0)</f>
        <v>East Harlem</v>
      </c>
      <c r="G271" s="2" t="s">
        <v>71</v>
      </c>
      <c r="H271" s="7">
        <v>42473</v>
      </c>
      <c r="I271" s="9" t="str">
        <f t="shared" si="20"/>
        <v>Wednesday</v>
      </c>
      <c r="J271" s="9" t="str">
        <f t="shared" si="21"/>
        <v>April</v>
      </c>
      <c r="K271" s="2">
        <v>0.25</v>
      </c>
      <c r="L271" s="2">
        <v>0.25</v>
      </c>
      <c r="M271" s="2">
        <v>0</v>
      </c>
      <c r="N271" s="2">
        <v>0</v>
      </c>
      <c r="O271" s="2">
        <v>0</v>
      </c>
      <c r="P271" s="2">
        <v>0.25</v>
      </c>
      <c r="Q271" s="2">
        <v>0</v>
      </c>
      <c r="R271" s="2">
        <v>0</v>
      </c>
      <c r="S271" s="2">
        <v>0</v>
      </c>
      <c r="T271" s="2">
        <v>32</v>
      </c>
      <c r="U271" s="2">
        <f t="shared" si="22"/>
        <v>32</v>
      </c>
      <c r="V271" s="2">
        <v>986</v>
      </c>
      <c r="W271" s="2">
        <v>356</v>
      </c>
      <c r="X271" s="2">
        <f t="shared" si="23"/>
        <v>356</v>
      </c>
      <c r="Y271" s="2">
        <v>2151</v>
      </c>
      <c r="Z271" t="str" cm="1">
        <f t="array" ref="Z271">_xlfn.IFS(OR(R271&gt;66, S271&gt;38), "High Engagement", OR(AND(R271&gt;32, R271&lt;=66), AND(S271&gt;19, S271&lt;=38)), "Medium-High Engagement", OR(AND(R271&gt;4, R271&lt;=32), AND(S271&gt;6, S271&lt;=19)),"Medium Engagement", TRUE, "Low Engagement"
)</f>
        <v>Low Engagement</v>
      </c>
      <c r="AA271">
        <f t="shared" si="24"/>
        <v>6.0421348314606744</v>
      </c>
    </row>
    <row r="272" spans="1:27" x14ac:dyDescent="0.35">
      <c r="A272" s="2">
        <v>1927972279</v>
      </c>
      <c r="B272" s="2" t="s">
        <v>75</v>
      </c>
      <c r="C272" s="2">
        <f>VLOOKUP(user_activity!A542,users_details!$A$1:$G$34,5,0)</f>
        <v>38</v>
      </c>
      <c r="D272" s="2" t="str" cm="1">
        <f t="array" ref="D272">_xlfn.IFS( AND(C272&gt;=18, C272&lt;=25), "Emerging Adults",  AND(C272&gt;=26, C272&lt;=35),  "Young Adults",  AND(C272&gt;=36, C272&lt;=45),  "Midlife Adults",  AND(C272&gt;=46, C272&lt;=55), "Mature Adults", C272&gt;=56,  "Older Adults", TRUE, "Age Not Mentioned")</f>
        <v>Midlife Adults</v>
      </c>
      <c r="E272" s="2" t="str">
        <f>VLOOKUP(user_activity!A542,users_details!$A$1:$G$34,6,0)</f>
        <v>Midtown, Manhattan</v>
      </c>
      <c r="F272" s="2" t="str">
        <f>VLOOKUP(user_activity!A542,users_details!$A$1:$G$34,7,0)</f>
        <v>Midtown</v>
      </c>
      <c r="G272" s="2" t="s">
        <v>71</v>
      </c>
      <c r="H272" s="7">
        <v>42374</v>
      </c>
      <c r="I272" s="9" t="str">
        <f t="shared" si="20"/>
        <v>Tuesday</v>
      </c>
      <c r="J272" s="9" t="str">
        <f t="shared" si="21"/>
        <v>January</v>
      </c>
      <c r="K272" s="2">
        <v>1.8700000050000001</v>
      </c>
      <c r="L272" s="2">
        <v>1.8700000050000001</v>
      </c>
      <c r="M272" s="2">
        <v>0</v>
      </c>
      <c r="N272" s="2">
        <v>1.0099999900000001</v>
      </c>
      <c r="O272" s="2">
        <v>2.9999998999999999E-2</v>
      </c>
      <c r="P272" s="2">
        <v>0.829999983</v>
      </c>
      <c r="Q272" s="2">
        <v>0</v>
      </c>
      <c r="R272" s="2">
        <v>14</v>
      </c>
      <c r="S272" s="2">
        <v>1</v>
      </c>
      <c r="T272" s="2">
        <v>70</v>
      </c>
      <c r="U272" s="2">
        <f t="shared" si="22"/>
        <v>85</v>
      </c>
      <c r="V272" s="2">
        <v>1355</v>
      </c>
      <c r="W272" s="2">
        <v>2704</v>
      </c>
      <c r="X272" s="2">
        <f t="shared" si="23"/>
        <v>2704</v>
      </c>
      <c r="Y272" s="2">
        <v>2411</v>
      </c>
      <c r="Z272" t="str" cm="1">
        <f t="array" ref="Z272">_xlfn.IFS(OR(R272&gt;66, S272&gt;38), "High Engagement", OR(AND(R272&gt;32, R272&lt;=66), AND(S272&gt;19, S272&lt;=38)), "Medium-High Engagement", OR(AND(R272&gt;4, R272&lt;=32), AND(S272&gt;6, S272&lt;=19)),"Medium Engagement", TRUE, "Low Engagement"
)</f>
        <v>Medium Engagement</v>
      </c>
      <c r="AA272">
        <f t="shared" si="24"/>
        <v>0.89164201183431957</v>
      </c>
    </row>
    <row r="273" spans="1:27" x14ac:dyDescent="0.35">
      <c r="A273" s="2">
        <v>1927972279</v>
      </c>
      <c r="B273" s="2" t="s">
        <v>75</v>
      </c>
      <c r="C273" s="2">
        <f>VLOOKUP(user_activity!A565,users_details!$A$1:$G$34,5,0)</f>
        <v>38</v>
      </c>
      <c r="D273" s="2" t="str" cm="1">
        <f t="array" ref="D273">_xlfn.IFS( AND(C273&gt;=18, C273&lt;=25), "Emerging Adults",  AND(C273&gt;=26, C273&lt;=35),  "Young Adults",  AND(C273&gt;=36, C273&lt;=45),  "Midlife Adults",  AND(C273&gt;=46, C273&lt;=55), "Mature Adults", C273&gt;=56,  "Older Adults", TRUE, "Age Not Mentioned")</f>
        <v>Midlife Adults</v>
      </c>
      <c r="E273" s="2" t="str">
        <f>VLOOKUP(user_activity!A565,users_details!$A$1:$G$34,6,0)</f>
        <v>Midtown, Manhattan</v>
      </c>
      <c r="F273" s="2" t="str">
        <f>VLOOKUP(user_activity!A565,users_details!$A$1:$G$34,7,0)</f>
        <v>Midtown</v>
      </c>
      <c r="G273" s="2" t="s">
        <v>71</v>
      </c>
      <c r="H273" s="7">
        <v>42476</v>
      </c>
      <c r="I273" s="9" t="str">
        <f t="shared" si="20"/>
        <v>Saturday</v>
      </c>
      <c r="J273" s="9" t="str">
        <f t="shared" si="21"/>
        <v>April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f t="shared" si="22"/>
        <v>0</v>
      </c>
      <c r="V273" s="2">
        <v>1440</v>
      </c>
      <c r="W273" s="2">
        <v>0</v>
      </c>
      <c r="X273" s="2">
        <f t="shared" si="23"/>
        <v>7405.5</v>
      </c>
      <c r="Y273" s="2">
        <v>2064</v>
      </c>
      <c r="Z273" t="str" cm="1">
        <f t="array" ref="Z273">_xlfn.IFS(OR(R273&gt;66, S273&gt;38), "High Engagement", OR(AND(R273&gt;32, R273&lt;=66), AND(S273&gt;19, S273&lt;=38)), "Medium-High Engagement", OR(AND(R273&gt;4, R273&lt;=32), AND(S273&gt;6, S273&lt;=19)),"Medium Engagement", TRUE, "Low Engagement"
)</f>
        <v>Low Engagement</v>
      </c>
      <c r="AA273">
        <f t="shared" si="24"/>
        <v>0</v>
      </c>
    </row>
    <row r="274" spans="1:27" x14ac:dyDescent="0.35">
      <c r="A274" s="2">
        <v>4558609924</v>
      </c>
      <c r="B274" s="2" t="s">
        <v>83</v>
      </c>
      <c r="C274" s="2">
        <f>VLOOKUP(user_activity!A594,users_details!$A$1:$G$34,5,0)</f>
        <v>39</v>
      </c>
      <c r="D274" s="2" t="str" cm="1">
        <f t="array" ref="D274">_xlfn.IFS( AND(C274&gt;=18, C274&lt;=25), "Emerging Adults",  AND(C274&gt;=26, C274&lt;=35),  "Young Adults",  AND(C274&gt;=36, C274&lt;=45),  "Midlife Adults",  AND(C274&gt;=46, C274&lt;=55), "Mature Adults", C274&gt;=56,  "Older Adults", TRUE, "Age Not Mentioned")</f>
        <v>Midlife Adults</v>
      </c>
      <c r="E274" s="2" t="str">
        <f>VLOOKUP(user_activity!A594,users_details!$A$1:$G$34,6,0)</f>
        <v>East Village, Manhattan</v>
      </c>
      <c r="F274" s="2" t="str">
        <f>VLOOKUP(user_activity!A594,users_details!$A$1:$G$34,7,0)</f>
        <v>East Village</v>
      </c>
      <c r="G274" s="2" t="s">
        <v>72</v>
      </c>
      <c r="H274" s="7">
        <v>42478</v>
      </c>
      <c r="I274" s="9" t="str">
        <f t="shared" si="20"/>
        <v>Monday</v>
      </c>
      <c r="J274" s="9" t="str">
        <f t="shared" si="21"/>
        <v>April</v>
      </c>
      <c r="K274" s="2">
        <v>5.9099998469999999</v>
      </c>
      <c r="L274" s="2">
        <v>5.9099998469999999</v>
      </c>
      <c r="M274" s="2">
        <v>0</v>
      </c>
      <c r="N274" s="2">
        <v>0.980000019</v>
      </c>
      <c r="O274" s="2">
        <v>0.93000000699999996</v>
      </c>
      <c r="P274" s="2">
        <v>4</v>
      </c>
      <c r="Q274" s="2">
        <v>0</v>
      </c>
      <c r="R274" s="2">
        <v>14</v>
      </c>
      <c r="S274" s="2">
        <v>15</v>
      </c>
      <c r="T274" s="2">
        <v>331</v>
      </c>
      <c r="U274" s="2">
        <f t="shared" si="22"/>
        <v>360</v>
      </c>
      <c r="V274" s="2">
        <v>1080</v>
      </c>
      <c r="W274" s="2">
        <v>8940</v>
      </c>
      <c r="X274" s="2">
        <f t="shared" si="23"/>
        <v>8940</v>
      </c>
      <c r="Y274" s="2">
        <v>2116</v>
      </c>
      <c r="Z274" t="str" cm="1">
        <f t="array" ref="Z274">_xlfn.IFS(OR(R274&gt;66, S274&gt;38), "High Engagement", OR(AND(R274&gt;32, R274&lt;=66), AND(S274&gt;19, S274&lt;=38)), "Medium-High Engagement", OR(AND(R274&gt;4, R274&lt;=32), AND(S274&gt;6, S274&lt;=19)),"Medium Engagement", TRUE, "Low Engagement"
)</f>
        <v>Medium Engagement</v>
      </c>
      <c r="AA274">
        <f t="shared" si="24"/>
        <v>0.23668903803131991</v>
      </c>
    </row>
    <row r="275" spans="1:27" x14ac:dyDescent="0.35">
      <c r="A275" s="2">
        <v>4558609924</v>
      </c>
      <c r="B275" s="2" t="s">
        <v>83</v>
      </c>
      <c r="C275" s="2">
        <f>VLOOKUP(user_activity!A614,users_details!$A$1:$G$34,5,0)</f>
        <v>41</v>
      </c>
      <c r="D275" s="2" t="str" cm="1">
        <f t="array" ref="D275">_xlfn.IFS( AND(C275&gt;=18, C275&lt;=25), "Emerging Adults",  AND(C275&gt;=26, C275&lt;=35),  "Young Adults",  AND(C275&gt;=36, C275&lt;=45),  "Midlife Adults",  AND(C275&gt;=46, C275&lt;=55), "Mature Adults", C275&gt;=56,  "Older Adults", TRUE, "Age Not Mentioned")</f>
        <v>Midlife Adults</v>
      </c>
      <c r="E275" s="2" t="str">
        <f>VLOOKUP(user_activity!A614,users_details!$A$1:$G$34,6,0)</f>
        <v>East Harlem, Manhattan</v>
      </c>
      <c r="F275" s="2" t="str">
        <f>VLOOKUP(user_activity!A614,users_details!$A$1:$G$34,7,0)</f>
        <v>East Harlem</v>
      </c>
      <c r="G275" s="2" t="s">
        <v>72</v>
      </c>
      <c r="H275" s="7">
        <v>42679</v>
      </c>
      <c r="I275" s="9" t="str">
        <f t="shared" si="20"/>
        <v>Saturday</v>
      </c>
      <c r="J275" s="9" t="str">
        <f t="shared" si="21"/>
        <v>November</v>
      </c>
      <c r="K275" s="2">
        <v>6.0199999809999998</v>
      </c>
      <c r="L275" s="2">
        <v>6.0199999809999998</v>
      </c>
      <c r="M275" s="2">
        <v>0</v>
      </c>
      <c r="N275" s="2">
        <v>0.25999999000000001</v>
      </c>
      <c r="O275" s="2">
        <v>1.8200000519999999</v>
      </c>
      <c r="P275" s="2">
        <v>3.9400000569999998</v>
      </c>
      <c r="Q275" s="2">
        <v>0</v>
      </c>
      <c r="R275" s="2">
        <v>4</v>
      </c>
      <c r="S275" s="2">
        <v>31</v>
      </c>
      <c r="T275" s="2">
        <v>324</v>
      </c>
      <c r="U275" s="2">
        <f t="shared" si="22"/>
        <v>359</v>
      </c>
      <c r="V275" s="2">
        <v>1081</v>
      </c>
      <c r="W275" s="2">
        <v>9108</v>
      </c>
      <c r="X275" s="2">
        <f t="shared" si="23"/>
        <v>9108</v>
      </c>
      <c r="Y275" s="2">
        <v>2131</v>
      </c>
      <c r="Z275" t="str" cm="1">
        <f t="array" ref="Z275">_xlfn.IFS(OR(R275&gt;66, S275&gt;38), "High Engagement", OR(AND(R275&gt;32, R275&lt;=66), AND(S275&gt;19, S275&lt;=38)), "Medium-High Engagement", OR(AND(R275&gt;4, R275&lt;=32), AND(S275&gt;6, S275&lt;=19)),"Medium Engagement", TRUE, "Low Engagement"
)</f>
        <v>Medium-High Engagement</v>
      </c>
      <c r="AA275">
        <f t="shared" si="24"/>
        <v>0.23397013614404918</v>
      </c>
    </row>
    <row r="276" spans="1:27" x14ac:dyDescent="0.35">
      <c r="A276" s="2">
        <v>1927972279</v>
      </c>
      <c r="B276" s="2" t="s">
        <v>75</v>
      </c>
      <c r="C276" s="2">
        <f>VLOOKUP(user_activity!A621,users_details!$A$1:$G$34,5,0)</f>
        <v>41</v>
      </c>
      <c r="D276" s="2" t="str" cm="1">
        <f t="array" ref="D276">_xlfn.IFS( AND(C276&gt;=18, C276&lt;=25), "Emerging Adults",  AND(C276&gt;=26, C276&lt;=35),  "Young Adults",  AND(C276&gt;=36, C276&lt;=45),  "Midlife Adults",  AND(C276&gt;=46, C276&lt;=55), "Mature Adults", C276&gt;=56,  "Older Adults", TRUE, "Age Not Mentioned")</f>
        <v>Midlife Adults</v>
      </c>
      <c r="E276" s="2" t="str">
        <f>VLOOKUP(user_activity!A621,users_details!$A$1:$G$34,6,0)</f>
        <v>East Harlem, Manhattan</v>
      </c>
      <c r="F276" s="2" t="str">
        <f>VLOOKUP(user_activity!A621,users_details!$A$1:$G$34,7,0)</f>
        <v>East Harlem</v>
      </c>
      <c r="G276" s="2" t="s">
        <v>71</v>
      </c>
      <c r="H276" s="7">
        <v>42679</v>
      </c>
      <c r="I276" s="9" t="str">
        <f t="shared" si="20"/>
        <v>Saturday</v>
      </c>
      <c r="J276" s="9" t="str">
        <f t="shared" si="21"/>
        <v>November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f t="shared" si="22"/>
        <v>0</v>
      </c>
      <c r="V276" s="2">
        <v>1440</v>
      </c>
      <c r="W276" s="2">
        <v>0</v>
      </c>
      <c r="X276" s="2">
        <f t="shared" si="23"/>
        <v>7405.5</v>
      </c>
      <c r="Y276" s="2">
        <v>2063</v>
      </c>
      <c r="Z276" t="str" cm="1">
        <f t="array" ref="Z276">_xlfn.IFS(OR(R276&gt;66, S276&gt;38), "High Engagement", OR(AND(R276&gt;32, R276&lt;=66), AND(S276&gt;19, S276&lt;=38)), "Medium-High Engagement", OR(AND(R276&gt;4, R276&lt;=32), AND(S276&gt;6, S276&lt;=19)),"Medium Engagement", TRUE, "Low Engagement"
)</f>
        <v>Low Engagement</v>
      </c>
      <c r="AA276">
        <f t="shared" si="24"/>
        <v>0</v>
      </c>
    </row>
    <row r="277" spans="1:27" x14ac:dyDescent="0.35">
      <c r="A277" s="2">
        <v>1927972279</v>
      </c>
      <c r="B277" s="2" t="s">
        <v>75</v>
      </c>
      <c r="C277" s="2">
        <f>VLOOKUP(user_activity!A636,users_details!$A$1:$G$34,5,0)</f>
        <v>41</v>
      </c>
      <c r="D277" s="2" t="str" cm="1">
        <f t="array" ref="D277">_xlfn.IFS( AND(C277&gt;=18, C277&lt;=25), "Emerging Adults",  AND(C277&gt;=26, C277&lt;=35),  "Young Adults",  AND(C277&gt;=36, C277&lt;=45),  "Midlife Adults",  AND(C277&gt;=46, C277&lt;=55), "Mature Adults", C277&gt;=56,  "Older Adults", TRUE, "Age Not Mentioned")</f>
        <v>Midlife Adults</v>
      </c>
      <c r="E277" s="2" t="str">
        <f>VLOOKUP(user_activity!A636,users_details!$A$1:$G$34,6,0)</f>
        <v>East Harlem, Manhattan</v>
      </c>
      <c r="F277" s="2" t="str">
        <f>VLOOKUP(user_activity!A636,users_details!$A$1:$G$34,7,0)</f>
        <v>East Harlem</v>
      </c>
      <c r="G277" s="2" t="s">
        <v>71</v>
      </c>
      <c r="H277" s="7">
        <v>42648</v>
      </c>
      <c r="I277" s="9" t="str">
        <f t="shared" si="20"/>
        <v>Wednesday</v>
      </c>
      <c r="J277" s="9" t="str">
        <f t="shared" si="21"/>
        <v>October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f t="shared" si="22"/>
        <v>0</v>
      </c>
      <c r="V277" s="2">
        <v>1440</v>
      </c>
      <c r="W277" s="2">
        <v>0</v>
      </c>
      <c r="X277" s="2">
        <f t="shared" si="23"/>
        <v>7405.5</v>
      </c>
      <c r="Y277" s="2">
        <v>2063</v>
      </c>
      <c r="Z277" t="str" cm="1">
        <f t="array" ref="Z277">_xlfn.IFS(OR(R277&gt;66, S277&gt;38), "High Engagement", OR(AND(R277&gt;32, R277&lt;=66), AND(S277&gt;19, S277&lt;=38)), "Medium-High Engagement", OR(AND(R277&gt;4, R277&lt;=32), AND(S277&gt;6, S277&lt;=19)),"Medium Engagement", TRUE, "Low Engagement"
)</f>
        <v>Low Engagement</v>
      </c>
      <c r="AA277">
        <f t="shared" si="24"/>
        <v>0</v>
      </c>
    </row>
    <row r="278" spans="1:27" x14ac:dyDescent="0.35">
      <c r="A278" s="2">
        <v>1927972279</v>
      </c>
      <c r="B278" s="2" t="s">
        <v>75</v>
      </c>
      <c r="C278" s="2">
        <f>VLOOKUP(user_activity!A657,users_details!$A$1:$G$34,5,0)</f>
        <v>45</v>
      </c>
      <c r="D278" s="2" t="str" cm="1">
        <f t="array" ref="D278">_xlfn.IFS( AND(C278&gt;=18, C278&lt;=25), "Emerging Adults",  AND(C278&gt;=26, C278&lt;=35),  "Young Adults",  AND(C278&gt;=36, C278&lt;=45),  "Midlife Adults",  AND(C278&gt;=46, C278&lt;=55), "Mature Adults", C278&gt;=56,  "Older Adults", TRUE, "Age Not Mentioned")</f>
        <v>Midlife Adults</v>
      </c>
      <c r="E278" s="2" t="str">
        <f>VLOOKUP(user_activity!A657,users_details!$A$1:$G$34,6,0)</f>
        <v>Harlem, Manhattan</v>
      </c>
      <c r="F278" s="2" t="str">
        <f>VLOOKUP(user_activity!A657,users_details!$A$1:$G$34,7,0)</f>
        <v>Harlem</v>
      </c>
      <c r="G278" s="2" t="s">
        <v>71</v>
      </c>
      <c r="H278" s="7">
        <v>42618</v>
      </c>
      <c r="I278" s="9" t="str">
        <f t="shared" si="20"/>
        <v>Monday</v>
      </c>
      <c r="J278" s="9" t="str">
        <f t="shared" si="21"/>
        <v>September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f t="shared" si="22"/>
        <v>0</v>
      </c>
      <c r="V278" s="2">
        <v>1440</v>
      </c>
      <c r="W278" s="2">
        <v>0</v>
      </c>
      <c r="X278" s="2">
        <f t="shared" si="23"/>
        <v>7405.5</v>
      </c>
      <c r="Y278" s="2">
        <v>2063</v>
      </c>
      <c r="Z278" t="str" cm="1">
        <f t="array" ref="Z278">_xlfn.IFS(OR(R278&gt;66, S278&gt;38), "High Engagement", OR(AND(R278&gt;32, R278&lt;=66), AND(S278&gt;19, S278&lt;=38)), "Medium-High Engagement", OR(AND(R278&gt;4, R278&lt;=32), AND(S278&gt;6, S278&lt;=19)),"Medium Engagement", TRUE, "Low Engagement"
)</f>
        <v>Low Engagement</v>
      </c>
      <c r="AA278">
        <f t="shared" si="24"/>
        <v>0</v>
      </c>
    </row>
    <row r="279" spans="1:27" x14ac:dyDescent="0.35">
      <c r="A279" s="2">
        <v>4558609924</v>
      </c>
      <c r="B279" s="2" t="s">
        <v>83</v>
      </c>
      <c r="C279" s="2">
        <f>VLOOKUP(user_activity!A663,users_details!$A$1:$G$34,5,0)</f>
        <v>45</v>
      </c>
      <c r="D279" s="2" t="str" cm="1">
        <f t="array" ref="D279">_xlfn.IFS( AND(C279&gt;=18, C279&lt;=25), "Emerging Adults",  AND(C279&gt;=26, C279&lt;=35),  "Young Adults",  AND(C279&gt;=36, C279&lt;=45),  "Midlife Adults",  AND(C279&gt;=46, C279&lt;=55), "Mature Adults", C279&gt;=56,  "Older Adults", TRUE, "Age Not Mentioned")</f>
        <v>Midlife Adults</v>
      </c>
      <c r="E279" s="2" t="str">
        <f>VLOOKUP(user_activity!A663,users_details!$A$1:$G$34,6,0)</f>
        <v>Harlem, Manhattan</v>
      </c>
      <c r="F279" s="2" t="str">
        <f>VLOOKUP(user_activity!A663,users_details!$A$1:$G$34,7,0)</f>
        <v>Harlem</v>
      </c>
      <c r="G279" s="2" t="s">
        <v>72</v>
      </c>
      <c r="H279" s="7">
        <v>42486</v>
      </c>
      <c r="I279" s="9" t="str">
        <f t="shared" si="20"/>
        <v>Tuesday</v>
      </c>
      <c r="J279" s="9" t="str">
        <f t="shared" si="21"/>
        <v>April</v>
      </c>
      <c r="K279" s="2">
        <v>6.0500001909999996</v>
      </c>
      <c r="L279" s="2">
        <v>6.0500001909999996</v>
      </c>
      <c r="M279" s="2">
        <v>0</v>
      </c>
      <c r="N279" s="2">
        <v>0.43000000700000002</v>
      </c>
      <c r="O279" s="2">
        <v>2.0299999710000001</v>
      </c>
      <c r="P279" s="2">
        <v>3.5899999139999998</v>
      </c>
      <c r="Q279" s="2">
        <v>0</v>
      </c>
      <c r="R279" s="2">
        <v>12</v>
      </c>
      <c r="S279" s="2">
        <v>41</v>
      </c>
      <c r="T279" s="2">
        <v>283</v>
      </c>
      <c r="U279" s="2">
        <f t="shared" si="22"/>
        <v>336</v>
      </c>
      <c r="V279" s="2">
        <v>1062</v>
      </c>
      <c r="W279" s="2">
        <v>9148</v>
      </c>
      <c r="X279" s="2">
        <f t="shared" si="23"/>
        <v>9148</v>
      </c>
      <c r="Y279" s="2">
        <v>2223</v>
      </c>
      <c r="Z279" t="str" cm="1">
        <f t="array" ref="Z279">_xlfn.IFS(OR(R279&gt;66, S279&gt;38), "High Engagement", OR(AND(R279&gt;32, R279&lt;=66), AND(S279&gt;19, S279&lt;=38)), "Medium-High Engagement", OR(AND(R279&gt;4, R279&lt;=32), AND(S279&gt;6, S279&lt;=19)),"Medium Engagement", TRUE, "Low Engagement"
)</f>
        <v>High Engagement</v>
      </c>
      <c r="AA279">
        <f t="shared" si="24"/>
        <v>0.24300393528640141</v>
      </c>
    </row>
    <row r="280" spans="1:27" x14ac:dyDescent="0.35">
      <c r="A280" s="2">
        <v>1927972279</v>
      </c>
      <c r="B280" s="2" t="s">
        <v>75</v>
      </c>
      <c r="C280" s="2">
        <f>VLOOKUP(user_activity!A664,users_details!$A$1:$G$34,5,0)</f>
        <v>45</v>
      </c>
      <c r="D280" s="2" t="str" cm="1">
        <f t="array" ref="D280">_xlfn.IFS( AND(C280&gt;=18, C280&lt;=25), "Emerging Adults",  AND(C280&gt;=26, C280&lt;=35),  "Young Adults",  AND(C280&gt;=36, C280&lt;=45),  "Midlife Adults",  AND(C280&gt;=46, C280&lt;=55), "Mature Adults", C280&gt;=56,  "Older Adults", TRUE, "Age Not Mentioned")</f>
        <v>Midlife Adults</v>
      </c>
      <c r="E280" s="2" t="str">
        <f>VLOOKUP(user_activity!A664,users_details!$A$1:$G$34,6,0)</f>
        <v>Harlem, Manhattan</v>
      </c>
      <c r="F280" s="2" t="str">
        <f>VLOOKUP(user_activity!A664,users_details!$A$1:$G$34,7,0)</f>
        <v>Harlem</v>
      </c>
      <c r="G280" s="2" t="s">
        <v>71</v>
      </c>
      <c r="H280" s="7">
        <v>42526</v>
      </c>
      <c r="I280" s="9" t="str">
        <f t="shared" si="20"/>
        <v>Sunday</v>
      </c>
      <c r="J280" s="9" t="str">
        <f t="shared" si="21"/>
        <v>June</v>
      </c>
      <c r="K280" s="2">
        <v>1.4500000479999999</v>
      </c>
      <c r="L280" s="2">
        <v>1.4500000479999999</v>
      </c>
      <c r="M280" s="2">
        <v>0</v>
      </c>
      <c r="N280" s="2">
        <v>0</v>
      </c>
      <c r="O280" s="2">
        <v>0</v>
      </c>
      <c r="P280" s="2">
        <v>1.4500000479999999</v>
      </c>
      <c r="Q280" s="2">
        <v>0</v>
      </c>
      <c r="R280" s="2">
        <v>0</v>
      </c>
      <c r="S280" s="2">
        <v>0</v>
      </c>
      <c r="T280" s="2">
        <v>108</v>
      </c>
      <c r="U280" s="2">
        <f t="shared" si="22"/>
        <v>108</v>
      </c>
      <c r="V280" s="2">
        <v>1332</v>
      </c>
      <c r="W280" s="2">
        <v>2091</v>
      </c>
      <c r="X280" s="2">
        <f t="shared" si="23"/>
        <v>2091</v>
      </c>
      <c r="Y280" s="2">
        <v>2383</v>
      </c>
      <c r="Z280" t="str" cm="1">
        <f t="array" ref="Z280">_xlfn.IFS(OR(R280&gt;66, S280&gt;38), "High Engagement", OR(AND(R280&gt;32, R280&lt;=66), AND(S280&gt;19, S280&lt;=38)), "Medium-High Engagement", OR(AND(R280&gt;4, R280&lt;=32), AND(S280&gt;6, S280&lt;=19)),"Medium Engagement", TRUE, "Low Engagement"
)</f>
        <v>Low Engagement</v>
      </c>
      <c r="AA280">
        <f t="shared" si="24"/>
        <v>1.1396461023433764</v>
      </c>
    </row>
    <row r="281" spans="1:27" x14ac:dyDescent="0.35">
      <c r="A281" s="2">
        <v>1927972279</v>
      </c>
      <c r="B281" s="2" t="s">
        <v>75</v>
      </c>
      <c r="C281" s="2">
        <f>VLOOKUP(user_activity!A665,users_details!$A$1:$G$34,5,0)</f>
        <v>45</v>
      </c>
      <c r="D281" s="2" t="str" cm="1">
        <f t="array" ref="D281">_xlfn.IFS( AND(C281&gt;=18, C281&lt;=25), "Emerging Adults",  AND(C281&gt;=26, C281&lt;=35),  "Young Adults",  AND(C281&gt;=36, C281&lt;=45),  "Midlife Adults",  AND(C281&gt;=46, C281&lt;=55), "Mature Adults", C281&gt;=56,  "Older Adults", TRUE, "Age Not Mentioned")</f>
        <v>Midlife Adults</v>
      </c>
      <c r="E281" s="2" t="str">
        <f>VLOOKUP(user_activity!A665,users_details!$A$1:$G$34,6,0)</f>
        <v>Harlem, Manhattan</v>
      </c>
      <c r="F281" s="2" t="str">
        <f>VLOOKUP(user_activity!A665,users_details!$A$1:$G$34,7,0)</f>
        <v>Harlem</v>
      </c>
      <c r="G281" s="2" t="s">
        <v>71</v>
      </c>
      <c r="H281" s="7">
        <v>42495</v>
      </c>
      <c r="I281" s="9" t="str">
        <f t="shared" si="20"/>
        <v>Thursday</v>
      </c>
      <c r="J281" s="9" t="str">
        <f t="shared" si="21"/>
        <v>May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f t="shared" si="22"/>
        <v>0</v>
      </c>
      <c r="V281" s="2">
        <v>1440</v>
      </c>
      <c r="W281" s="2">
        <v>0</v>
      </c>
      <c r="X281" s="2">
        <f t="shared" si="23"/>
        <v>7405.5</v>
      </c>
      <c r="Y281" s="2">
        <v>2063</v>
      </c>
      <c r="Z281" t="str" cm="1">
        <f t="array" ref="Z281">_xlfn.IFS(OR(R281&gt;66, S281&gt;38), "High Engagement", OR(AND(R281&gt;32, R281&lt;=66), AND(S281&gt;19, S281&lt;=38)), "Medium-High Engagement", OR(AND(R281&gt;4, R281&lt;=32), AND(S281&gt;6, S281&lt;=19)),"Medium Engagement", TRUE, "Low Engagement"
)</f>
        <v>Low Engagement</v>
      </c>
      <c r="AA281">
        <f t="shared" si="24"/>
        <v>0</v>
      </c>
    </row>
    <row r="282" spans="1:27" x14ac:dyDescent="0.35">
      <c r="A282" s="2">
        <v>1927972279</v>
      </c>
      <c r="B282" s="2" t="s">
        <v>75</v>
      </c>
      <c r="C282" s="2">
        <f>VLOOKUP(user_activity!A674,users_details!$A$1:$G$34,5,0)</f>
        <v>49</v>
      </c>
      <c r="D282" s="2" t="str" cm="1">
        <f t="array" ref="D282">_xlfn.IFS( AND(C282&gt;=18, C282&lt;=25), "Emerging Adults",  AND(C282&gt;=26, C282&lt;=35),  "Young Adults",  AND(C282&gt;=36, C282&lt;=45),  "Midlife Adults",  AND(C282&gt;=46, C282&lt;=55), "Mature Adults", C282&gt;=56,  "Older Adults", TRUE, "Age Not Mentioned")</f>
        <v>Mature Adults</v>
      </c>
      <c r="E282" s="2" t="str">
        <f>VLOOKUP(user_activity!A674,users_details!$A$1:$G$34,6,0)</f>
        <v>Upper West Side, Manhattan</v>
      </c>
      <c r="F282" s="2" t="str">
        <f>VLOOKUP(user_activity!A674,users_details!$A$1:$G$34,7,0)</f>
        <v>Upper West Side</v>
      </c>
      <c r="G282" s="2" t="s">
        <v>71</v>
      </c>
      <c r="H282" s="7">
        <v>42708</v>
      </c>
      <c r="I282" s="9" t="str">
        <f t="shared" si="20"/>
        <v>Sunday</v>
      </c>
      <c r="J282" s="9" t="str">
        <f t="shared" si="21"/>
        <v>December</v>
      </c>
      <c r="K282" s="2">
        <v>0.469999999</v>
      </c>
      <c r="L282" s="2">
        <v>0.469999999</v>
      </c>
      <c r="M282" s="2">
        <v>0</v>
      </c>
      <c r="N282" s="2">
        <v>0</v>
      </c>
      <c r="O282" s="2">
        <v>0</v>
      </c>
      <c r="P282" s="2">
        <v>0.469999999</v>
      </c>
      <c r="Q282" s="2">
        <v>0</v>
      </c>
      <c r="R282" s="2">
        <v>0</v>
      </c>
      <c r="S282" s="2">
        <v>0</v>
      </c>
      <c r="T282" s="2">
        <v>55</v>
      </c>
      <c r="U282" s="2">
        <f t="shared" si="22"/>
        <v>55</v>
      </c>
      <c r="V282" s="2">
        <v>734</v>
      </c>
      <c r="W282" s="2">
        <v>678</v>
      </c>
      <c r="X282" s="2">
        <f t="shared" si="23"/>
        <v>678</v>
      </c>
      <c r="Y282" s="2">
        <v>2220</v>
      </c>
      <c r="Z282" t="str" cm="1">
        <f t="array" ref="Z282">_xlfn.IFS(OR(R282&gt;66, S282&gt;38), "High Engagement", OR(AND(R282&gt;32, R282&lt;=66), AND(S282&gt;19, S282&lt;=38)), "Medium-High Engagement", OR(AND(R282&gt;4, R282&lt;=32), AND(S282&gt;6, S282&lt;=19)),"Medium Engagement", TRUE, "Low Engagement"
)</f>
        <v>Low Engagement</v>
      </c>
      <c r="AA282">
        <f t="shared" si="24"/>
        <v>3.2743362831858409</v>
      </c>
    </row>
    <row r="283" spans="1:27" x14ac:dyDescent="0.35">
      <c r="A283" s="2">
        <v>1927972279</v>
      </c>
      <c r="B283" s="2" t="s">
        <v>75</v>
      </c>
      <c r="C283" s="2">
        <f>VLOOKUP(user_activity!A677,users_details!$A$1:$G$34,5,0)</f>
        <v>49</v>
      </c>
      <c r="D283" s="2" t="str" cm="1">
        <f t="array" ref="D283">_xlfn.IFS( AND(C283&gt;=18, C283&lt;=25), "Emerging Adults",  AND(C283&gt;=26, C283&lt;=35),  "Young Adults",  AND(C283&gt;=36, C283&lt;=45),  "Midlife Adults",  AND(C283&gt;=46, C283&lt;=55), "Mature Adults", C283&gt;=56,  "Older Adults", TRUE, "Age Not Mentioned")</f>
        <v>Mature Adults</v>
      </c>
      <c r="E283" s="2" t="str">
        <f>VLOOKUP(user_activity!A677,users_details!$A$1:$G$34,6,0)</f>
        <v>Upper West Side, Manhattan</v>
      </c>
      <c r="F283" s="2" t="str">
        <f>VLOOKUP(user_activity!A677,users_details!$A$1:$G$34,7,0)</f>
        <v>Upper West Side</v>
      </c>
      <c r="G283" s="2" t="s">
        <v>71</v>
      </c>
      <c r="H283" s="7">
        <v>42405</v>
      </c>
      <c r="I283" s="9" t="str">
        <f t="shared" si="20"/>
        <v>Friday</v>
      </c>
      <c r="J283" s="9" t="str">
        <f t="shared" si="21"/>
        <v>February</v>
      </c>
      <c r="K283" s="2">
        <v>2.619999886</v>
      </c>
      <c r="L283" s="2">
        <v>2.619999886</v>
      </c>
      <c r="M283" s="2">
        <v>0</v>
      </c>
      <c r="N283" s="2">
        <v>1.1599999670000001</v>
      </c>
      <c r="O283" s="2">
        <v>0.30000001199999998</v>
      </c>
      <c r="P283" s="2">
        <v>1.1599999670000001</v>
      </c>
      <c r="Q283" s="2">
        <v>0</v>
      </c>
      <c r="R283" s="2">
        <v>16</v>
      </c>
      <c r="S283" s="2">
        <v>8</v>
      </c>
      <c r="T283" s="2">
        <v>94</v>
      </c>
      <c r="U283" s="2">
        <f t="shared" si="22"/>
        <v>118</v>
      </c>
      <c r="V283" s="2">
        <v>1322</v>
      </c>
      <c r="W283" s="2">
        <v>3790</v>
      </c>
      <c r="X283" s="2">
        <f t="shared" si="23"/>
        <v>3790</v>
      </c>
      <c r="Y283" s="2">
        <v>2505</v>
      </c>
      <c r="Z283" t="str" cm="1">
        <f t="array" ref="Z283">_xlfn.IFS(OR(R283&gt;66, S283&gt;38), "High Engagement", OR(AND(R283&gt;32, R283&lt;=66), AND(S283&gt;19, S283&lt;=38)), "Medium-High Engagement", OR(AND(R283&gt;4, R283&lt;=32), AND(S283&gt;6, S283&lt;=19)),"Medium Engagement", TRUE, "Low Engagement"
)</f>
        <v>Medium Engagement</v>
      </c>
      <c r="AA283">
        <f t="shared" si="24"/>
        <v>0.66094986807387868</v>
      </c>
    </row>
    <row r="284" spans="1:27" x14ac:dyDescent="0.35">
      <c r="A284" s="2">
        <v>1927972279</v>
      </c>
      <c r="B284" s="2" t="s">
        <v>75</v>
      </c>
      <c r="C284" s="2">
        <f>VLOOKUP(user_activity!A693,users_details!$A$1:$G$34,5,0)</f>
        <v>49</v>
      </c>
      <c r="D284" s="2" t="str" cm="1">
        <f t="array" ref="D284">_xlfn.IFS( AND(C284&gt;=18, C284&lt;=25), "Emerging Adults",  AND(C284&gt;=26, C284&lt;=35),  "Young Adults",  AND(C284&gt;=36, C284&lt;=45),  "Midlife Adults",  AND(C284&gt;=46, C284&lt;=55), "Mature Adults", C284&gt;=56,  "Older Adults", TRUE, "Age Not Mentioned")</f>
        <v>Mature Adults</v>
      </c>
      <c r="E284" s="2" t="str">
        <f>VLOOKUP(user_activity!A693,users_details!$A$1:$G$34,6,0)</f>
        <v>Upper West Side, Manhattan</v>
      </c>
      <c r="F284" s="2" t="str">
        <f>VLOOKUP(user_activity!A693,users_details!$A$1:$G$34,7,0)</f>
        <v>Upper West Side</v>
      </c>
      <c r="G284" s="2" t="s">
        <v>71</v>
      </c>
      <c r="H284" s="7">
        <v>42478</v>
      </c>
      <c r="I284" s="9" t="str">
        <f t="shared" si="20"/>
        <v>Monday</v>
      </c>
      <c r="J284" s="9" t="str">
        <f t="shared" si="21"/>
        <v>April</v>
      </c>
      <c r="K284" s="2">
        <v>0.17000000200000001</v>
      </c>
      <c r="L284" s="2">
        <v>0.17000000200000001</v>
      </c>
      <c r="M284" s="2">
        <v>0</v>
      </c>
      <c r="N284" s="2">
        <v>0</v>
      </c>
      <c r="O284" s="2">
        <v>0</v>
      </c>
      <c r="P284" s="2">
        <v>0.17000000200000001</v>
      </c>
      <c r="Q284" s="2">
        <v>0</v>
      </c>
      <c r="R284" s="2">
        <v>0</v>
      </c>
      <c r="S284" s="2">
        <v>0</v>
      </c>
      <c r="T284" s="2">
        <v>17</v>
      </c>
      <c r="U284" s="2">
        <f t="shared" si="22"/>
        <v>17</v>
      </c>
      <c r="V284" s="2">
        <v>1423</v>
      </c>
      <c r="W284" s="2">
        <v>244</v>
      </c>
      <c r="X284" s="2">
        <f t="shared" si="23"/>
        <v>244</v>
      </c>
      <c r="Y284" s="2">
        <v>2111</v>
      </c>
      <c r="Z284" t="str" cm="1">
        <f t="array" ref="Z284">_xlfn.IFS(OR(R284&gt;66, S284&gt;38), "High Engagement", OR(AND(R284&gt;32, R284&lt;=66), AND(S284&gt;19, S284&lt;=38)), "Medium-High Engagement", OR(AND(R284&gt;4, R284&lt;=32), AND(S284&gt;6, S284&lt;=19)),"Medium Engagement", TRUE, "Low Engagement"
)</f>
        <v>Low Engagement</v>
      </c>
      <c r="AA284">
        <f t="shared" si="24"/>
        <v>8.6516393442622945</v>
      </c>
    </row>
    <row r="285" spans="1:27" x14ac:dyDescent="0.35">
      <c r="A285" s="2">
        <v>4558609924</v>
      </c>
      <c r="B285" s="2" t="s">
        <v>83</v>
      </c>
      <c r="C285" s="2">
        <f>VLOOKUP(user_activity!A714,users_details!$A$1:$G$34,5,0)</f>
        <v>53</v>
      </c>
      <c r="D285" s="2" t="str" cm="1">
        <f t="array" ref="D285">_xlfn.IFS( AND(C285&gt;=18, C285&lt;=25), "Emerging Adults",  AND(C285&gt;=26, C285&lt;=35),  "Young Adults",  AND(C285&gt;=36, C285&lt;=45),  "Midlife Adults",  AND(C285&gt;=46, C285&lt;=55), "Mature Adults", C285&gt;=56,  "Older Adults", TRUE, "Age Not Mentioned")</f>
        <v>Mature Adults</v>
      </c>
      <c r="E285" s="2" t="str">
        <f>VLOOKUP(user_activity!A714,users_details!$A$1:$G$34,6,0)</f>
        <v>Williamsburg, Brooklyn</v>
      </c>
      <c r="F285" s="2" t="str">
        <f>VLOOKUP(user_activity!A714,users_details!$A$1:$G$34,7,0)</f>
        <v>Williamsburg</v>
      </c>
      <c r="G285" s="2" t="s">
        <v>72</v>
      </c>
      <c r="H285" s="7">
        <v>42465</v>
      </c>
      <c r="I285" s="9" t="str">
        <f t="shared" si="20"/>
        <v>Tuesday</v>
      </c>
      <c r="J285" s="9" t="str">
        <f t="shared" si="21"/>
        <v>April</v>
      </c>
      <c r="K285" s="2">
        <v>3.460000038</v>
      </c>
      <c r="L285" s="2">
        <v>3.460000038</v>
      </c>
      <c r="M285" s="2">
        <v>0</v>
      </c>
      <c r="N285" s="2">
        <v>0</v>
      </c>
      <c r="O285" s="2">
        <v>0</v>
      </c>
      <c r="P285" s="2">
        <v>3.460000038</v>
      </c>
      <c r="Q285" s="2">
        <v>0</v>
      </c>
      <c r="R285" s="2">
        <v>0</v>
      </c>
      <c r="S285" s="2">
        <v>0</v>
      </c>
      <c r="T285" s="2">
        <v>252</v>
      </c>
      <c r="U285" s="2">
        <f t="shared" si="22"/>
        <v>252</v>
      </c>
      <c r="V285" s="2">
        <v>1188</v>
      </c>
      <c r="W285" s="2">
        <v>5232</v>
      </c>
      <c r="X285" s="2">
        <f t="shared" si="23"/>
        <v>5232</v>
      </c>
      <c r="Y285" s="2">
        <v>1842</v>
      </c>
      <c r="Z285" t="str" cm="1">
        <f t="array" ref="Z285">_xlfn.IFS(OR(R285&gt;66, S285&gt;38), "High Engagement", OR(AND(R285&gt;32, R285&lt;=66), AND(S285&gt;19, S285&lt;=38)), "Medium-High Engagement", OR(AND(R285&gt;4, R285&lt;=32), AND(S285&gt;6, S285&lt;=19)),"Medium Engagement", TRUE, "Low Engagement"
)</f>
        <v>Low Engagement</v>
      </c>
      <c r="AA285">
        <f t="shared" si="24"/>
        <v>0.35206422018348627</v>
      </c>
    </row>
    <row r="286" spans="1:27" x14ac:dyDescent="0.35">
      <c r="A286" s="2">
        <v>4558609924</v>
      </c>
      <c r="B286" s="2" t="s">
        <v>83</v>
      </c>
      <c r="C286" s="2">
        <f>VLOOKUP(user_activity!A798,users_details!$A$1:$G$34,5,0)</f>
        <v>54</v>
      </c>
      <c r="D286" s="2" t="str" cm="1">
        <f t="array" ref="D286">_xlfn.IFS( AND(C286&gt;=18, C286&lt;=25), "Emerging Adults",  AND(C286&gt;=26, C286&lt;=35),  "Young Adults",  AND(C286&gt;=36, C286&lt;=45),  "Midlife Adults",  AND(C286&gt;=46, C286&lt;=55), "Mature Adults", C286&gt;=56,  "Older Adults", TRUE, "Age Not Mentioned")</f>
        <v>Mature Adults</v>
      </c>
      <c r="E286" s="2" t="str">
        <f>VLOOKUP(user_activity!A798,users_details!$A$1:$G$34,6,0)</f>
        <v>Crown Heights, Brooklyn</v>
      </c>
      <c r="F286" s="2" t="str">
        <f>VLOOKUP(user_activity!A798,users_details!$A$1:$G$34,7,0)</f>
        <v>Crown Heights</v>
      </c>
      <c r="G286" s="2" t="s">
        <v>72</v>
      </c>
      <c r="H286" s="7">
        <v>42648</v>
      </c>
      <c r="I286" s="9" t="str">
        <f t="shared" si="20"/>
        <v>Wednesday</v>
      </c>
      <c r="J286" s="9" t="str">
        <f t="shared" si="21"/>
        <v>October</v>
      </c>
      <c r="K286" s="2">
        <v>4.25</v>
      </c>
      <c r="L286" s="2">
        <v>4.25</v>
      </c>
      <c r="M286" s="2">
        <v>0</v>
      </c>
      <c r="N286" s="2">
        <v>0.74000001000000004</v>
      </c>
      <c r="O286" s="2">
        <v>1.1200000050000001</v>
      </c>
      <c r="P286" s="2">
        <v>2.3900001049999999</v>
      </c>
      <c r="Q286" s="2">
        <v>0</v>
      </c>
      <c r="R286" s="2">
        <v>11</v>
      </c>
      <c r="S286" s="2">
        <v>18</v>
      </c>
      <c r="T286" s="2">
        <v>220</v>
      </c>
      <c r="U286" s="2">
        <f t="shared" si="22"/>
        <v>249</v>
      </c>
      <c r="V286" s="2">
        <v>1191</v>
      </c>
      <c r="W286" s="2">
        <v>6435</v>
      </c>
      <c r="X286" s="2">
        <f t="shared" si="23"/>
        <v>6435</v>
      </c>
      <c r="Y286" s="2">
        <v>1889</v>
      </c>
      <c r="Z286" t="str" cm="1">
        <f t="array" ref="Z286">_xlfn.IFS(OR(R286&gt;66, S286&gt;38), "High Engagement", OR(AND(R286&gt;32, R286&lt;=66), AND(S286&gt;19, S286&lt;=38)), "Medium-High Engagement", OR(AND(R286&gt;4, R286&lt;=32), AND(S286&gt;6, S286&lt;=19)),"Medium Engagement", TRUE, "Low Engagement"
)</f>
        <v>Medium Engagement</v>
      </c>
      <c r="AA286">
        <f t="shared" si="24"/>
        <v>0.29355089355089353</v>
      </c>
    </row>
    <row r="287" spans="1:27" x14ac:dyDescent="0.35">
      <c r="A287" s="2">
        <v>1927972279</v>
      </c>
      <c r="B287" s="2" t="s">
        <v>75</v>
      </c>
      <c r="C287" s="2">
        <f>VLOOKUP(user_activity!A803,users_details!$A$1:$G$34,5,0)</f>
        <v>54</v>
      </c>
      <c r="D287" s="2" t="str" cm="1">
        <f t="array" ref="D287">_xlfn.IFS( AND(C287&gt;=18, C287&lt;=25), "Emerging Adults",  AND(C287&gt;=26, C287&lt;=35),  "Young Adults",  AND(C287&gt;=36, C287&lt;=45),  "Midlife Adults",  AND(C287&gt;=46, C287&lt;=55), "Mature Adults", C287&gt;=56,  "Older Adults", TRUE, "Age Not Mentioned")</f>
        <v>Mature Adults</v>
      </c>
      <c r="E287" s="2" t="str">
        <f>VLOOKUP(user_activity!A803,users_details!$A$1:$G$34,6,0)</f>
        <v>Crown Heights, Brooklyn</v>
      </c>
      <c r="F287" s="2" t="str">
        <f>VLOOKUP(user_activity!A803,users_details!$A$1:$G$34,7,0)</f>
        <v>Crown Heights</v>
      </c>
      <c r="G287" s="2" t="s">
        <v>71</v>
      </c>
      <c r="H287" s="7">
        <v>42483</v>
      </c>
      <c r="I287" s="9" t="str">
        <f t="shared" si="20"/>
        <v>Saturday</v>
      </c>
      <c r="J287" s="9" t="str">
        <f t="shared" si="21"/>
        <v>April</v>
      </c>
      <c r="K287" s="2">
        <v>2.039999962</v>
      </c>
      <c r="L287" s="2">
        <v>2.039999962</v>
      </c>
      <c r="M287" s="2">
        <v>0</v>
      </c>
      <c r="N287" s="2">
        <v>0</v>
      </c>
      <c r="O287" s="2">
        <v>0</v>
      </c>
      <c r="P287" s="2">
        <v>2.039999962</v>
      </c>
      <c r="Q287" s="2">
        <v>0</v>
      </c>
      <c r="R287" s="2">
        <v>0</v>
      </c>
      <c r="S287" s="2">
        <v>0</v>
      </c>
      <c r="T287" s="2">
        <v>145</v>
      </c>
      <c r="U287" s="2">
        <f t="shared" si="22"/>
        <v>145</v>
      </c>
      <c r="V287" s="2">
        <v>1295</v>
      </c>
      <c r="W287" s="2">
        <v>2945</v>
      </c>
      <c r="X287" s="2">
        <f t="shared" si="23"/>
        <v>2945</v>
      </c>
      <c r="Y287" s="2">
        <v>2499</v>
      </c>
      <c r="Z287" t="str" cm="1">
        <f t="array" ref="Z287">_xlfn.IFS(OR(R287&gt;66, S287&gt;38), "High Engagement", OR(AND(R287&gt;32, R287&lt;=66), AND(S287&gt;19, S287&lt;=38)), "Medium-High Engagement", OR(AND(R287&gt;4, R287&lt;=32), AND(S287&gt;6, S287&lt;=19)),"Medium Engagement", TRUE, "Low Engagement"
)</f>
        <v>Low Engagement</v>
      </c>
      <c r="AA287">
        <f t="shared" si="24"/>
        <v>0.84855687606112051</v>
      </c>
    </row>
    <row r="288" spans="1:27" x14ac:dyDescent="0.35">
      <c r="A288" s="2">
        <v>4558609924</v>
      </c>
      <c r="B288" s="2" t="s">
        <v>83</v>
      </c>
      <c r="C288" s="2">
        <f>VLOOKUP(user_activity!A807,users_details!$A$1:$G$34,5,0)</f>
        <v>54</v>
      </c>
      <c r="D288" s="2" t="str" cm="1">
        <f t="array" ref="D288">_xlfn.IFS( AND(C288&gt;=18, C288&lt;=25), "Emerging Adults",  AND(C288&gt;=26, C288&lt;=35),  "Young Adults",  AND(C288&gt;=36, C288&lt;=45),  "Midlife Adults",  AND(C288&gt;=46, C288&lt;=55), "Mature Adults", C288&gt;=56,  "Older Adults", TRUE, "Age Not Mentioned")</f>
        <v>Mature Adults</v>
      </c>
      <c r="E288" s="2" t="str">
        <f>VLOOKUP(user_activity!A807,users_details!$A$1:$G$34,6,0)</f>
        <v>Crown Heights, Brooklyn</v>
      </c>
      <c r="F288" s="2" t="str">
        <f>VLOOKUP(user_activity!A807,users_details!$A$1:$G$34,7,0)</f>
        <v>Crown Heights</v>
      </c>
      <c r="G288" s="2" t="s">
        <v>72</v>
      </c>
      <c r="H288" s="7">
        <v>42487</v>
      </c>
      <c r="I288" s="9" t="str">
        <f t="shared" si="20"/>
        <v>Wednesday</v>
      </c>
      <c r="J288" s="9" t="str">
        <f t="shared" si="21"/>
        <v>April</v>
      </c>
      <c r="K288" s="2">
        <v>6.3200001720000003</v>
      </c>
      <c r="L288" s="2">
        <v>6.3200001720000003</v>
      </c>
      <c r="M288" s="2">
        <v>0</v>
      </c>
      <c r="N288" s="2">
        <v>1.960000038</v>
      </c>
      <c r="O288" s="2">
        <v>0.88999998599999997</v>
      </c>
      <c r="P288" s="2">
        <v>3.460000038</v>
      </c>
      <c r="Q288" s="2">
        <v>0</v>
      </c>
      <c r="R288" s="2">
        <v>27</v>
      </c>
      <c r="S288" s="2">
        <v>14</v>
      </c>
      <c r="T288" s="2">
        <v>312</v>
      </c>
      <c r="U288" s="2">
        <f t="shared" si="22"/>
        <v>353</v>
      </c>
      <c r="V288" s="2">
        <v>1087</v>
      </c>
      <c r="W288" s="2">
        <v>9557</v>
      </c>
      <c r="X288" s="2">
        <f t="shared" si="23"/>
        <v>9557</v>
      </c>
      <c r="Y288" s="2">
        <v>2098</v>
      </c>
      <c r="Z288" t="str" cm="1">
        <f t="array" ref="Z288">_xlfn.IFS(OR(R288&gt;66, S288&gt;38), "High Engagement", OR(AND(R288&gt;32, R288&lt;=66), AND(S288&gt;19, S288&lt;=38)), "Medium-High Engagement", OR(AND(R288&gt;4, R288&lt;=32), AND(S288&gt;6, S288&lt;=19)),"Medium Engagement", TRUE, "Low Engagement"
)</f>
        <v>Medium Engagement</v>
      </c>
      <c r="AA288">
        <f t="shared" si="24"/>
        <v>0.21952495552997803</v>
      </c>
    </row>
    <row r="289" spans="1:27" x14ac:dyDescent="0.35">
      <c r="A289" s="2">
        <v>4558609924</v>
      </c>
      <c r="B289" s="2" t="s">
        <v>83</v>
      </c>
      <c r="C289" s="2">
        <f>VLOOKUP(user_activity!A815,users_details!$A$1:$G$34,5,0)</f>
        <v>54</v>
      </c>
      <c r="D289" s="2" t="str" cm="1">
        <f t="array" ref="D289">_xlfn.IFS( AND(C289&gt;=18, C289&lt;=25), "Emerging Adults",  AND(C289&gt;=26, C289&lt;=35),  "Young Adults",  AND(C289&gt;=36, C289&lt;=45),  "Midlife Adults",  AND(C289&gt;=46, C289&lt;=55), "Mature Adults", C289&gt;=56,  "Older Adults", TRUE, "Age Not Mentioned")</f>
        <v>Mature Adults</v>
      </c>
      <c r="E289" s="2" t="str">
        <f>VLOOKUP(user_activity!A815,users_details!$A$1:$G$34,6,0)</f>
        <v>Crown Heights, Brooklyn</v>
      </c>
      <c r="F289" s="2" t="str">
        <f>VLOOKUP(user_activity!A815,users_details!$A$1:$G$34,7,0)</f>
        <v>Crown Heights</v>
      </c>
      <c r="G289" s="2" t="s">
        <v>72</v>
      </c>
      <c r="H289" s="7">
        <v>42526</v>
      </c>
      <c r="I289" s="9" t="str">
        <f t="shared" si="20"/>
        <v>Sunday</v>
      </c>
      <c r="J289" s="9" t="str">
        <f t="shared" si="21"/>
        <v>June</v>
      </c>
      <c r="K289" s="2">
        <v>2.4800000190000002</v>
      </c>
      <c r="L289" s="2">
        <v>2.4800000190000002</v>
      </c>
      <c r="M289" s="2">
        <v>0</v>
      </c>
      <c r="N289" s="2">
        <v>0</v>
      </c>
      <c r="O289" s="2">
        <v>0</v>
      </c>
      <c r="P289" s="2">
        <v>2.4800000190000002</v>
      </c>
      <c r="Q289" s="2">
        <v>0</v>
      </c>
      <c r="R289" s="2">
        <v>0</v>
      </c>
      <c r="S289" s="2">
        <v>0</v>
      </c>
      <c r="T289" s="2">
        <v>202</v>
      </c>
      <c r="U289" s="2">
        <f t="shared" si="22"/>
        <v>202</v>
      </c>
      <c r="V289" s="2">
        <v>1238</v>
      </c>
      <c r="W289" s="2">
        <v>3755</v>
      </c>
      <c r="X289" s="2">
        <f t="shared" si="23"/>
        <v>3755</v>
      </c>
      <c r="Y289" s="2">
        <v>1722</v>
      </c>
      <c r="Z289" t="str" cm="1">
        <f t="array" ref="Z289">_xlfn.IFS(OR(R289&gt;66, S289&gt;38), "High Engagement", OR(AND(R289&gt;32, R289&lt;=66), AND(S289&gt;19, S289&lt;=38)), "Medium-High Engagement", OR(AND(R289&gt;4, R289&lt;=32), AND(S289&gt;6, S289&lt;=19)),"Medium Engagement", TRUE, "Low Engagement"
)</f>
        <v>Low Engagement</v>
      </c>
      <c r="AA289">
        <f t="shared" si="24"/>
        <v>0.45858854860186415</v>
      </c>
    </row>
    <row r="290" spans="1:27" x14ac:dyDescent="0.35">
      <c r="A290" s="2">
        <v>1927972279</v>
      </c>
      <c r="B290" s="2" t="s">
        <v>75</v>
      </c>
      <c r="C290" s="2">
        <f>VLOOKUP(user_activity!A816,users_details!$A$1:$G$34,5,0)</f>
        <v>54</v>
      </c>
      <c r="D290" s="2" t="str" cm="1">
        <f t="array" ref="D290">_xlfn.IFS( AND(C290&gt;=18, C290&lt;=25), "Emerging Adults",  AND(C290&gt;=26, C290&lt;=35),  "Young Adults",  AND(C290&gt;=36, C290&lt;=45),  "Midlife Adults",  AND(C290&gt;=46, C290&lt;=55), "Mature Adults", C290&gt;=56,  "Older Adults", TRUE, "Age Not Mentioned")</f>
        <v>Mature Adults</v>
      </c>
      <c r="E290" s="2" t="str">
        <f>VLOOKUP(user_activity!A816,users_details!$A$1:$G$34,6,0)</f>
        <v>Crown Heights, Brooklyn</v>
      </c>
      <c r="F290" s="2" t="str">
        <f>VLOOKUP(user_activity!A816,users_details!$A$1:$G$34,7,0)</f>
        <v>Crown Heights</v>
      </c>
      <c r="G290" s="2" t="s">
        <v>71</v>
      </c>
      <c r="H290" s="7">
        <v>42487</v>
      </c>
      <c r="I290" s="9" t="str">
        <f t="shared" si="20"/>
        <v>Wednesday</v>
      </c>
      <c r="J290" s="9" t="str">
        <f t="shared" si="21"/>
        <v>April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f t="shared" si="22"/>
        <v>0</v>
      </c>
      <c r="V290" s="2">
        <v>1440</v>
      </c>
      <c r="W290" s="2">
        <v>0</v>
      </c>
      <c r="X290" s="2">
        <f t="shared" si="23"/>
        <v>7405.5</v>
      </c>
      <c r="Y290" s="2">
        <v>2063</v>
      </c>
      <c r="Z290" t="str" cm="1">
        <f t="array" ref="Z290">_xlfn.IFS(OR(R290&gt;66, S290&gt;38), "High Engagement", OR(AND(R290&gt;32, R290&lt;=66), AND(S290&gt;19, S290&lt;=38)), "Medium-High Engagement", OR(AND(R290&gt;4, R290&lt;=32), AND(S290&gt;6, S290&lt;=19)),"Medium Engagement", TRUE, "Low Engagement"
)</f>
        <v>Low Engagement</v>
      </c>
      <c r="AA290">
        <f t="shared" si="24"/>
        <v>0</v>
      </c>
    </row>
    <row r="291" spans="1:27" x14ac:dyDescent="0.35">
      <c r="A291" s="2">
        <v>1927972279</v>
      </c>
      <c r="B291" s="2" t="s">
        <v>75</v>
      </c>
      <c r="C291" s="2">
        <f>VLOOKUP(user_activity!A820,users_details!$A$1:$G$34,5,0)</f>
        <v>54</v>
      </c>
      <c r="D291" s="2" t="str" cm="1">
        <f t="array" ref="D291">_xlfn.IFS( AND(C291&gt;=18, C291&lt;=25), "Emerging Adults",  AND(C291&gt;=26, C291&lt;=35),  "Young Adults",  AND(C291&gt;=36, C291&lt;=45),  "Midlife Adults",  AND(C291&gt;=46, C291&lt;=55), "Mature Adults", C291&gt;=56,  "Older Adults", TRUE, "Age Not Mentioned")</f>
        <v>Mature Adults</v>
      </c>
      <c r="E291" s="2" t="str">
        <f>VLOOKUP(user_activity!A820,users_details!$A$1:$G$34,6,0)</f>
        <v>Crown Heights, Brooklyn</v>
      </c>
      <c r="F291" s="2" t="str">
        <f>VLOOKUP(user_activity!A820,users_details!$A$1:$G$34,7,0)</f>
        <v>Crown Heights</v>
      </c>
      <c r="G291" s="2" t="s">
        <v>71</v>
      </c>
      <c r="H291" s="7">
        <v>42477</v>
      </c>
      <c r="I291" s="9" t="str">
        <f t="shared" si="20"/>
        <v>Sunday</v>
      </c>
      <c r="J291" s="9" t="str">
        <f t="shared" si="21"/>
        <v>April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f t="shared" si="22"/>
        <v>0</v>
      </c>
      <c r="V291" s="2">
        <v>1440</v>
      </c>
      <c r="W291" s="2">
        <v>0</v>
      </c>
      <c r="X291" s="2">
        <f t="shared" si="23"/>
        <v>7405.5</v>
      </c>
      <c r="Y291" s="2">
        <v>2063</v>
      </c>
      <c r="Z291" t="str" cm="1">
        <f t="array" ref="Z291">_xlfn.IFS(OR(R291&gt;66, S291&gt;38), "High Engagement", OR(AND(R291&gt;32, R291&lt;=66), AND(S291&gt;19, S291&lt;=38)), "Medium-High Engagement", OR(AND(R291&gt;4, R291&lt;=32), AND(S291&gt;6, S291&lt;=19)),"Medium Engagement", TRUE, "Low Engagement"
)</f>
        <v>Low Engagement</v>
      </c>
      <c r="AA291">
        <f t="shared" si="24"/>
        <v>0</v>
      </c>
    </row>
    <row r="292" spans="1:27" x14ac:dyDescent="0.35">
      <c r="A292" s="2">
        <v>4558609924</v>
      </c>
      <c r="B292" s="2" t="s">
        <v>83</v>
      </c>
      <c r="C292" s="2">
        <f>VLOOKUP(user_activity!A828,users_details!$A$1:$G$34,5,0)</f>
        <v>56</v>
      </c>
      <c r="D292" s="2" t="str" cm="1">
        <f t="array" ref="D292">_xlfn.IFS( AND(C292&gt;=18, C292&lt;=25), "Emerging Adults",  AND(C292&gt;=26, C292&lt;=35),  "Young Adults",  AND(C292&gt;=36, C292&lt;=45),  "Midlife Adults",  AND(C292&gt;=46, C292&lt;=55), "Mature Adults", C292&gt;=56,  "Older Adults", TRUE, "Age Not Mentioned")</f>
        <v>Older Adults</v>
      </c>
      <c r="E292" s="2" t="str">
        <f>VLOOKUP(user_activity!A828,users_details!$A$1:$G$34,6,0)</f>
        <v>Flatbush, Brooklyn</v>
      </c>
      <c r="F292" s="2" t="str">
        <f>VLOOKUP(user_activity!A828,users_details!$A$1:$G$34,7,0)</f>
        <v>Flatbush</v>
      </c>
      <c r="G292" s="2" t="s">
        <v>72</v>
      </c>
      <c r="H292" s="7">
        <v>42490</v>
      </c>
      <c r="I292" s="9" t="str">
        <f t="shared" si="20"/>
        <v>Saturday</v>
      </c>
      <c r="J292" s="9" t="str">
        <f t="shared" si="21"/>
        <v>April</v>
      </c>
      <c r="K292" s="2">
        <v>6.8200001720000003</v>
      </c>
      <c r="L292" s="2">
        <v>6.8200001720000003</v>
      </c>
      <c r="M292" s="2">
        <v>0</v>
      </c>
      <c r="N292" s="2">
        <v>0.469999999</v>
      </c>
      <c r="O292" s="2">
        <v>1.8899999860000001</v>
      </c>
      <c r="P292" s="2">
        <v>4.4600000380000004</v>
      </c>
      <c r="Q292" s="2">
        <v>0</v>
      </c>
      <c r="R292" s="2">
        <v>7</v>
      </c>
      <c r="S292" s="2">
        <v>29</v>
      </c>
      <c r="T292" s="2">
        <v>293</v>
      </c>
      <c r="U292" s="2">
        <f t="shared" si="22"/>
        <v>329</v>
      </c>
      <c r="V292" s="2">
        <v>1111</v>
      </c>
      <c r="W292" s="2">
        <v>10319</v>
      </c>
      <c r="X292" s="2">
        <f t="shared" si="23"/>
        <v>10319</v>
      </c>
      <c r="Y292" s="2">
        <v>2105</v>
      </c>
      <c r="Z292" t="str" cm="1">
        <f t="array" ref="Z292">_xlfn.IFS(OR(R292&gt;66, S292&gt;38), "High Engagement", OR(AND(R292&gt;32, R292&lt;=66), AND(S292&gt;19, S292&lt;=38)), "Medium-High Engagement", OR(AND(R292&gt;4, R292&lt;=32), AND(S292&gt;6, S292&lt;=19)),"Medium Engagement", TRUE, "Low Engagement"
)</f>
        <v>Medium-High Engagement</v>
      </c>
      <c r="AA292">
        <f t="shared" si="24"/>
        <v>0.20399263494524664</v>
      </c>
    </row>
    <row r="293" spans="1:27" x14ac:dyDescent="0.35">
      <c r="A293" s="2">
        <v>4558609924</v>
      </c>
      <c r="B293" s="2" t="s">
        <v>83</v>
      </c>
      <c r="C293" s="2">
        <f>VLOOKUP(user_activity!A854,users_details!$A$1:$G$34,5,0)</f>
        <v>58</v>
      </c>
      <c r="D293" s="2" t="str" cm="1">
        <f t="array" ref="D293">_xlfn.IFS( AND(C293&gt;=18, C293&lt;=25), "Emerging Adults",  AND(C293&gt;=26, C293&lt;=35),  "Young Adults",  AND(C293&gt;=36, C293&lt;=45),  "Midlife Adults",  AND(C293&gt;=46, C293&lt;=55), "Mature Adults", C293&gt;=56,  "Older Adults", TRUE, "Age Not Mentioned")</f>
        <v>Older Adults</v>
      </c>
      <c r="E293" s="2" t="str">
        <f>VLOOKUP(user_activity!A854,users_details!$A$1:$G$34,6,0)</f>
        <v>East Village, Manhattan</v>
      </c>
      <c r="F293" s="2" t="str">
        <f>VLOOKUP(user_activity!A854,users_details!$A$1:$G$34,7,0)</f>
        <v>East Village</v>
      </c>
      <c r="G293" s="2" t="s">
        <v>72</v>
      </c>
      <c r="H293" s="7">
        <v>42474</v>
      </c>
      <c r="I293" s="9" t="str">
        <f t="shared" si="20"/>
        <v>Thursday</v>
      </c>
      <c r="J293" s="9" t="str">
        <f t="shared" si="21"/>
        <v>April</v>
      </c>
      <c r="K293" s="2">
        <v>4.4899997709999999</v>
      </c>
      <c r="L293" s="2">
        <v>4.4899997709999999</v>
      </c>
      <c r="M293" s="2">
        <v>0</v>
      </c>
      <c r="N293" s="2">
        <v>0</v>
      </c>
      <c r="O293" s="2">
        <v>0</v>
      </c>
      <c r="P293" s="2">
        <v>4.4899997709999999</v>
      </c>
      <c r="Q293" s="2">
        <v>0</v>
      </c>
      <c r="R293" s="2">
        <v>0</v>
      </c>
      <c r="S293" s="2">
        <v>0</v>
      </c>
      <c r="T293" s="2">
        <v>279</v>
      </c>
      <c r="U293" s="2">
        <f t="shared" si="22"/>
        <v>279</v>
      </c>
      <c r="V293" s="2">
        <v>1161</v>
      </c>
      <c r="W293" s="2">
        <v>6799</v>
      </c>
      <c r="X293" s="2">
        <f t="shared" si="23"/>
        <v>6799</v>
      </c>
      <c r="Y293" s="2">
        <v>1922</v>
      </c>
      <c r="Z293" t="str" cm="1">
        <f t="array" ref="Z293">_xlfn.IFS(OR(R293&gt;66, S293&gt;38), "High Engagement", OR(AND(R293&gt;32, R293&lt;=66), AND(S293&gt;19, S293&lt;=38)), "Medium-High Engagement", OR(AND(R293&gt;4, R293&lt;=32), AND(S293&gt;6, S293&lt;=19)),"Medium Engagement", TRUE, "Low Engagement"
)</f>
        <v>Low Engagement</v>
      </c>
      <c r="AA293">
        <f t="shared" si="24"/>
        <v>0.28268863068098249</v>
      </c>
    </row>
    <row r="294" spans="1:27" x14ac:dyDescent="0.35">
      <c r="A294" s="2">
        <v>4558609924</v>
      </c>
      <c r="B294" s="2" t="s">
        <v>83</v>
      </c>
      <c r="C294" s="2">
        <f>VLOOKUP(user_activity!A887,users_details!$A$1:$G$34,5,0)</f>
        <v>59</v>
      </c>
      <c r="D294" s="2" t="str" cm="1">
        <f t="array" ref="D294">_xlfn.IFS( AND(C294&gt;=18, C294&lt;=25), "Emerging Adults",  AND(C294&gt;=26, C294&lt;=35),  "Young Adults",  AND(C294&gt;=36, C294&lt;=45),  "Midlife Adults",  AND(C294&gt;=46, C294&lt;=55), "Mature Adults", C294&gt;=56,  "Older Adults", TRUE, "Age Not Mentioned")</f>
        <v>Older Adults</v>
      </c>
      <c r="E294" s="2" t="str">
        <f>VLOOKUP(user_activity!A887,users_details!$A$1:$G$34,6,0)</f>
        <v>Upper West Side, Manhattan</v>
      </c>
      <c r="F294" s="2" t="str">
        <f>VLOOKUP(user_activity!A887,users_details!$A$1:$G$34,7,0)</f>
        <v>Upper West Side</v>
      </c>
      <c r="G294" s="2" t="s">
        <v>72</v>
      </c>
      <c r="H294" s="7">
        <v>42482</v>
      </c>
      <c r="I294" s="9" t="str">
        <f t="shared" si="20"/>
        <v>Friday</v>
      </c>
      <c r="J294" s="9" t="str">
        <f t="shared" si="21"/>
        <v>April</v>
      </c>
      <c r="K294" s="2">
        <v>6.3499999049999998</v>
      </c>
      <c r="L294" s="2">
        <v>6.3499999049999998</v>
      </c>
      <c r="M294" s="2">
        <v>0</v>
      </c>
      <c r="N294" s="2">
        <v>1.3700000050000001</v>
      </c>
      <c r="O294" s="2">
        <v>1.5</v>
      </c>
      <c r="P294" s="2">
        <v>3.4700000289999999</v>
      </c>
      <c r="Q294" s="2">
        <v>0</v>
      </c>
      <c r="R294" s="2">
        <v>20</v>
      </c>
      <c r="S294" s="2">
        <v>25</v>
      </c>
      <c r="T294" s="2">
        <v>273</v>
      </c>
      <c r="U294" s="2">
        <f t="shared" si="22"/>
        <v>318</v>
      </c>
      <c r="V294" s="2">
        <v>1122</v>
      </c>
      <c r="W294" s="2">
        <v>9601</v>
      </c>
      <c r="X294" s="2">
        <f t="shared" si="23"/>
        <v>9601</v>
      </c>
      <c r="Y294" s="2">
        <v>2094</v>
      </c>
      <c r="Z294" t="str" cm="1">
        <f t="array" ref="Z294">_xlfn.IFS(OR(R294&gt;66, S294&gt;38), "High Engagement", OR(AND(R294&gt;32, R294&lt;=66), AND(S294&gt;19, S294&lt;=38)), "Medium-High Engagement", OR(AND(R294&gt;4, R294&lt;=32), AND(S294&gt;6, S294&lt;=19)),"Medium Engagement", TRUE, "Low Engagement"
)</f>
        <v>Medium-High Engagement</v>
      </c>
      <c r="AA294">
        <f t="shared" si="24"/>
        <v>0.21810228101239454</v>
      </c>
    </row>
    <row r="295" spans="1:27" x14ac:dyDescent="0.35">
      <c r="A295" s="2">
        <v>4558609924</v>
      </c>
      <c r="B295" s="2" t="s">
        <v>83</v>
      </c>
      <c r="C295" s="2">
        <f>VLOOKUP(user_activity!A889,users_details!$A$1:$G$34,5,0)</f>
        <v>59</v>
      </c>
      <c r="D295" s="2" t="str" cm="1">
        <f t="array" ref="D295">_xlfn.IFS( AND(C295&gt;=18, C295&lt;=25), "Emerging Adults",  AND(C295&gt;=26, C295&lt;=35),  "Young Adults",  AND(C295&gt;=36, C295&lt;=45),  "Midlife Adults",  AND(C295&gt;=46, C295&lt;=55), "Mature Adults", C295&gt;=56,  "Older Adults", TRUE, "Age Not Mentioned")</f>
        <v>Older Adults</v>
      </c>
      <c r="E295" s="2" t="str">
        <f>VLOOKUP(user_activity!A889,users_details!$A$1:$G$34,6,0)</f>
        <v>Upper West Side, Manhattan</v>
      </c>
      <c r="F295" s="2" t="str">
        <f>VLOOKUP(user_activity!A889,users_details!$A$1:$G$34,7,0)</f>
        <v>Upper West Side</v>
      </c>
      <c r="G295" s="2" t="s">
        <v>72</v>
      </c>
      <c r="H295" s="7">
        <v>42709</v>
      </c>
      <c r="I295" s="9" t="str">
        <f t="shared" si="20"/>
        <v>Monday</v>
      </c>
      <c r="J295" s="9" t="str">
        <f t="shared" si="21"/>
        <v>December</v>
      </c>
      <c r="K295" s="2">
        <v>4.170000076</v>
      </c>
      <c r="L295" s="2">
        <v>4.170000076</v>
      </c>
      <c r="M295" s="2">
        <v>0</v>
      </c>
      <c r="N295" s="2">
        <v>0</v>
      </c>
      <c r="O295" s="2">
        <v>0</v>
      </c>
      <c r="P295" s="2">
        <v>4.170000076</v>
      </c>
      <c r="Q295" s="2">
        <v>0</v>
      </c>
      <c r="R295" s="2">
        <v>0</v>
      </c>
      <c r="S295" s="2">
        <v>0</v>
      </c>
      <c r="T295" s="2">
        <v>247</v>
      </c>
      <c r="U295" s="2">
        <f t="shared" si="22"/>
        <v>247</v>
      </c>
      <c r="V295" s="2">
        <v>736</v>
      </c>
      <c r="W295" s="2">
        <v>6307</v>
      </c>
      <c r="X295" s="2">
        <f t="shared" si="23"/>
        <v>6307</v>
      </c>
      <c r="Y295" s="2">
        <v>1452</v>
      </c>
      <c r="Z295" t="str" cm="1">
        <f t="array" ref="Z295">_xlfn.IFS(OR(R295&gt;66, S295&gt;38), "High Engagement", OR(AND(R295&gt;32, R295&lt;=66), AND(S295&gt;19, S295&lt;=38)), "Medium-High Engagement", OR(AND(R295&gt;4, R295&lt;=32), AND(S295&gt;6, S295&lt;=19)),"Medium Engagement", TRUE, "Low Engagement"
)</f>
        <v>Low Engagement</v>
      </c>
      <c r="AA295">
        <f t="shared" si="24"/>
        <v>0.23022039004280959</v>
      </c>
    </row>
    <row r="296" spans="1:27" x14ac:dyDescent="0.35">
      <c r="A296" s="2">
        <v>4558609924</v>
      </c>
      <c r="B296" s="2" t="s">
        <v>83</v>
      </c>
      <c r="C296" s="2">
        <f>VLOOKUP(user_activity!A899,users_details!$A$1:$G$34,5,0)</f>
        <v>59</v>
      </c>
      <c r="D296" s="2" t="str" cm="1">
        <f t="array" ref="D296">_xlfn.IFS( AND(C296&gt;=18, C296&lt;=25), "Emerging Adults",  AND(C296&gt;=26, C296&lt;=35),  "Young Adults",  AND(C296&gt;=36, C296&lt;=45),  "Midlife Adults",  AND(C296&gt;=46, C296&lt;=55), "Mature Adults", C296&gt;=56,  "Older Adults", TRUE, "Age Not Mentioned")</f>
        <v>Older Adults</v>
      </c>
      <c r="E296" s="2" t="str">
        <f>VLOOKUP(user_activity!A899,users_details!$A$1:$G$34,6,0)</f>
        <v>Upper West Side, Manhattan</v>
      </c>
      <c r="F296" s="2" t="str">
        <f>VLOOKUP(user_activity!A899,users_details!$A$1:$G$34,7,0)</f>
        <v>Upper West Side</v>
      </c>
      <c r="G296" s="2" t="s">
        <v>72</v>
      </c>
      <c r="H296" s="7">
        <v>42473</v>
      </c>
      <c r="I296" s="9" t="str">
        <f t="shared" si="20"/>
        <v>Wednesday</v>
      </c>
      <c r="J296" s="9" t="str">
        <f t="shared" si="21"/>
        <v>April</v>
      </c>
      <c r="K296" s="2">
        <v>3.289999962</v>
      </c>
      <c r="L296" s="2">
        <v>3.289999962</v>
      </c>
      <c r="M296" s="2">
        <v>0</v>
      </c>
      <c r="N296" s="2">
        <v>1.2400000099999999</v>
      </c>
      <c r="O296" s="2">
        <v>0.439999998</v>
      </c>
      <c r="P296" s="2">
        <v>1.6100000139999999</v>
      </c>
      <c r="Q296" s="2">
        <v>0</v>
      </c>
      <c r="R296" s="2">
        <v>19</v>
      </c>
      <c r="S296" s="2">
        <v>7</v>
      </c>
      <c r="T296" s="2">
        <v>127</v>
      </c>
      <c r="U296" s="2">
        <f t="shared" si="22"/>
        <v>153</v>
      </c>
      <c r="V296" s="2">
        <v>1287</v>
      </c>
      <c r="W296" s="2">
        <v>4978</v>
      </c>
      <c r="X296" s="2">
        <f t="shared" si="23"/>
        <v>4978</v>
      </c>
      <c r="Y296" s="2">
        <v>1722</v>
      </c>
      <c r="Z296" t="str" cm="1">
        <f t="array" ref="Z296">_xlfn.IFS(OR(R296&gt;66, S296&gt;38), "High Engagement", OR(AND(R296&gt;32, R296&lt;=66), AND(S296&gt;19, S296&lt;=38)), "Medium-High Engagement", OR(AND(R296&gt;4, R296&lt;=32), AND(S296&gt;6, S296&lt;=19)),"Medium Engagement", TRUE, "Low Engagement"
)</f>
        <v>Medium Engagement</v>
      </c>
      <c r="AA296">
        <f t="shared" si="24"/>
        <v>0.34592205705102452</v>
      </c>
    </row>
    <row r="297" spans="1:27" x14ac:dyDescent="0.35">
      <c r="A297" s="2">
        <v>4558609924</v>
      </c>
      <c r="B297" s="2" t="s">
        <v>83</v>
      </c>
      <c r="C297" s="2">
        <f>VLOOKUP(user_activity!A903,users_details!$A$1:$G$34,5,0)</f>
        <v>59</v>
      </c>
      <c r="D297" s="2" t="str" cm="1">
        <f t="array" ref="D297">_xlfn.IFS( AND(C297&gt;=18, C297&lt;=25), "Emerging Adults",  AND(C297&gt;=26, C297&lt;=35),  "Young Adults",  AND(C297&gt;=36, C297&lt;=45),  "Midlife Adults",  AND(C297&gt;=46, C297&lt;=55), "Mature Adults", C297&gt;=56,  "Older Adults", TRUE, "Age Not Mentioned")</f>
        <v>Older Adults</v>
      </c>
      <c r="E297" s="2" t="str">
        <f>VLOOKUP(user_activity!A903,users_details!$A$1:$G$34,6,0)</f>
        <v>Upper West Side, Manhattan</v>
      </c>
      <c r="F297" s="2" t="str">
        <f>VLOOKUP(user_activity!A903,users_details!$A$1:$G$34,7,0)</f>
        <v>Upper West Side</v>
      </c>
      <c r="G297" s="2" t="s">
        <v>72</v>
      </c>
      <c r="H297" s="7">
        <v>42708</v>
      </c>
      <c r="I297" s="9" t="str">
        <f t="shared" si="20"/>
        <v>Sunday</v>
      </c>
      <c r="J297" s="9" t="str">
        <f t="shared" si="21"/>
        <v>December</v>
      </c>
      <c r="K297" s="2">
        <v>3.3900001049999999</v>
      </c>
      <c r="L297" s="2">
        <v>3.3900001049999999</v>
      </c>
      <c r="M297" s="2">
        <v>0</v>
      </c>
      <c r="N297" s="2">
        <v>0</v>
      </c>
      <c r="O297" s="2">
        <v>0</v>
      </c>
      <c r="P297" s="2">
        <v>3.3900001049999999</v>
      </c>
      <c r="Q297" s="2">
        <v>0</v>
      </c>
      <c r="R297" s="2">
        <v>0</v>
      </c>
      <c r="S297" s="2">
        <v>0</v>
      </c>
      <c r="T297" s="2">
        <v>318</v>
      </c>
      <c r="U297" s="2">
        <f t="shared" si="22"/>
        <v>318</v>
      </c>
      <c r="V297" s="2">
        <v>1122</v>
      </c>
      <c r="W297" s="2">
        <v>5135</v>
      </c>
      <c r="X297" s="2">
        <f t="shared" si="23"/>
        <v>5135</v>
      </c>
      <c r="Y297" s="2">
        <v>1909</v>
      </c>
      <c r="Z297" t="str" cm="1">
        <f t="array" ref="Z297">_xlfn.IFS(OR(R297&gt;66, S297&gt;38), "High Engagement", OR(AND(R297&gt;32, R297&lt;=66), AND(S297&gt;19, S297&lt;=38)), "Medium-High Engagement", OR(AND(R297&gt;4, R297&lt;=32), AND(S297&gt;6, S297&lt;=19)),"Medium Engagement", TRUE, "Low Engagement"
)</f>
        <v>Low Engagement</v>
      </c>
      <c r="AA297">
        <f t="shared" si="24"/>
        <v>0.37176241480038946</v>
      </c>
    </row>
    <row r="298" spans="1:27" x14ac:dyDescent="0.35">
      <c r="A298" s="2">
        <v>4558609924</v>
      </c>
      <c r="B298" s="2" t="s">
        <v>83</v>
      </c>
      <c r="C298" s="2">
        <f>VLOOKUP(user_activity!A917,users_details!$A$1:$G$34,5,0)</f>
        <v>60</v>
      </c>
      <c r="D298" s="2" t="str" cm="1">
        <f t="array" ref="D298">_xlfn.IFS( AND(C298&gt;=18, C298&lt;=25), "Emerging Adults",  AND(C298&gt;=26, C298&lt;=35),  "Young Adults",  AND(C298&gt;=36, C298&lt;=45),  "Midlife Adults",  AND(C298&gt;=46, C298&lt;=55), "Mature Adults", C298&gt;=56,  "Older Adults", TRUE, "Age Not Mentioned")</f>
        <v>Older Adults</v>
      </c>
      <c r="E298" s="2" t="str">
        <f>VLOOKUP(user_activity!A917,users_details!$A$1:$G$34,6,0)</f>
        <v>East Village, Manhattan</v>
      </c>
      <c r="F298" s="2" t="str">
        <f>VLOOKUP(user_activity!A917,users_details!$A$1:$G$34,7,0)</f>
        <v>East Village</v>
      </c>
      <c r="G298" s="2" t="s">
        <v>72</v>
      </c>
      <c r="H298" s="7">
        <v>42489</v>
      </c>
      <c r="I298" s="9" t="str">
        <f t="shared" si="20"/>
        <v>Friday</v>
      </c>
      <c r="J298" s="9" t="str">
        <f t="shared" si="21"/>
        <v>April</v>
      </c>
      <c r="K298" s="2">
        <v>5.1799998279999997</v>
      </c>
      <c r="L298" s="2">
        <v>5.1799998279999997</v>
      </c>
      <c r="M298" s="2">
        <v>0</v>
      </c>
      <c r="N298" s="2">
        <v>1.019999981</v>
      </c>
      <c r="O298" s="2">
        <v>1.8500000240000001</v>
      </c>
      <c r="P298" s="2">
        <v>2.3099999430000002</v>
      </c>
      <c r="Q298" s="2">
        <v>0</v>
      </c>
      <c r="R298" s="2">
        <v>15</v>
      </c>
      <c r="S298" s="2">
        <v>29</v>
      </c>
      <c r="T298" s="2">
        <v>197</v>
      </c>
      <c r="U298" s="2">
        <f t="shared" si="22"/>
        <v>241</v>
      </c>
      <c r="V298" s="2">
        <v>1096</v>
      </c>
      <c r="W298" s="2">
        <v>7833</v>
      </c>
      <c r="X298" s="2">
        <f t="shared" si="23"/>
        <v>7833</v>
      </c>
      <c r="Y298" s="2">
        <v>1918</v>
      </c>
      <c r="Z298" t="str" cm="1">
        <f t="array" ref="Z298">_xlfn.IFS(OR(R298&gt;66, S298&gt;38), "High Engagement", OR(AND(R298&gt;32, R298&lt;=66), AND(S298&gt;19, S298&lt;=38)), "Medium-High Engagement", OR(AND(R298&gt;4, R298&lt;=32), AND(S298&gt;6, S298&lt;=19)),"Medium Engagement", TRUE, "Low Engagement"
)</f>
        <v>Medium-High Engagement</v>
      </c>
      <c r="AA298">
        <f t="shared" si="24"/>
        <v>0.2448614834673816</v>
      </c>
    </row>
    <row r="299" spans="1:27" x14ac:dyDescent="0.35">
      <c r="A299" s="2">
        <v>1927972279</v>
      </c>
      <c r="B299" s="2" t="s">
        <v>75</v>
      </c>
      <c r="C299" s="2">
        <f>VLOOKUP(user_activity!A922,users_details!$A$1:$G$34,5,0)</f>
        <v>60</v>
      </c>
      <c r="D299" s="2" t="str" cm="1">
        <f t="array" ref="D299">_xlfn.IFS( AND(C299&gt;=18, C299&lt;=25), "Emerging Adults",  AND(C299&gt;=26, C299&lt;=35),  "Young Adults",  AND(C299&gt;=36, C299&lt;=45),  "Midlife Adults",  AND(C299&gt;=46, C299&lt;=55), "Mature Adults", C299&gt;=56,  "Older Adults", TRUE, "Age Not Mentioned")</f>
        <v>Older Adults</v>
      </c>
      <c r="E299" s="2" t="str">
        <f>VLOOKUP(user_activity!A922,users_details!$A$1:$G$34,6,0)</f>
        <v>East Village, Manhattan</v>
      </c>
      <c r="F299" s="2" t="str">
        <f>VLOOKUP(user_activity!A922,users_details!$A$1:$G$34,7,0)</f>
        <v>East Village</v>
      </c>
      <c r="G299" s="2" t="s">
        <v>71</v>
      </c>
      <c r="H299" s="7">
        <v>42479</v>
      </c>
      <c r="I299" s="9" t="str">
        <f t="shared" si="20"/>
        <v>Tuesday</v>
      </c>
      <c r="J299" s="9" t="str">
        <f t="shared" si="21"/>
        <v>April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f t="shared" si="22"/>
        <v>0</v>
      </c>
      <c r="V299" s="2">
        <v>1440</v>
      </c>
      <c r="W299" s="2">
        <v>0</v>
      </c>
      <c r="X299" s="2">
        <f t="shared" si="23"/>
        <v>7405.5</v>
      </c>
      <c r="Y299" s="2">
        <v>2063</v>
      </c>
      <c r="Z299" t="str" cm="1">
        <f t="array" ref="Z299">_xlfn.IFS(OR(R299&gt;66, S299&gt;38), "High Engagement", OR(AND(R299&gt;32, R299&lt;=66), AND(S299&gt;19, S299&lt;=38)), "Medium-High Engagement", OR(AND(R299&gt;4, R299&lt;=32), AND(S299&gt;6, S299&lt;=19)),"Medium Engagement", TRUE, "Low Engagement"
)</f>
        <v>Low Engagement</v>
      </c>
      <c r="AA299">
        <f t="shared" si="24"/>
        <v>0</v>
      </c>
    </row>
    <row r="300" spans="1:27" x14ac:dyDescent="0.35">
      <c r="A300" s="2">
        <v>6290855005</v>
      </c>
      <c r="B300" s="2" t="s">
        <v>80</v>
      </c>
      <c r="C300" s="2">
        <f>VLOOKUP(user_activity!A11,users_details!$A$1:$G$34,5,0)</f>
        <v>18</v>
      </c>
      <c r="D300" s="2" t="str" cm="1">
        <f t="array" ref="D300">_xlfn.IFS( AND(C300&gt;=18, C300&lt;=25), "Emerging Adults",  AND(C300&gt;=26, C300&lt;=35),  "Young Adults",  AND(C300&gt;=36, C300&lt;=45),  "Midlife Adults",  AND(C300&gt;=46, C300&lt;=55), "Mature Adults", C300&gt;=56,  "Older Adults", TRUE, "Age Not Mentioned")</f>
        <v>Emerging Adults</v>
      </c>
      <c r="E300" s="2" t="str">
        <f>VLOOKUP(user_activity!A11,users_details!$A$1:$G$34,6,0)</f>
        <v>Upper West Side, Manhattan</v>
      </c>
      <c r="F300" s="2" t="str">
        <f>VLOOKUP(user_activity!A11,users_details!$A$1:$G$34,7,0)</f>
        <v>Upper West Side</v>
      </c>
      <c r="G300" s="2" t="s">
        <v>72</v>
      </c>
      <c r="H300" s="7">
        <v>42587</v>
      </c>
      <c r="I300" s="9" t="str">
        <f t="shared" si="20"/>
        <v>Friday</v>
      </c>
      <c r="J300" s="9" t="str">
        <f t="shared" si="21"/>
        <v>August</v>
      </c>
      <c r="K300" s="2">
        <v>5.829999924</v>
      </c>
      <c r="L300" s="2">
        <v>5.829999924</v>
      </c>
      <c r="M300" s="2">
        <v>0</v>
      </c>
      <c r="N300" s="2">
        <v>0</v>
      </c>
      <c r="O300" s="2">
        <v>0</v>
      </c>
      <c r="P300" s="2">
        <v>5.8200001720000003</v>
      </c>
      <c r="Q300" s="2">
        <v>0</v>
      </c>
      <c r="R300" s="2">
        <v>0</v>
      </c>
      <c r="S300" s="2">
        <v>0</v>
      </c>
      <c r="T300" s="2">
        <v>251</v>
      </c>
      <c r="U300" s="2">
        <f t="shared" si="22"/>
        <v>251</v>
      </c>
      <c r="V300" s="2">
        <v>1189</v>
      </c>
      <c r="W300" s="2">
        <v>7706</v>
      </c>
      <c r="X300" s="2">
        <f t="shared" si="23"/>
        <v>7706</v>
      </c>
      <c r="Y300" s="2">
        <v>2712</v>
      </c>
      <c r="Z300" t="str" cm="1">
        <f t="array" ref="Z300">_xlfn.IFS(OR(R300&gt;66, S300&gt;38), "High Engagement", OR(AND(R300&gt;32, R300&lt;=66), AND(S300&gt;19, S300&lt;=38)), "Medium-High Engagement", OR(AND(R300&gt;4, R300&lt;=32), AND(S300&gt;6, S300&lt;=19)),"Medium Engagement", TRUE, "Low Engagement"
)</f>
        <v>Low Engagement</v>
      </c>
      <c r="AA300">
        <f t="shared" si="24"/>
        <v>0.35193355826628603</v>
      </c>
    </row>
    <row r="301" spans="1:27" x14ac:dyDescent="0.35">
      <c r="A301" s="2">
        <v>2347167796</v>
      </c>
      <c r="B301" s="2" t="s">
        <v>88</v>
      </c>
      <c r="C301" s="2">
        <f>VLOOKUP(user_activity!A26,users_details!$A$1:$G$34,5,0)</f>
        <v>18</v>
      </c>
      <c r="D301" s="2" t="str" cm="1">
        <f t="array" ref="D301">_xlfn.IFS( AND(C301&gt;=18, C301&lt;=25), "Emerging Adults",  AND(C301&gt;=26, C301&lt;=35),  "Young Adults",  AND(C301&gt;=36, C301&lt;=45),  "Midlife Adults",  AND(C301&gt;=46, C301&lt;=55), "Mature Adults", C301&gt;=56,  "Older Adults", TRUE, "Age Not Mentioned")</f>
        <v>Emerging Adults</v>
      </c>
      <c r="E301" s="2" t="str">
        <f>VLOOKUP(user_activity!A26,users_details!$A$1:$G$34,6,0)</f>
        <v>Hell's Kitchen, Manhattan</v>
      </c>
      <c r="F301" s="2" t="str">
        <f>VLOOKUP(user_activity!A26,users_details!$A$1:$G$34,7,0)</f>
        <v>Hell's Kitchen</v>
      </c>
      <c r="G301" s="2" t="s">
        <v>71</v>
      </c>
      <c r="H301" s="7">
        <v>42708</v>
      </c>
      <c r="I301" s="9" t="str">
        <f t="shared" si="20"/>
        <v>Sunday</v>
      </c>
      <c r="J301" s="9" t="str">
        <f t="shared" si="21"/>
        <v>December</v>
      </c>
      <c r="K301" s="2">
        <v>6.829999924</v>
      </c>
      <c r="L301" s="2">
        <v>6.829999924</v>
      </c>
      <c r="M301" s="2">
        <v>0</v>
      </c>
      <c r="N301" s="2">
        <v>2</v>
      </c>
      <c r="O301" s="2">
        <v>0.62000000499999997</v>
      </c>
      <c r="P301" s="2">
        <v>4.1999998090000004</v>
      </c>
      <c r="Q301" s="2">
        <v>0</v>
      </c>
      <c r="R301" s="2">
        <v>28</v>
      </c>
      <c r="S301" s="2">
        <v>13</v>
      </c>
      <c r="T301" s="2">
        <v>320</v>
      </c>
      <c r="U301" s="2">
        <f t="shared" si="22"/>
        <v>361</v>
      </c>
      <c r="V301" s="2">
        <v>964</v>
      </c>
      <c r="W301" s="2">
        <v>10113</v>
      </c>
      <c r="X301" s="2">
        <f t="shared" si="23"/>
        <v>10113</v>
      </c>
      <c r="Y301" s="2">
        <v>2344</v>
      </c>
      <c r="Z301" t="str" cm="1">
        <f t="array" ref="Z301">_xlfn.IFS(OR(R301&gt;66, S301&gt;38), "High Engagement", OR(AND(R301&gt;32, R301&lt;=66), AND(S301&gt;19, S301&lt;=38)), "Medium-High Engagement", OR(AND(R301&gt;4, R301&lt;=32), AND(S301&gt;6, S301&lt;=19)),"Medium Engagement", TRUE, "Low Engagement"
)</f>
        <v>Medium Engagement</v>
      </c>
      <c r="AA301">
        <f t="shared" si="24"/>
        <v>0.23178087610006923</v>
      </c>
    </row>
    <row r="302" spans="1:27" x14ac:dyDescent="0.35">
      <c r="A302" s="2">
        <v>6290855005</v>
      </c>
      <c r="B302" s="2" t="s">
        <v>80</v>
      </c>
      <c r="C302" s="2">
        <f>VLOOKUP(user_activity!A34,users_details!$A$1:$G$34,5,0)</f>
        <v>18</v>
      </c>
      <c r="D302" s="2" t="str" cm="1">
        <f t="array" ref="D302">_xlfn.IFS( AND(C302&gt;=18, C302&lt;=25), "Emerging Adults",  AND(C302&gt;=26, C302&lt;=35),  "Young Adults",  AND(C302&gt;=36, C302&lt;=45),  "Midlife Adults",  AND(C302&gt;=46, C302&lt;=55), "Mature Adults", C302&gt;=56,  "Older Adults", TRUE, "Age Not Mentioned")</f>
        <v>Emerging Adults</v>
      </c>
      <c r="E302" s="2" t="str">
        <f>VLOOKUP(user_activity!A34,users_details!$A$1:$G$34,6,0)</f>
        <v>Hell's Kitchen, Manhattan</v>
      </c>
      <c r="F302" s="2" t="str">
        <f>VLOOKUP(user_activity!A34,users_details!$A$1:$G$34,7,0)</f>
        <v>Hell's Kitchen</v>
      </c>
      <c r="G302" s="2" t="s">
        <v>72</v>
      </c>
      <c r="H302" s="7">
        <v>42483</v>
      </c>
      <c r="I302" s="9" t="str">
        <f t="shared" si="20"/>
        <v>Saturday</v>
      </c>
      <c r="J302" s="9" t="str">
        <f t="shared" si="21"/>
        <v>April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33</v>
      </c>
      <c r="S302" s="2">
        <v>0</v>
      </c>
      <c r="T302" s="2">
        <v>0</v>
      </c>
      <c r="U302" s="2">
        <f t="shared" si="22"/>
        <v>33</v>
      </c>
      <c r="V302" s="2">
        <v>1407</v>
      </c>
      <c r="W302" s="2">
        <v>0</v>
      </c>
      <c r="X302" s="2">
        <f t="shared" si="23"/>
        <v>7405.5</v>
      </c>
      <c r="Y302" s="2">
        <v>2664</v>
      </c>
      <c r="Z302" t="str" cm="1">
        <f t="array" ref="Z302">_xlfn.IFS(OR(R302&gt;66, S302&gt;38), "High Engagement", OR(AND(R302&gt;32, R302&lt;=66), AND(S302&gt;19, S302&lt;=38)), "Medium-High Engagement", OR(AND(R302&gt;4, R302&lt;=32), AND(S302&gt;6, S302&lt;=19)),"Medium Engagement", TRUE, "Low Engagement"
)</f>
        <v>Medium-High Engagement</v>
      </c>
      <c r="AA302">
        <f t="shared" si="24"/>
        <v>0</v>
      </c>
    </row>
    <row r="303" spans="1:27" x14ac:dyDescent="0.35">
      <c r="A303" s="2">
        <v>2347167796</v>
      </c>
      <c r="B303" s="2" t="s">
        <v>88</v>
      </c>
      <c r="C303" s="2">
        <f>VLOOKUP(user_activity!A44,users_details!$A$1:$G$34,5,0)</f>
        <v>18</v>
      </c>
      <c r="D303" s="2" t="str" cm="1">
        <f t="array" ref="D303">_xlfn.IFS( AND(C303&gt;=18, C303&lt;=25), "Emerging Adults",  AND(C303&gt;=26, C303&lt;=35),  "Young Adults",  AND(C303&gt;=36, C303&lt;=45),  "Midlife Adults",  AND(C303&gt;=46, C303&lt;=55), "Mature Adults", C303&gt;=56,  "Older Adults", TRUE, "Age Not Mentioned")</f>
        <v>Emerging Adults</v>
      </c>
      <c r="E303" s="2" t="str">
        <f>VLOOKUP(user_activity!A44,users_details!$A$1:$G$34,6,0)</f>
        <v>Hell's Kitchen, Manhattan</v>
      </c>
      <c r="F303" s="2" t="str">
        <f>VLOOKUP(user_activity!A44,users_details!$A$1:$G$34,7,0)</f>
        <v>Hell's Kitchen</v>
      </c>
      <c r="G303" s="2" t="s">
        <v>71</v>
      </c>
      <c r="H303" s="7">
        <v>42479</v>
      </c>
      <c r="I303" s="9" t="str">
        <f t="shared" si="20"/>
        <v>Tuesday</v>
      </c>
      <c r="J303" s="9" t="str">
        <f t="shared" si="21"/>
        <v>April</v>
      </c>
      <c r="K303" s="2">
        <v>4.4400000569999998</v>
      </c>
      <c r="L303" s="2">
        <v>4.4400000569999998</v>
      </c>
      <c r="M303" s="2">
        <v>0</v>
      </c>
      <c r="N303" s="2">
        <v>0</v>
      </c>
      <c r="O303" s="2">
        <v>0</v>
      </c>
      <c r="P303" s="2">
        <v>4.4400000569999998</v>
      </c>
      <c r="Q303" s="2">
        <v>0</v>
      </c>
      <c r="R303" s="2">
        <v>0</v>
      </c>
      <c r="S303" s="2">
        <v>7</v>
      </c>
      <c r="T303" s="2">
        <v>382</v>
      </c>
      <c r="U303" s="2">
        <f t="shared" si="22"/>
        <v>389</v>
      </c>
      <c r="V303" s="2">
        <v>648</v>
      </c>
      <c r="W303" s="2">
        <v>6711</v>
      </c>
      <c r="X303" s="2">
        <f t="shared" si="23"/>
        <v>6711</v>
      </c>
      <c r="Y303" s="2">
        <v>2346</v>
      </c>
      <c r="Z303" t="str" cm="1">
        <f t="array" ref="Z303">_xlfn.IFS(OR(R303&gt;66, S303&gt;38), "High Engagement", OR(AND(R303&gt;32, R303&lt;=66), AND(S303&gt;19, S303&lt;=38)), "Medium-High Engagement", OR(AND(R303&gt;4, R303&lt;=32), AND(S303&gt;6, S303&lt;=19)),"Medium Engagement", TRUE, "Low Engagement"
)</f>
        <v>Medium Engagement</v>
      </c>
      <c r="AA303">
        <f t="shared" si="24"/>
        <v>0.34957532409476977</v>
      </c>
    </row>
    <row r="304" spans="1:27" x14ac:dyDescent="0.35">
      <c r="A304" s="2">
        <v>6290855005</v>
      </c>
      <c r="B304" s="2" t="s">
        <v>80</v>
      </c>
      <c r="C304" s="2">
        <f>VLOOKUP(user_activity!A54,users_details!$A$1:$G$34,5,0)</f>
        <v>18</v>
      </c>
      <c r="D304" s="2" t="str" cm="1">
        <f t="array" ref="D304">_xlfn.IFS( AND(C304&gt;=18, C304&lt;=25), "Emerging Adults",  AND(C304&gt;=26, C304&lt;=35),  "Young Adults",  AND(C304&gt;=36, C304&lt;=45),  "Midlife Adults",  AND(C304&gt;=46, C304&lt;=55), "Mature Adults", C304&gt;=56,  "Older Adults", TRUE, "Age Not Mentioned")</f>
        <v>Emerging Adults</v>
      </c>
      <c r="E304" s="2" t="str">
        <f>VLOOKUP(user_activity!A54,users_details!$A$1:$G$34,6,0)</f>
        <v>Upper West Side, Manhattan</v>
      </c>
      <c r="F304" s="2" t="str">
        <f>VLOOKUP(user_activity!A54,users_details!$A$1:$G$34,7,0)</f>
        <v>Upper West Side</v>
      </c>
      <c r="G304" s="2" t="s">
        <v>72</v>
      </c>
      <c r="H304" s="7">
        <v>42618</v>
      </c>
      <c r="I304" s="9" t="str">
        <f t="shared" si="20"/>
        <v>Monday</v>
      </c>
      <c r="J304" s="9" t="str">
        <f t="shared" si="21"/>
        <v>September</v>
      </c>
      <c r="K304" s="2">
        <v>4.75</v>
      </c>
      <c r="L304" s="2">
        <v>4.75</v>
      </c>
      <c r="M304" s="2">
        <v>0</v>
      </c>
      <c r="N304" s="2">
        <v>0</v>
      </c>
      <c r="O304" s="2">
        <v>0</v>
      </c>
      <c r="P304" s="2">
        <v>4.7300000190000002</v>
      </c>
      <c r="Q304" s="2">
        <v>0.02</v>
      </c>
      <c r="R304" s="2">
        <v>0</v>
      </c>
      <c r="S304" s="2">
        <v>0</v>
      </c>
      <c r="T304" s="2">
        <v>264</v>
      </c>
      <c r="U304" s="2">
        <f t="shared" si="22"/>
        <v>264</v>
      </c>
      <c r="V304" s="2">
        <v>800</v>
      </c>
      <c r="W304" s="2">
        <v>6277</v>
      </c>
      <c r="X304" s="2">
        <f t="shared" si="23"/>
        <v>6277</v>
      </c>
      <c r="Y304" s="2">
        <v>2175</v>
      </c>
      <c r="Z304" t="str" cm="1">
        <f t="array" ref="Z304">_xlfn.IFS(OR(R304&gt;66, S304&gt;38), "High Engagement", OR(AND(R304&gt;32, R304&lt;=66), AND(S304&gt;19, S304&lt;=38)), "Medium-High Engagement", OR(AND(R304&gt;4, R304&lt;=32), AND(S304&gt;6, S304&lt;=19)),"Medium Engagement", TRUE, "Low Engagement"
)</f>
        <v>Low Engagement</v>
      </c>
      <c r="AA304">
        <f t="shared" si="24"/>
        <v>0.34650310657957623</v>
      </c>
    </row>
    <row r="305" spans="1:27" x14ac:dyDescent="0.35">
      <c r="A305" s="2">
        <v>6290855005</v>
      </c>
      <c r="B305" s="2" t="s">
        <v>80</v>
      </c>
      <c r="C305" s="2">
        <f>VLOOKUP(user_activity!A55,users_details!$A$1:$G$34,5,0)</f>
        <v>18</v>
      </c>
      <c r="D305" s="2" t="str" cm="1">
        <f t="array" ref="D305">_xlfn.IFS( AND(C305&gt;=18, C305&lt;=25), "Emerging Adults",  AND(C305&gt;=26, C305&lt;=35),  "Young Adults",  AND(C305&gt;=36, C305&lt;=45),  "Midlife Adults",  AND(C305&gt;=46, C305&lt;=55), "Mature Adults", C305&gt;=56,  "Older Adults", TRUE, "Age Not Mentioned")</f>
        <v>Emerging Adults</v>
      </c>
      <c r="E305" s="2" t="str">
        <f>VLOOKUP(user_activity!A55,users_details!$A$1:$G$34,6,0)</f>
        <v>Hell's Kitchen, Manhattan</v>
      </c>
      <c r="F305" s="2" t="str">
        <f>VLOOKUP(user_activity!A55,users_details!$A$1:$G$34,7,0)</f>
        <v>Hell's Kitchen</v>
      </c>
      <c r="G305" s="2" t="s">
        <v>72</v>
      </c>
      <c r="H305" s="7">
        <v>42478</v>
      </c>
      <c r="I305" s="9" t="str">
        <f t="shared" si="20"/>
        <v>Monday</v>
      </c>
      <c r="J305" s="9" t="str">
        <f t="shared" si="21"/>
        <v>April</v>
      </c>
      <c r="K305" s="2">
        <v>5.2100000380000004</v>
      </c>
      <c r="L305" s="2">
        <v>5.2100000380000004</v>
      </c>
      <c r="M305" s="2">
        <v>0</v>
      </c>
      <c r="N305" s="2">
        <v>0</v>
      </c>
      <c r="O305" s="2">
        <v>0</v>
      </c>
      <c r="P305" s="2">
        <v>5.1900000569999998</v>
      </c>
      <c r="Q305" s="2">
        <v>0.02</v>
      </c>
      <c r="R305" s="2">
        <v>0</v>
      </c>
      <c r="S305" s="2">
        <v>0</v>
      </c>
      <c r="T305" s="2">
        <v>271</v>
      </c>
      <c r="U305" s="2">
        <f t="shared" si="22"/>
        <v>271</v>
      </c>
      <c r="V305" s="2">
        <v>1169</v>
      </c>
      <c r="W305" s="2">
        <v>6885</v>
      </c>
      <c r="X305" s="2">
        <f t="shared" si="23"/>
        <v>6885</v>
      </c>
      <c r="Y305" s="2">
        <v>2766</v>
      </c>
      <c r="Z305" t="str" cm="1">
        <f t="array" ref="Z305">_xlfn.IFS(OR(R305&gt;66, S305&gt;38), "High Engagement", OR(AND(R305&gt;32, R305&lt;=66), AND(S305&gt;19, S305&lt;=38)), "Medium-High Engagement", OR(AND(R305&gt;4, R305&lt;=32), AND(S305&gt;6, S305&lt;=19)),"Medium Engagement", TRUE, "Low Engagement"
)</f>
        <v>Low Engagement</v>
      </c>
      <c r="AA305">
        <f t="shared" si="24"/>
        <v>0.40174291938997819</v>
      </c>
    </row>
    <row r="306" spans="1:27" x14ac:dyDescent="0.35">
      <c r="A306" s="2">
        <v>2347167796</v>
      </c>
      <c r="B306" s="2" t="s">
        <v>88</v>
      </c>
      <c r="C306" s="2">
        <f>VLOOKUP(user_activity!A68,users_details!$A$1:$G$34,5,0)</f>
        <v>21</v>
      </c>
      <c r="D306" s="2" t="str" cm="1">
        <f t="array" ref="D306">_xlfn.IFS( AND(C306&gt;=18, C306&lt;=25), "Emerging Adults",  AND(C306&gt;=26, C306&lt;=35),  "Young Adults",  AND(C306&gt;=36, C306&lt;=45),  "Midlife Adults",  AND(C306&gt;=46, C306&lt;=55), "Mature Adults", C306&gt;=56,  "Older Adults", TRUE, "Age Not Mentioned")</f>
        <v>Emerging Adults</v>
      </c>
      <c r="E306" s="2" t="str">
        <f>VLOOKUP(user_activity!A68,users_details!$A$1:$G$34,6,0)</f>
        <v>Bushwick, Brooklyn</v>
      </c>
      <c r="F306" s="2" t="str">
        <f>VLOOKUP(user_activity!A68,users_details!$A$1:$G$34,7,0)</f>
        <v>Bushwick</v>
      </c>
      <c r="G306" s="2" t="s">
        <v>71</v>
      </c>
      <c r="H306" s="7">
        <v>42475</v>
      </c>
      <c r="I306" s="9" t="str">
        <f t="shared" si="20"/>
        <v>Friday</v>
      </c>
      <c r="J306" s="9" t="str">
        <f t="shared" si="21"/>
        <v>April</v>
      </c>
      <c r="K306" s="2">
        <v>6.920000076</v>
      </c>
      <c r="L306" s="2">
        <v>6.920000076</v>
      </c>
      <c r="M306" s="2">
        <v>0</v>
      </c>
      <c r="N306" s="2">
        <v>7.0000000000000007E-2</v>
      </c>
      <c r="O306" s="2">
        <v>1.4199999569999999</v>
      </c>
      <c r="P306" s="2">
        <v>5.4299998279999997</v>
      </c>
      <c r="Q306" s="2">
        <v>0</v>
      </c>
      <c r="R306" s="2">
        <v>1</v>
      </c>
      <c r="S306" s="2">
        <v>24</v>
      </c>
      <c r="T306" s="2">
        <v>284</v>
      </c>
      <c r="U306" s="2">
        <f t="shared" si="22"/>
        <v>309</v>
      </c>
      <c r="V306" s="2">
        <v>720</v>
      </c>
      <c r="W306" s="2">
        <v>10465</v>
      </c>
      <c r="X306" s="2">
        <f t="shared" si="23"/>
        <v>10465</v>
      </c>
      <c r="Y306" s="2">
        <v>2133</v>
      </c>
      <c r="Z306" t="str" cm="1">
        <f t="array" ref="Z306">_xlfn.IFS(OR(R306&gt;66, S306&gt;38), "High Engagement", OR(AND(R306&gt;32, R306&lt;=66), AND(S306&gt;19, S306&lt;=38)), "Medium-High Engagement", OR(AND(R306&gt;4, R306&lt;=32), AND(S306&gt;6, S306&lt;=19)),"Medium Engagement", TRUE, "Low Engagement"
)</f>
        <v>Medium-High Engagement</v>
      </c>
      <c r="AA306">
        <f t="shared" si="24"/>
        <v>0.2038222646918299</v>
      </c>
    </row>
    <row r="307" spans="1:27" x14ac:dyDescent="0.35">
      <c r="A307" s="2">
        <v>6290855005</v>
      </c>
      <c r="B307" s="2" t="s">
        <v>80</v>
      </c>
      <c r="C307" s="2">
        <f>VLOOKUP(user_activity!A107,users_details!$A$1:$G$34,5,0)</f>
        <v>22</v>
      </c>
      <c r="D307" s="2" t="str" cm="1">
        <f t="array" ref="D307">_xlfn.IFS( AND(C307&gt;=18, C307&lt;=25), "Emerging Adults",  AND(C307&gt;=26, C307&lt;=35),  "Young Adults",  AND(C307&gt;=36, C307&lt;=45),  "Midlife Adults",  AND(C307&gt;=46, C307&lt;=55), "Mature Adults", C307&gt;=56,  "Older Adults", TRUE, "Age Not Mentioned")</f>
        <v>Emerging Adults</v>
      </c>
      <c r="E307" s="2" t="str">
        <f>VLOOKUP(user_activity!A107,users_details!$A$1:$G$34,6,0)</f>
        <v>Upper East Side, Manhattan</v>
      </c>
      <c r="F307" s="2" t="str">
        <f>VLOOKUP(user_activity!A107,users_details!$A$1:$G$34,7,0)</f>
        <v>Upper East Side</v>
      </c>
      <c r="G307" s="2" t="s">
        <v>72</v>
      </c>
      <c r="H307" s="7">
        <v>42482</v>
      </c>
      <c r="I307" s="9" t="str">
        <f t="shared" si="20"/>
        <v>Friday</v>
      </c>
      <c r="J307" s="9" t="str">
        <f t="shared" si="21"/>
        <v>April</v>
      </c>
      <c r="K307" s="2">
        <v>4.7199997900000001</v>
      </c>
      <c r="L307" s="2">
        <v>4.7199997900000001</v>
      </c>
      <c r="M307" s="2">
        <v>0</v>
      </c>
      <c r="N307" s="2">
        <v>0</v>
      </c>
      <c r="O307" s="2">
        <v>0</v>
      </c>
      <c r="P307" s="2">
        <v>4.7199997900000001</v>
      </c>
      <c r="Q307" s="2">
        <v>0</v>
      </c>
      <c r="R307" s="2">
        <v>0</v>
      </c>
      <c r="S307" s="2">
        <v>0</v>
      </c>
      <c r="T307" s="2">
        <v>302</v>
      </c>
      <c r="U307" s="2">
        <f t="shared" si="22"/>
        <v>302</v>
      </c>
      <c r="V307" s="2">
        <v>1138</v>
      </c>
      <c r="W307" s="2">
        <v>6238</v>
      </c>
      <c r="X307" s="2">
        <f t="shared" si="23"/>
        <v>6238</v>
      </c>
      <c r="Y307" s="2">
        <v>2796</v>
      </c>
      <c r="Z307" t="str" cm="1">
        <f t="array" ref="Z307">_xlfn.IFS(OR(R307&gt;66, S307&gt;38), "High Engagement", OR(AND(R307&gt;32, R307&lt;=66), AND(S307&gt;19, S307&lt;=38)), "Medium-High Engagement", OR(AND(R307&gt;4, R307&lt;=32), AND(S307&gt;6, S307&lt;=19)),"Medium Engagement", TRUE, "Low Engagement"
)</f>
        <v>Low Engagement</v>
      </c>
      <c r="AA307">
        <f t="shared" si="24"/>
        <v>0.44822058352035909</v>
      </c>
    </row>
    <row r="308" spans="1:27" x14ac:dyDescent="0.35">
      <c r="A308" s="2">
        <v>2347167796</v>
      </c>
      <c r="B308" s="2" t="s">
        <v>88</v>
      </c>
      <c r="C308" s="2">
        <f>VLOOKUP(user_activity!A128,users_details!$A$1:$G$34,5,0)</f>
        <v>22</v>
      </c>
      <c r="D308" s="2" t="str" cm="1">
        <f t="array" ref="D308">_xlfn.IFS( AND(C308&gt;=18, C308&lt;=25), "Emerging Adults",  AND(C308&gt;=26, C308&lt;=35),  "Young Adults",  AND(C308&gt;=36, C308&lt;=45),  "Midlife Adults",  AND(C308&gt;=46, C308&lt;=55), "Mature Adults", C308&gt;=56,  "Older Adults", TRUE, "Age Not Mentioned")</f>
        <v>Emerging Adults</v>
      </c>
      <c r="E308" s="2" t="str">
        <f>VLOOKUP(user_activity!A128,users_details!$A$1:$G$34,6,0)</f>
        <v>Washington Heights, Manhattan</v>
      </c>
      <c r="F308" s="2" t="str">
        <f>VLOOKUP(user_activity!A128,users_details!$A$1:$G$34,7,0)</f>
        <v>Washington Heights</v>
      </c>
      <c r="G308" s="2" t="s">
        <v>71</v>
      </c>
      <c r="H308" s="7">
        <v>42484</v>
      </c>
      <c r="I308" s="9" t="str">
        <f t="shared" si="20"/>
        <v>Sunday</v>
      </c>
      <c r="J308" s="9" t="str">
        <f t="shared" si="21"/>
        <v>April</v>
      </c>
      <c r="K308" s="2">
        <v>6.2600002290000001</v>
      </c>
      <c r="L308" s="2">
        <v>6.2600002290000001</v>
      </c>
      <c r="M308" s="2">
        <v>0</v>
      </c>
      <c r="N308" s="2">
        <v>0</v>
      </c>
      <c r="O308" s="2">
        <v>0</v>
      </c>
      <c r="P308" s="2">
        <v>6.2600002290000001</v>
      </c>
      <c r="Q308" s="2">
        <v>0</v>
      </c>
      <c r="R308" s="2">
        <v>0</v>
      </c>
      <c r="S308" s="2">
        <v>0</v>
      </c>
      <c r="T308" s="2">
        <v>360</v>
      </c>
      <c r="U308" s="2">
        <f t="shared" si="22"/>
        <v>360</v>
      </c>
      <c r="V308" s="2">
        <v>584</v>
      </c>
      <c r="W308" s="2">
        <v>9471</v>
      </c>
      <c r="X308" s="2">
        <f t="shared" si="23"/>
        <v>9471</v>
      </c>
      <c r="Y308" s="2">
        <v>2187</v>
      </c>
      <c r="Z308" t="str" cm="1">
        <f t="array" ref="Z308">_xlfn.IFS(OR(R308&gt;66, S308&gt;38), "High Engagement", OR(AND(R308&gt;32, R308&lt;=66), AND(S308&gt;19, S308&lt;=38)), "Medium-High Engagement", OR(AND(R308&gt;4, R308&lt;=32), AND(S308&gt;6, S308&lt;=19)),"Medium Engagement", TRUE, "Low Engagement"
)</f>
        <v>Low Engagement</v>
      </c>
      <c r="AA308">
        <f t="shared" si="24"/>
        <v>0.23091542603737725</v>
      </c>
    </row>
    <row r="309" spans="1:27" x14ac:dyDescent="0.35">
      <c r="A309" s="2">
        <v>2347167796</v>
      </c>
      <c r="B309" s="2" t="s">
        <v>88</v>
      </c>
      <c r="C309" s="2">
        <f>VLOOKUP(user_activity!A151,users_details!$A$1:$G$34,5,0)</f>
        <v>23</v>
      </c>
      <c r="D309" s="2" t="str" cm="1">
        <f t="array" ref="D309">_xlfn.IFS( AND(C309&gt;=18, C309&lt;=25), "Emerging Adults",  AND(C309&gt;=26, C309&lt;=35),  "Young Adults",  AND(C309&gt;=36, C309&lt;=45),  "Midlife Adults",  AND(C309&gt;=46, C309&lt;=55), "Mature Adults", C309&gt;=56,  "Older Adults", TRUE, "Age Not Mentioned")</f>
        <v>Emerging Adults</v>
      </c>
      <c r="E309" s="2" t="str">
        <f>VLOOKUP(user_activity!A151,users_details!$A$1:$G$34,6,0)</f>
        <v>Crown Heights, Brooklyn</v>
      </c>
      <c r="F309" s="2" t="str">
        <f>VLOOKUP(user_activity!A151,users_details!$A$1:$G$34,7,0)</f>
        <v>Crown Heights</v>
      </c>
      <c r="G309" s="2" t="s">
        <v>71</v>
      </c>
      <c r="H309" s="7">
        <v>42485</v>
      </c>
      <c r="I309" s="9" t="str">
        <f t="shared" si="20"/>
        <v>Monday</v>
      </c>
      <c r="J309" s="9" t="str">
        <f t="shared" si="21"/>
        <v>April</v>
      </c>
      <c r="K309" s="2">
        <v>6.3800001139999996</v>
      </c>
      <c r="L309" s="2">
        <v>6.3800001139999996</v>
      </c>
      <c r="M309" s="2">
        <v>0</v>
      </c>
      <c r="N309" s="2">
        <v>1.269999981</v>
      </c>
      <c r="O309" s="2">
        <v>0.519999981</v>
      </c>
      <c r="P309" s="2">
        <v>4.5999999049999998</v>
      </c>
      <c r="Q309" s="2">
        <v>0</v>
      </c>
      <c r="R309" s="2">
        <v>15</v>
      </c>
      <c r="S309" s="2">
        <v>11</v>
      </c>
      <c r="T309" s="2">
        <v>277</v>
      </c>
      <c r="U309" s="2">
        <f t="shared" si="22"/>
        <v>303</v>
      </c>
      <c r="V309" s="2">
        <v>653</v>
      </c>
      <c r="W309" s="2">
        <v>9482</v>
      </c>
      <c r="X309" s="2">
        <f t="shared" si="23"/>
        <v>9482</v>
      </c>
      <c r="Y309" s="2">
        <v>2095</v>
      </c>
      <c r="Z309" t="str" cm="1">
        <f t="array" ref="Z309">_xlfn.IFS(OR(R309&gt;66, S309&gt;38), "High Engagement", OR(AND(R309&gt;32, R309&lt;=66), AND(S309&gt;19, S309&lt;=38)), "Medium-High Engagement", OR(AND(R309&gt;4, R309&lt;=32), AND(S309&gt;6, S309&lt;=19)),"Medium Engagement", TRUE, "Low Engagement"
)</f>
        <v>Medium Engagement</v>
      </c>
      <c r="AA309">
        <f t="shared" si="24"/>
        <v>0.22094494832313857</v>
      </c>
    </row>
    <row r="310" spans="1:27" x14ac:dyDescent="0.35">
      <c r="A310" s="2">
        <v>2347167796</v>
      </c>
      <c r="B310" s="2" t="s">
        <v>88</v>
      </c>
      <c r="C310" s="2">
        <f>VLOOKUP(user_activity!A168,users_details!$A$1:$G$34,5,0)</f>
        <v>23</v>
      </c>
      <c r="D310" s="2" t="str" cm="1">
        <f t="array" ref="D310">_xlfn.IFS( AND(C310&gt;=18, C310&lt;=25), "Emerging Adults",  AND(C310&gt;=26, C310&lt;=35),  "Young Adults",  AND(C310&gt;=36, C310&lt;=45),  "Midlife Adults",  AND(C310&gt;=46, C310&lt;=55), "Mature Adults", C310&gt;=56,  "Older Adults", TRUE, "Age Not Mentioned")</f>
        <v>Emerging Adults</v>
      </c>
      <c r="E310" s="2" t="str">
        <f>VLOOKUP(user_activity!A168,users_details!$A$1:$G$34,6,0)</f>
        <v>Crown Heights, Brooklyn</v>
      </c>
      <c r="F310" s="2" t="str">
        <f>VLOOKUP(user_activity!A168,users_details!$A$1:$G$34,7,0)</f>
        <v>Crown Heights</v>
      </c>
      <c r="G310" s="2" t="s">
        <v>71</v>
      </c>
      <c r="H310" s="7">
        <v>42486</v>
      </c>
      <c r="I310" s="9" t="str">
        <f t="shared" si="20"/>
        <v>Tuesday</v>
      </c>
      <c r="J310" s="9" t="str">
        <f t="shared" si="21"/>
        <v>April</v>
      </c>
      <c r="K310" s="2">
        <v>3.9500000480000002</v>
      </c>
      <c r="L310" s="2">
        <v>3.9500000480000002</v>
      </c>
      <c r="M310" s="2">
        <v>0</v>
      </c>
      <c r="N310" s="2">
        <v>0</v>
      </c>
      <c r="O310" s="2">
        <v>0</v>
      </c>
      <c r="P310" s="2">
        <v>3.9500000480000002</v>
      </c>
      <c r="Q310" s="2">
        <v>0</v>
      </c>
      <c r="R310" s="2">
        <v>0</v>
      </c>
      <c r="S310" s="2">
        <v>0</v>
      </c>
      <c r="T310" s="2">
        <v>227</v>
      </c>
      <c r="U310" s="2">
        <f t="shared" si="22"/>
        <v>227</v>
      </c>
      <c r="V310" s="2">
        <v>732</v>
      </c>
      <c r="W310" s="2">
        <v>5980</v>
      </c>
      <c r="X310" s="2">
        <f t="shared" si="23"/>
        <v>5980</v>
      </c>
      <c r="Y310" s="2">
        <v>1861</v>
      </c>
      <c r="Z310" t="str" cm="1">
        <f t="array" ref="Z310">_xlfn.IFS(OR(R310&gt;66, S310&gt;38), "High Engagement", OR(AND(R310&gt;32, R310&lt;=66), AND(S310&gt;19, S310&lt;=38)), "Medium-High Engagement", OR(AND(R310&gt;4, R310&lt;=32), AND(S310&gt;6, S310&lt;=19)),"Medium Engagement", TRUE, "Low Engagement"
)</f>
        <v>Low Engagement</v>
      </c>
      <c r="AA310">
        <f t="shared" si="24"/>
        <v>0.31120401337792641</v>
      </c>
    </row>
    <row r="311" spans="1:27" x14ac:dyDescent="0.35">
      <c r="A311" s="2">
        <v>6290855005</v>
      </c>
      <c r="B311" s="2" t="s">
        <v>80</v>
      </c>
      <c r="C311" s="2">
        <f>VLOOKUP(user_activity!A208,users_details!$A$1:$G$34,5,0)</f>
        <v>24</v>
      </c>
      <c r="D311" s="2" t="str" cm="1">
        <f t="array" ref="D311">_xlfn.IFS( AND(C311&gt;=18, C311&lt;=25), "Emerging Adults",  AND(C311&gt;=26, C311&lt;=35),  "Young Adults",  AND(C311&gt;=36, C311&lt;=45),  "Midlife Adults",  AND(C311&gt;=46, C311&lt;=55), "Mature Adults", C311&gt;=56,  "Older Adults", TRUE, "Age Not Mentioned")</f>
        <v>Emerging Adults</v>
      </c>
      <c r="E311" s="2" t="str">
        <f>VLOOKUP(user_activity!A208,users_details!$A$1:$G$34,6,0)</f>
        <v>East Village, Manhattan</v>
      </c>
      <c r="F311" s="2" t="str">
        <f>VLOOKUP(user_activity!A208,users_details!$A$1:$G$34,7,0)</f>
        <v>East Village</v>
      </c>
      <c r="G311" s="2" t="s">
        <v>72</v>
      </c>
      <c r="H311" s="7">
        <v>42475</v>
      </c>
      <c r="I311" s="9" t="str">
        <f t="shared" si="20"/>
        <v>Friday</v>
      </c>
      <c r="J311" s="9" t="str">
        <f t="shared" si="21"/>
        <v>April</v>
      </c>
      <c r="K311" s="2">
        <v>7.1799998279999997</v>
      </c>
      <c r="L311" s="2">
        <v>7.1799998279999997</v>
      </c>
      <c r="M311" s="2">
        <v>0</v>
      </c>
      <c r="N311" s="2">
        <v>0</v>
      </c>
      <c r="O311" s="2">
        <v>0</v>
      </c>
      <c r="P311" s="2">
        <v>7.170000076</v>
      </c>
      <c r="Q311" s="2">
        <v>0.01</v>
      </c>
      <c r="R311" s="2">
        <v>0</v>
      </c>
      <c r="S311" s="2">
        <v>0</v>
      </c>
      <c r="T311" s="2">
        <v>328</v>
      </c>
      <c r="U311" s="2">
        <f t="shared" si="22"/>
        <v>328</v>
      </c>
      <c r="V311" s="2">
        <v>1112</v>
      </c>
      <c r="W311" s="2">
        <v>9501</v>
      </c>
      <c r="X311" s="2">
        <f t="shared" si="23"/>
        <v>9501</v>
      </c>
      <c r="Y311" s="2">
        <v>2896</v>
      </c>
      <c r="Z311" t="str" cm="1">
        <f t="array" ref="Z311">_xlfn.IFS(OR(R311&gt;66, S311&gt;38), "High Engagement", OR(AND(R311&gt;32, R311&lt;=66), AND(S311&gt;19, S311&lt;=38)), "Medium-High Engagement", OR(AND(R311&gt;4, R311&lt;=32), AND(S311&gt;6, S311&lt;=19)),"Medium Engagement", TRUE, "Low Engagement"
)</f>
        <v>Low Engagement</v>
      </c>
      <c r="AA311">
        <f t="shared" si="24"/>
        <v>0.30481001999789498</v>
      </c>
    </row>
    <row r="312" spans="1:27" x14ac:dyDescent="0.35">
      <c r="A312" s="2">
        <v>6290855005</v>
      </c>
      <c r="B312" s="2" t="s">
        <v>80</v>
      </c>
      <c r="C312" s="2">
        <f>VLOOKUP(user_activity!A294,users_details!$A$1:$G$34,5,0)</f>
        <v>29</v>
      </c>
      <c r="D312" s="2" t="str" cm="1">
        <f t="array" ref="D312">_xlfn.IFS( AND(C312&gt;=18, C312&lt;=25), "Emerging Adults",  AND(C312&gt;=26, C312&lt;=35),  "Young Adults",  AND(C312&gt;=36, C312&lt;=45),  "Midlife Adults",  AND(C312&gt;=46, C312&lt;=55), "Mature Adults", C312&gt;=56,  "Older Adults", TRUE, "Age Not Mentioned")</f>
        <v>Young Adults</v>
      </c>
      <c r="E312" s="2" t="str">
        <f>VLOOKUP(user_activity!A294,users_details!$A$1:$G$34,6,0)</f>
        <v>East Village, Manhattan</v>
      </c>
      <c r="F312" s="2" t="str">
        <f>VLOOKUP(user_activity!A294,users_details!$A$1:$G$34,7,0)</f>
        <v>East Village</v>
      </c>
      <c r="G312" s="2" t="s">
        <v>72</v>
      </c>
      <c r="H312" s="7">
        <v>42648</v>
      </c>
      <c r="I312" s="9" t="str">
        <f t="shared" si="20"/>
        <v>Wednesday</v>
      </c>
      <c r="J312" s="9" t="str">
        <f t="shared" si="21"/>
        <v>October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f t="shared" si="22"/>
        <v>0</v>
      </c>
      <c r="V312" s="2">
        <v>1440</v>
      </c>
      <c r="W312" s="2">
        <v>0</v>
      </c>
      <c r="X312" s="2">
        <f t="shared" si="23"/>
        <v>7405.5</v>
      </c>
      <c r="Y312" s="2">
        <v>0</v>
      </c>
      <c r="Z312" t="str" cm="1">
        <f t="array" ref="Z312">_xlfn.IFS(OR(R312&gt;66, S312&gt;38), "High Engagement", OR(AND(R312&gt;32, R312&lt;=66), AND(S312&gt;19, S312&lt;=38)), "Medium-High Engagement", OR(AND(R312&gt;4, R312&lt;=32), AND(S312&gt;6, S312&lt;=19)),"Medium Engagement", TRUE, "Low Engagement"
)</f>
        <v>Low Engagement</v>
      </c>
      <c r="AA312">
        <f t="shared" si="24"/>
        <v>0</v>
      </c>
    </row>
    <row r="313" spans="1:27" x14ac:dyDescent="0.35">
      <c r="A313" s="2">
        <v>2347167796</v>
      </c>
      <c r="B313" s="2" t="s">
        <v>88</v>
      </c>
      <c r="C313" s="2">
        <f>VLOOKUP(user_activity!A359,users_details!$A$1:$G$34,5,0)</f>
        <v>31</v>
      </c>
      <c r="D313" s="2" t="str" cm="1">
        <f t="array" ref="D313">_xlfn.IFS( AND(C313&gt;=18, C313&lt;=25), "Emerging Adults",  AND(C313&gt;=26, C313&lt;=35),  "Young Adults",  AND(C313&gt;=36, C313&lt;=45),  "Midlife Adults",  AND(C313&gt;=46, C313&lt;=55), "Mature Adults", C313&gt;=56,  "Older Adults", TRUE, "Age Not Mentioned")</f>
        <v>Young Adults</v>
      </c>
      <c r="E313" s="2" t="str">
        <f>VLOOKUP(user_activity!A359,users_details!$A$1:$G$34,6,0)</f>
        <v>Midtown, Manhattan</v>
      </c>
      <c r="F313" s="2" t="str">
        <f>VLOOKUP(user_activity!A359,users_details!$A$1:$G$34,7,0)</f>
        <v>Midtown</v>
      </c>
      <c r="G313" s="2" t="s">
        <v>71</v>
      </c>
      <c r="H313" s="7">
        <v>42489</v>
      </c>
      <c r="I313" s="9" t="str">
        <f t="shared" si="20"/>
        <v>Friday</v>
      </c>
      <c r="J313" s="9" t="str">
        <f t="shared" si="21"/>
        <v>April</v>
      </c>
      <c r="K313" s="2">
        <v>2.9999998999999999E-2</v>
      </c>
      <c r="L313" s="2">
        <v>2.9999998999999999E-2</v>
      </c>
      <c r="M313" s="2">
        <v>0</v>
      </c>
      <c r="N313" s="2">
        <v>0</v>
      </c>
      <c r="O313" s="2">
        <v>0</v>
      </c>
      <c r="P313" s="2">
        <v>2.9999998999999999E-2</v>
      </c>
      <c r="Q313" s="2">
        <v>0</v>
      </c>
      <c r="R313" s="2">
        <v>0</v>
      </c>
      <c r="S313" s="2">
        <v>0</v>
      </c>
      <c r="T313" s="2">
        <v>4</v>
      </c>
      <c r="U313" s="2">
        <f t="shared" si="22"/>
        <v>4</v>
      </c>
      <c r="V313" s="2">
        <v>2</v>
      </c>
      <c r="W313" s="2">
        <v>42</v>
      </c>
      <c r="X313" s="2">
        <f t="shared" si="23"/>
        <v>42</v>
      </c>
      <c r="Y313" s="2">
        <v>403</v>
      </c>
      <c r="Z313" t="str" cm="1">
        <f t="array" ref="Z313">_xlfn.IFS(OR(R313&gt;66, S313&gt;38), "High Engagement", OR(AND(R313&gt;32, R313&lt;=66), AND(S313&gt;19, S313&lt;=38)), "Medium-High Engagement", OR(AND(R313&gt;4, R313&lt;=32), AND(S313&gt;6, S313&lt;=19)),"Medium Engagement", TRUE, "Low Engagement"
)</f>
        <v>Low Engagement</v>
      </c>
      <c r="AA313">
        <f t="shared" si="24"/>
        <v>9.5952380952380949</v>
      </c>
    </row>
    <row r="314" spans="1:27" x14ac:dyDescent="0.35">
      <c r="A314" s="2">
        <v>6290855005</v>
      </c>
      <c r="B314" s="2" t="s">
        <v>80</v>
      </c>
      <c r="C314" s="2">
        <f>VLOOKUP(user_activity!A389,users_details!$A$1:$G$34,5,0)</f>
        <v>32</v>
      </c>
      <c r="D314" s="2" t="str" cm="1">
        <f t="array" ref="D314">_xlfn.IFS( AND(C314&gt;=18, C314&lt;=25), "Emerging Adults",  AND(C314&gt;=26, C314&lt;=35),  "Young Adults",  AND(C314&gt;=36, C314&lt;=45),  "Midlife Adults",  AND(C314&gt;=46, C314&lt;=55), "Mature Adults", C314&gt;=56,  "Older Adults", TRUE, "Age Not Mentioned")</f>
        <v>Young Adults</v>
      </c>
      <c r="E314" s="2" t="str">
        <f>VLOOKUP(user_activity!A389,users_details!$A$1:$G$34,6,0)</f>
        <v>Greenpoint, Brooklyn</v>
      </c>
      <c r="F314" s="2" t="str">
        <f>VLOOKUP(user_activity!A389,users_details!$A$1:$G$34,7,0)</f>
        <v>Greenpoint</v>
      </c>
      <c r="G314" s="2" t="s">
        <v>72</v>
      </c>
      <c r="H314" s="7">
        <v>42476</v>
      </c>
      <c r="I314" s="9" t="str">
        <f t="shared" si="20"/>
        <v>Saturday</v>
      </c>
      <c r="J314" s="9" t="str">
        <f t="shared" si="21"/>
        <v>April</v>
      </c>
      <c r="K314" s="2">
        <v>6.2800002099999999</v>
      </c>
      <c r="L314" s="2">
        <v>6.2800002099999999</v>
      </c>
      <c r="M314" s="2">
        <v>0</v>
      </c>
      <c r="N314" s="2">
        <v>0</v>
      </c>
      <c r="O314" s="2">
        <v>0</v>
      </c>
      <c r="P314" s="2">
        <v>6.2699999809999998</v>
      </c>
      <c r="Q314" s="2">
        <v>0.01</v>
      </c>
      <c r="R314" s="2">
        <v>0</v>
      </c>
      <c r="S314" s="2">
        <v>0</v>
      </c>
      <c r="T314" s="2">
        <v>258</v>
      </c>
      <c r="U314" s="2">
        <f t="shared" si="22"/>
        <v>258</v>
      </c>
      <c r="V314" s="2">
        <v>1182</v>
      </c>
      <c r="W314" s="2">
        <v>8301</v>
      </c>
      <c r="X314" s="2">
        <f t="shared" si="23"/>
        <v>8301</v>
      </c>
      <c r="Y314" s="2">
        <v>2783</v>
      </c>
      <c r="Z314" t="str" cm="1">
        <f t="array" ref="Z314">_xlfn.IFS(OR(R314&gt;66, S314&gt;38), "High Engagement", OR(AND(R314&gt;32, R314&lt;=66), AND(S314&gt;19, S314&lt;=38)), "Medium-High Engagement", OR(AND(R314&gt;4, R314&lt;=32), AND(S314&gt;6, S314&lt;=19)),"Medium Engagement", TRUE, "Low Engagement"
)</f>
        <v>Low Engagement</v>
      </c>
      <c r="AA314">
        <f t="shared" si="24"/>
        <v>0.33526081195036744</v>
      </c>
    </row>
    <row r="315" spans="1:27" x14ac:dyDescent="0.35">
      <c r="A315" s="2">
        <v>2347167796</v>
      </c>
      <c r="B315" s="2" t="s">
        <v>88</v>
      </c>
      <c r="C315" s="2">
        <f>VLOOKUP(user_activity!A393,users_details!$A$1:$G$34,5,0)</f>
        <v>32</v>
      </c>
      <c r="D315" s="2" t="str" cm="1">
        <f t="array" ref="D315">_xlfn.IFS( AND(C315&gt;=18, C315&lt;=25), "Emerging Adults",  AND(C315&gt;=26, C315&lt;=35),  "Young Adults",  AND(C315&gt;=36, C315&lt;=45),  "Midlife Adults",  AND(C315&gt;=46, C315&lt;=55), "Mature Adults", C315&gt;=56,  "Older Adults", TRUE, "Age Not Mentioned")</f>
        <v>Young Adults</v>
      </c>
      <c r="E315" s="2" t="str">
        <f>VLOOKUP(user_activity!A393,users_details!$A$1:$G$34,6,0)</f>
        <v>East Harlem, Manhattan</v>
      </c>
      <c r="F315" s="2" t="str">
        <f>VLOOKUP(user_activity!A393,users_details!$A$1:$G$34,7,0)</f>
        <v>East Harlem</v>
      </c>
      <c r="G315" s="2" t="s">
        <v>71</v>
      </c>
      <c r="H315" s="7">
        <v>42473</v>
      </c>
      <c r="I315" s="9" t="str">
        <f t="shared" si="20"/>
        <v>Wednesday</v>
      </c>
      <c r="J315" s="9" t="str">
        <f t="shared" si="21"/>
        <v>April</v>
      </c>
      <c r="K315" s="2">
        <v>7.0100002290000001</v>
      </c>
      <c r="L315" s="2">
        <v>7.0100002290000001</v>
      </c>
      <c r="M315" s="2">
        <v>0</v>
      </c>
      <c r="N315" s="2">
        <v>1.6599999670000001</v>
      </c>
      <c r="O315" s="2">
        <v>1.940000057</v>
      </c>
      <c r="P315" s="2">
        <v>3.4100000860000002</v>
      </c>
      <c r="Q315" s="2">
        <v>0</v>
      </c>
      <c r="R315" s="2">
        <v>19</v>
      </c>
      <c r="S315" s="2">
        <v>32</v>
      </c>
      <c r="T315" s="2">
        <v>195</v>
      </c>
      <c r="U315" s="2">
        <f t="shared" si="22"/>
        <v>246</v>
      </c>
      <c r="V315" s="2">
        <v>676</v>
      </c>
      <c r="W315" s="2">
        <v>10352</v>
      </c>
      <c r="X315" s="2">
        <f t="shared" si="23"/>
        <v>10352</v>
      </c>
      <c r="Y315" s="2">
        <v>2038</v>
      </c>
      <c r="Z315" t="str" cm="1">
        <f t="array" ref="Z315">_xlfn.IFS(OR(R315&gt;66, S315&gt;38), "High Engagement", OR(AND(R315&gt;32, R315&lt;=66), AND(S315&gt;19, S315&lt;=38)), "Medium-High Engagement", OR(AND(R315&gt;4, R315&lt;=32), AND(S315&gt;6, S315&lt;=19)),"Medium Engagement", TRUE, "Low Engagement"
)</f>
        <v>Medium-High Engagement</v>
      </c>
      <c r="AA315">
        <f t="shared" si="24"/>
        <v>0.19687017001545595</v>
      </c>
    </row>
    <row r="316" spans="1:27" x14ac:dyDescent="0.35">
      <c r="A316" s="2">
        <v>6290855005</v>
      </c>
      <c r="B316" s="2" t="s">
        <v>80</v>
      </c>
      <c r="C316" s="2">
        <f>VLOOKUP(user_activity!A435,users_details!$A$1:$G$34,5,0)</f>
        <v>32</v>
      </c>
      <c r="D316" s="2" t="str" cm="1">
        <f t="array" ref="D316">_xlfn.IFS( AND(C316&gt;=18, C316&lt;=25), "Emerging Adults",  AND(C316&gt;=26, C316&lt;=35),  "Young Adults",  AND(C316&gt;=36, C316&lt;=45),  "Midlife Adults",  AND(C316&gt;=46, C316&lt;=55), "Mature Adults", C316&gt;=56,  "Older Adults", TRUE, "Age Not Mentioned")</f>
        <v>Young Adults</v>
      </c>
      <c r="E316" s="2" t="str">
        <f>VLOOKUP(user_activity!A435,users_details!$A$1:$G$34,6,0)</f>
        <v>East Harlem, Manhattan</v>
      </c>
      <c r="F316" s="2" t="str">
        <f>VLOOKUP(user_activity!A435,users_details!$A$1:$G$34,7,0)</f>
        <v>East Harlem</v>
      </c>
      <c r="G316" s="2" t="s">
        <v>72</v>
      </c>
      <c r="H316" s="7">
        <v>42481</v>
      </c>
      <c r="I316" s="9" t="str">
        <f t="shared" si="20"/>
        <v>Thursday</v>
      </c>
      <c r="J316" s="9" t="str">
        <f t="shared" si="21"/>
        <v>April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f t="shared" si="22"/>
        <v>0</v>
      </c>
      <c r="V316" s="2">
        <v>1440</v>
      </c>
      <c r="W316" s="2">
        <v>0</v>
      </c>
      <c r="X316" s="2">
        <f t="shared" si="23"/>
        <v>7405.5</v>
      </c>
      <c r="Y316" s="2">
        <v>2060</v>
      </c>
      <c r="Z316" t="str" cm="1">
        <f t="array" ref="Z316">_xlfn.IFS(OR(R316&gt;66, S316&gt;38), "High Engagement", OR(AND(R316&gt;32, R316&lt;=66), AND(S316&gt;19, S316&lt;=38)), "Medium-High Engagement", OR(AND(R316&gt;4, R316&lt;=32), AND(S316&gt;6, S316&lt;=19)),"Medium Engagement", TRUE, "Low Engagement"
)</f>
        <v>Low Engagement</v>
      </c>
      <c r="AA316">
        <f t="shared" si="24"/>
        <v>0</v>
      </c>
    </row>
    <row r="317" spans="1:27" x14ac:dyDescent="0.35">
      <c r="A317" s="2">
        <v>2347167796</v>
      </c>
      <c r="B317" s="2" t="s">
        <v>88</v>
      </c>
      <c r="C317" s="2">
        <f>VLOOKUP(user_activity!A439,users_details!$A$1:$G$34,5,0)</f>
        <v>32</v>
      </c>
      <c r="D317" s="2" t="str" cm="1">
        <f t="array" ref="D317">_xlfn.IFS( AND(C317&gt;=18, C317&lt;=25), "Emerging Adults",  AND(C317&gt;=26, C317&lt;=35),  "Young Adults",  AND(C317&gt;=36, C317&lt;=45),  "Midlife Adults",  AND(C317&gt;=46, C317&lt;=55), "Mature Adults", C317&gt;=56,  "Older Adults", TRUE, "Age Not Mentioned")</f>
        <v>Young Adults</v>
      </c>
      <c r="E317" s="2" t="str">
        <f>VLOOKUP(user_activity!A439,users_details!$A$1:$G$34,6,0)</f>
        <v>Greenpoint, Brooklyn</v>
      </c>
      <c r="F317" s="2" t="str">
        <f>VLOOKUP(user_activity!A439,users_details!$A$1:$G$34,7,0)</f>
        <v>Greenpoint</v>
      </c>
      <c r="G317" s="2" t="s">
        <v>71</v>
      </c>
      <c r="H317" s="7">
        <v>42482</v>
      </c>
      <c r="I317" s="9" t="str">
        <f t="shared" si="20"/>
        <v>Friday</v>
      </c>
      <c r="J317" s="9" t="str">
        <f t="shared" si="21"/>
        <v>April</v>
      </c>
      <c r="K317" s="2">
        <v>5.1599998469999999</v>
      </c>
      <c r="L317" s="2">
        <v>5.1599998469999999</v>
      </c>
      <c r="M317" s="2">
        <v>0</v>
      </c>
      <c r="N317" s="2">
        <v>0.560000002</v>
      </c>
      <c r="O317" s="2">
        <v>1.6799999480000001</v>
      </c>
      <c r="P317" s="2">
        <v>2.920000076</v>
      </c>
      <c r="Q317" s="2">
        <v>0</v>
      </c>
      <c r="R317" s="2">
        <v>9</v>
      </c>
      <c r="S317" s="2">
        <v>27</v>
      </c>
      <c r="T317" s="2">
        <v>206</v>
      </c>
      <c r="U317" s="2">
        <f t="shared" si="22"/>
        <v>242</v>
      </c>
      <c r="V317" s="2">
        <v>781</v>
      </c>
      <c r="W317" s="2">
        <v>7804</v>
      </c>
      <c r="X317" s="2">
        <f t="shared" si="23"/>
        <v>7804</v>
      </c>
      <c r="Y317" s="2">
        <v>1946</v>
      </c>
      <c r="Z317" t="str" cm="1">
        <f t="array" ref="Z317">_xlfn.IFS(OR(R317&gt;66, S317&gt;38), "High Engagement", OR(AND(R317&gt;32, R317&lt;=66), AND(S317&gt;19, S317&lt;=38)), "Medium-High Engagement", OR(AND(R317&gt;4, R317&lt;=32), AND(S317&gt;6, S317&lt;=19)),"Medium Engagement", TRUE, "Low Engagement"
)</f>
        <v>Medium-High Engagement</v>
      </c>
      <c r="AA317">
        <f t="shared" si="24"/>
        <v>0.24935930292157868</v>
      </c>
    </row>
    <row r="318" spans="1:27" x14ac:dyDescent="0.35">
      <c r="A318" s="2">
        <v>2347167796</v>
      </c>
      <c r="B318" s="2" t="s">
        <v>88</v>
      </c>
      <c r="C318" s="2">
        <f>VLOOKUP(user_activity!A446,users_details!$A$1:$G$34,5,0)</f>
        <v>33</v>
      </c>
      <c r="D318" s="2" t="str" cm="1">
        <f t="array" ref="D318">_xlfn.IFS( AND(C318&gt;=18, C318&lt;=25), "Emerging Adults",  AND(C318&gt;=26, C318&lt;=35),  "Young Adults",  AND(C318&gt;=36, C318&lt;=45),  "Midlife Adults",  AND(C318&gt;=46, C318&lt;=55), "Mature Adults", C318&gt;=56,  "Older Adults", TRUE, "Age Not Mentioned")</f>
        <v>Young Adults</v>
      </c>
      <c r="E318" s="2" t="str">
        <f>VLOOKUP(user_activity!A446,users_details!$A$1:$G$34,6,0)</f>
        <v>Greenpoint, Brooklyn</v>
      </c>
      <c r="F318" s="2" t="str">
        <f>VLOOKUP(user_activity!A446,users_details!$A$1:$G$34,7,0)</f>
        <v>Greenpoint</v>
      </c>
      <c r="G318" s="2" t="s">
        <v>71</v>
      </c>
      <c r="H318" s="7">
        <v>42481</v>
      </c>
      <c r="I318" s="9" t="str">
        <f t="shared" si="20"/>
        <v>Thursday</v>
      </c>
      <c r="J318" s="9" t="str">
        <f t="shared" si="21"/>
        <v>April</v>
      </c>
      <c r="K318" s="2">
        <v>6.75</v>
      </c>
      <c r="L318" s="2">
        <v>6.75</v>
      </c>
      <c r="M318" s="2">
        <v>0</v>
      </c>
      <c r="N318" s="2">
        <v>1.8500000240000001</v>
      </c>
      <c r="O318" s="2">
        <v>1.5299999710000001</v>
      </c>
      <c r="P318" s="2">
        <v>3.380000114</v>
      </c>
      <c r="Q318" s="2">
        <v>0</v>
      </c>
      <c r="R318" s="2">
        <v>23</v>
      </c>
      <c r="S318" s="2">
        <v>26</v>
      </c>
      <c r="T318" s="2">
        <v>208</v>
      </c>
      <c r="U318" s="2">
        <f t="shared" si="22"/>
        <v>257</v>
      </c>
      <c r="V318" s="2">
        <v>761</v>
      </c>
      <c r="W318" s="2">
        <v>10080</v>
      </c>
      <c r="X318" s="2">
        <f t="shared" si="23"/>
        <v>10080</v>
      </c>
      <c r="Y318" s="2">
        <v>2048</v>
      </c>
      <c r="Z318" t="str" cm="1">
        <f t="array" ref="Z318">_xlfn.IFS(OR(R318&gt;66, S318&gt;38), "High Engagement", OR(AND(R318&gt;32, R318&lt;=66), AND(S318&gt;19, S318&lt;=38)), "Medium-High Engagement", OR(AND(R318&gt;4, R318&lt;=32), AND(S318&gt;6, S318&lt;=19)),"Medium Engagement", TRUE, "Low Engagement"
)</f>
        <v>Medium-High Engagement</v>
      </c>
      <c r="AA318">
        <f t="shared" si="24"/>
        <v>0.20317460317460317</v>
      </c>
    </row>
    <row r="319" spans="1:27" x14ac:dyDescent="0.35">
      <c r="A319" s="2">
        <v>2347167796</v>
      </c>
      <c r="B319" s="2" t="s">
        <v>88</v>
      </c>
      <c r="C319" s="2">
        <f>VLOOKUP(user_activity!A459,users_details!$A$1:$G$34,5,0)</f>
        <v>33</v>
      </c>
      <c r="D319" s="2" t="str" cm="1">
        <f t="array" ref="D319">_xlfn.IFS( AND(C319&gt;=18, C319&lt;=25), "Emerging Adults",  AND(C319&gt;=26, C319&lt;=35),  "Young Adults",  AND(C319&gt;=36, C319&lt;=45),  "Midlife Adults",  AND(C319&gt;=46, C319&lt;=55), "Mature Adults", C319&gt;=56,  "Older Adults", TRUE, "Age Not Mentioned")</f>
        <v>Young Adults</v>
      </c>
      <c r="E319" s="2" t="str">
        <f>VLOOKUP(user_activity!A459,users_details!$A$1:$G$34,6,0)</f>
        <v>Harlem, Manhattan</v>
      </c>
      <c r="F319" s="2" t="str">
        <f>VLOOKUP(user_activity!A459,users_details!$A$1:$G$34,7,0)</f>
        <v>Harlem</v>
      </c>
      <c r="G319" s="2" t="s">
        <v>71</v>
      </c>
      <c r="H319" s="7">
        <v>42474</v>
      </c>
      <c r="I319" s="9" t="str">
        <f t="shared" si="20"/>
        <v>Thursday</v>
      </c>
      <c r="J319" s="9" t="str">
        <f t="shared" si="21"/>
        <v>April</v>
      </c>
      <c r="K319" s="2">
        <v>6.6999998090000004</v>
      </c>
      <c r="L319" s="2">
        <v>6.6999998090000004</v>
      </c>
      <c r="M319" s="2">
        <v>0</v>
      </c>
      <c r="N319" s="2">
        <v>0.02</v>
      </c>
      <c r="O319" s="2">
        <v>2.7400000100000002</v>
      </c>
      <c r="P319" s="2">
        <v>3.9400000569999998</v>
      </c>
      <c r="Q319" s="2">
        <v>0</v>
      </c>
      <c r="R319" s="2">
        <v>1</v>
      </c>
      <c r="S319" s="2">
        <v>48</v>
      </c>
      <c r="T319" s="2">
        <v>206</v>
      </c>
      <c r="U319" s="2">
        <f t="shared" si="22"/>
        <v>255</v>
      </c>
      <c r="V319" s="2">
        <v>705</v>
      </c>
      <c r="W319" s="2">
        <v>10129</v>
      </c>
      <c r="X319" s="2">
        <f t="shared" si="23"/>
        <v>10129</v>
      </c>
      <c r="Y319" s="2">
        <v>2010</v>
      </c>
      <c r="Z319" t="str" cm="1">
        <f t="array" ref="Z319">_xlfn.IFS(OR(R319&gt;66, S319&gt;38), "High Engagement", OR(AND(R319&gt;32, R319&lt;=66), AND(S319&gt;19, S319&lt;=38)), "Medium-High Engagement", OR(AND(R319&gt;4, R319&lt;=32), AND(S319&gt;6, S319&lt;=19)),"Medium Engagement", TRUE, "Low Engagement"
)</f>
        <v>High Engagement</v>
      </c>
      <c r="AA319">
        <f t="shared" si="24"/>
        <v>0.19844012242077205</v>
      </c>
    </row>
    <row r="320" spans="1:27" x14ac:dyDescent="0.35">
      <c r="A320" s="2">
        <v>6290855005</v>
      </c>
      <c r="B320" s="2" t="s">
        <v>80</v>
      </c>
      <c r="C320" s="2">
        <f>VLOOKUP(user_activity!A463,users_details!$A$1:$G$34,5,0)</f>
        <v>33</v>
      </c>
      <c r="D320" s="2" t="str" cm="1">
        <f t="array" ref="D320">_xlfn.IFS( AND(C320&gt;=18, C320&lt;=25), "Emerging Adults",  AND(C320&gt;=26, C320&lt;=35),  "Young Adults",  AND(C320&gt;=36, C320&lt;=45),  "Midlife Adults",  AND(C320&gt;=46, C320&lt;=55), "Mature Adults", C320&gt;=56,  "Older Adults", TRUE, "Age Not Mentioned")</f>
        <v>Young Adults</v>
      </c>
      <c r="E320" s="2" t="str">
        <f>VLOOKUP(user_activity!A463,users_details!$A$1:$G$34,6,0)</f>
        <v>Harlem, Manhattan</v>
      </c>
      <c r="F320" s="2" t="str">
        <f>VLOOKUP(user_activity!A463,users_details!$A$1:$G$34,7,0)</f>
        <v>Harlem</v>
      </c>
      <c r="G320" s="2" t="s">
        <v>72</v>
      </c>
      <c r="H320" s="7">
        <v>42708</v>
      </c>
      <c r="I320" s="9" t="str">
        <f t="shared" si="20"/>
        <v>Sunday</v>
      </c>
      <c r="J320" s="9" t="str">
        <f t="shared" si="21"/>
        <v>December</v>
      </c>
      <c r="K320" s="2">
        <v>3.4500000480000002</v>
      </c>
      <c r="L320" s="2">
        <v>3.4500000480000002</v>
      </c>
      <c r="M320" s="2">
        <v>0</v>
      </c>
      <c r="N320" s="2">
        <v>0</v>
      </c>
      <c r="O320" s="2">
        <v>0</v>
      </c>
      <c r="P320" s="2">
        <v>3.4500000480000002</v>
      </c>
      <c r="Q320" s="2">
        <v>0</v>
      </c>
      <c r="R320" s="2">
        <v>0</v>
      </c>
      <c r="S320" s="2">
        <v>0</v>
      </c>
      <c r="T320" s="2">
        <v>199</v>
      </c>
      <c r="U320" s="2">
        <f t="shared" si="22"/>
        <v>199</v>
      </c>
      <c r="V320" s="2">
        <v>1241</v>
      </c>
      <c r="W320" s="2">
        <v>4562</v>
      </c>
      <c r="X320" s="2">
        <f t="shared" si="23"/>
        <v>4562</v>
      </c>
      <c r="Y320" s="2">
        <v>2560</v>
      </c>
      <c r="Z320" t="str" cm="1">
        <f t="array" ref="Z320">_xlfn.IFS(OR(R320&gt;66, S320&gt;38), "High Engagement", OR(AND(R320&gt;32, R320&lt;=66), AND(S320&gt;19, S320&lt;=38)), "Medium-High Engagement", OR(AND(R320&gt;4, R320&lt;=32), AND(S320&gt;6, S320&lt;=19)),"Medium Engagement", TRUE, "Low Engagement"
)</f>
        <v>Low Engagement</v>
      </c>
      <c r="AA320">
        <f t="shared" si="24"/>
        <v>0.56115738711091623</v>
      </c>
    </row>
    <row r="321" spans="1:27" x14ac:dyDescent="0.35">
      <c r="A321" s="2">
        <v>6290855005</v>
      </c>
      <c r="B321" s="2" t="s">
        <v>80</v>
      </c>
      <c r="C321" s="2">
        <f>VLOOKUP(user_activity!A484,users_details!$A$1:$G$34,5,0)</f>
        <v>33</v>
      </c>
      <c r="D321" s="2" t="str" cm="1">
        <f t="array" ref="D321">_xlfn.IFS( AND(C321&gt;=18, C321&lt;=25), "Emerging Adults",  AND(C321&gt;=26, C321&lt;=35),  "Young Adults",  AND(C321&gt;=36, C321&lt;=45),  "Midlife Adults",  AND(C321&gt;=46, C321&lt;=55), "Mature Adults", C321&gt;=56,  "Older Adults", TRUE, "Age Not Mentioned")</f>
        <v>Young Adults</v>
      </c>
      <c r="E321" s="2" t="str">
        <f>VLOOKUP(user_activity!A484,users_details!$A$1:$G$34,6,0)</f>
        <v>Greenpoint, Brooklyn</v>
      </c>
      <c r="F321" s="2" t="str">
        <f>VLOOKUP(user_activity!A484,users_details!$A$1:$G$34,7,0)</f>
        <v>Greenpoint</v>
      </c>
      <c r="G321" s="2" t="s">
        <v>72</v>
      </c>
      <c r="H321" s="7">
        <v>42556</v>
      </c>
      <c r="I321" s="9" t="str">
        <f t="shared" si="20"/>
        <v>Tuesday</v>
      </c>
      <c r="J321" s="9" t="str">
        <f t="shared" si="21"/>
        <v>July</v>
      </c>
      <c r="K321" s="2">
        <v>4.170000076</v>
      </c>
      <c r="L321" s="2">
        <v>4.170000076</v>
      </c>
      <c r="M321" s="2">
        <v>0</v>
      </c>
      <c r="N321" s="2">
        <v>0</v>
      </c>
      <c r="O321" s="2">
        <v>0</v>
      </c>
      <c r="P321" s="2">
        <v>4.1599998469999999</v>
      </c>
      <c r="Q321" s="2">
        <v>0</v>
      </c>
      <c r="R321" s="2">
        <v>0</v>
      </c>
      <c r="S321" s="2">
        <v>0</v>
      </c>
      <c r="T321" s="2">
        <v>227</v>
      </c>
      <c r="U321" s="2">
        <f t="shared" si="22"/>
        <v>227</v>
      </c>
      <c r="V321" s="2">
        <v>1213</v>
      </c>
      <c r="W321" s="2">
        <v>5510</v>
      </c>
      <c r="X321" s="2">
        <f t="shared" si="23"/>
        <v>5510</v>
      </c>
      <c r="Y321" s="2">
        <v>2613</v>
      </c>
      <c r="Z321" t="str" cm="1">
        <f t="array" ref="Z321">_xlfn.IFS(OR(R321&gt;66, S321&gt;38), "High Engagement", OR(AND(R321&gt;32, R321&lt;=66), AND(S321&gt;19, S321&lt;=38)), "Medium-High Engagement", OR(AND(R321&gt;4, R321&lt;=32), AND(S321&gt;6, S321&lt;=19)),"Medium Engagement", TRUE, "Low Engagement"
)</f>
        <v>Low Engagement</v>
      </c>
      <c r="AA321">
        <f t="shared" si="24"/>
        <v>0.47422867513611616</v>
      </c>
    </row>
    <row r="322" spans="1:27" x14ac:dyDescent="0.35">
      <c r="A322" s="2">
        <v>6290855005</v>
      </c>
      <c r="B322" s="2" t="s">
        <v>80</v>
      </c>
      <c r="C322" s="2">
        <f>VLOOKUP(user_activity!A518,users_details!$A$1:$G$34,5,0)</f>
        <v>36</v>
      </c>
      <c r="D322" s="2" t="str" cm="1">
        <f t="array" ref="D322">_xlfn.IFS( AND(C322&gt;=18, C322&lt;=25), "Emerging Adults",  AND(C322&gt;=26, C322&lt;=35),  "Young Adults",  AND(C322&gt;=36, C322&lt;=45),  "Midlife Adults",  AND(C322&gt;=46, C322&lt;=55), "Mature Adults", C322&gt;=56,  "Older Adults", TRUE, "Age Not Mentioned")</f>
        <v>Midlife Adults</v>
      </c>
      <c r="E322" s="2" t="str">
        <f>VLOOKUP(user_activity!A518,users_details!$A$1:$G$34,6,0)</f>
        <v>Williamsburg, Brooklyn</v>
      </c>
      <c r="F322" s="2" t="str">
        <f>VLOOKUP(user_activity!A518,users_details!$A$1:$G$34,7,0)</f>
        <v>Williamsburg</v>
      </c>
      <c r="G322" s="2" t="s">
        <v>72</v>
      </c>
      <c r="H322" s="7">
        <v>42526</v>
      </c>
      <c r="I322" s="9" t="str">
        <f t="shared" ref="I322:I385" si="25">TEXT(H322, "dddd")</f>
        <v>Sunday</v>
      </c>
      <c r="J322" s="9" t="str">
        <f t="shared" ref="J322:J385" si="26">TEXT(H322, "mmmm")</f>
        <v>June</v>
      </c>
      <c r="K322" s="2">
        <v>4.6199998860000004</v>
      </c>
      <c r="L322" s="2">
        <v>4.6199998860000004</v>
      </c>
      <c r="M322" s="2">
        <v>0</v>
      </c>
      <c r="N322" s="2">
        <v>0</v>
      </c>
      <c r="O322" s="2">
        <v>0</v>
      </c>
      <c r="P322" s="2">
        <v>4.5900001530000001</v>
      </c>
      <c r="Q322" s="2">
        <v>2.9999998999999999E-2</v>
      </c>
      <c r="R322" s="2">
        <v>0</v>
      </c>
      <c r="S322" s="2">
        <v>0</v>
      </c>
      <c r="T322" s="2">
        <v>305</v>
      </c>
      <c r="U322" s="2">
        <f t="shared" ref="U322:U385" si="27">R322+S322+T322</f>
        <v>305</v>
      </c>
      <c r="V322" s="2">
        <v>1135</v>
      </c>
      <c r="W322" s="2">
        <v>6116</v>
      </c>
      <c r="X322" s="2">
        <f t="shared" ref="X322:X385" si="28">IF(W322=0,MEDIAN($W$2:$W$941),W322)</f>
        <v>6116</v>
      </c>
      <c r="Y322" s="2">
        <v>2806</v>
      </c>
      <c r="Z322" t="str" cm="1">
        <f t="array" ref="Z322">_xlfn.IFS(OR(R322&gt;66, S322&gt;38), "High Engagement", OR(AND(R322&gt;32, R322&lt;=66), AND(S322&gt;19, S322&lt;=38)), "Medium-High Engagement", OR(AND(R322&gt;4, R322&lt;=32), AND(S322&gt;6, S322&lt;=19)),"Medium Engagement", TRUE, "Low Engagement"
)</f>
        <v>Low Engagement</v>
      </c>
      <c r="AA322">
        <f t="shared" si="24"/>
        <v>0.45879659908436887</v>
      </c>
    </row>
    <row r="323" spans="1:27" x14ac:dyDescent="0.35">
      <c r="A323" s="2">
        <v>2347167796</v>
      </c>
      <c r="B323" s="2" t="s">
        <v>88</v>
      </c>
      <c r="C323" s="2">
        <f>VLOOKUP(user_activity!A530,users_details!$A$1:$G$34,5,0)</f>
        <v>38</v>
      </c>
      <c r="D323" s="2" t="str" cm="1">
        <f t="array" ref="D323">_xlfn.IFS( AND(C323&gt;=18, C323&lt;=25), "Emerging Adults",  AND(C323&gt;=26, C323&lt;=35),  "Young Adults",  AND(C323&gt;=36, C323&lt;=45),  "Midlife Adults",  AND(C323&gt;=46, C323&lt;=55), "Mature Adults", C323&gt;=56,  "Older Adults", TRUE, "Age Not Mentioned")</f>
        <v>Midlife Adults</v>
      </c>
      <c r="E323" s="2" t="str">
        <f>VLOOKUP(user_activity!A530,users_details!$A$1:$G$34,6,0)</f>
        <v>Midtown, Manhattan</v>
      </c>
      <c r="F323" s="2" t="str">
        <f>VLOOKUP(user_activity!A530,users_details!$A$1:$G$34,7,0)</f>
        <v>Midtown</v>
      </c>
      <c r="G323" s="2" t="s">
        <v>71</v>
      </c>
      <c r="H323" s="7">
        <v>42488</v>
      </c>
      <c r="I323" s="9" t="str">
        <f t="shared" si="25"/>
        <v>Thursday</v>
      </c>
      <c r="J323" s="9" t="str">
        <f t="shared" si="26"/>
        <v>April</v>
      </c>
      <c r="K323" s="2">
        <v>3.5999999049999998</v>
      </c>
      <c r="L323" s="2">
        <v>3.5999999049999998</v>
      </c>
      <c r="M323" s="2">
        <v>0</v>
      </c>
      <c r="N323" s="2">
        <v>0</v>
      </c>
      <c r="O323" s="2">
        <v>0</v>
      </c>
      <c r="P323" s="2">
        <v>3.5999999049999998</v>
      </c>
      <c r="Q323" s="2">
        <v>0</v>
      </c>
      <c r="R323" s="2">
        <v>0</v>
      </c>
      <c r="S323" s="2">
        <v>0</v>
      </c>
      <c r="T323" s="2">
        <v>229</v>
      </c>
      <c r="U323" s="2">
        <f t="shared" si="27"/>
        <v>229</v>
      </c>
      <c r="V323" s="2">
        <v>764</v>
      </c>
      <c r="W323" s="2">
        <v>5439</v>
      </c>
      <c r="X323" s="2">
        <f t="shared" si="28"/>
        <v>5439</v>
      </c>
      <c r="Y323" s="2">
        <v>1854</v>
      </c>
      <c r="Z323" t="str" cm="1">
        <f t="array" ref="Z323">_xlfn.IFS(OR(R323&gt;66, S323&gt;38), "High Engagement", OR(AND(R323&gt;32, R323&lt;=66), AND(S323&gt;19, S323&lt;=38)), "Medium-High Engagement", OR(AND(R323&gt;4, R323&lt;=32), AND(S323&gt;6, S323&lt;=19)),"Medium Engagement", TRUE, "Low Engagement"
)</f>
        <v>Low Engagement</v>
      </c>
      <c r="AA323">
        <f t="shared" ref="AA323:AA386" si="29">IF(W323&gt;0, Y323/W323, 0)</f>
        <v>0.34087148372862658</v>
      </c>
    </row>
    <row r="324" spans="1:27" x14ac:dyDescent="0.35">
      <c r="A324" s="2">
        <v>6290855005</v>
      </c>
      <c r="B324" s="2" t="s">
        <v>80</v>
      </c>
      <c r="C324" s="2">
        <f>VLOOKUP(user_activity!A532,users_details!$A$1:$G$34,5,0)</f>
        <v>38</v>
      </c>
      <c r="D324" s="2" t="str" cm="1">
        <f t="array" ref="D324">_xlfn.IFS( AND(C324&gt;=18, C324&lt;=25), "Emerging Adults",  AND(C324&gt;=26, C324&lt;=35),  "Young Adults",  AND(C324&gt;=36, C324&lt;=45),  "Midlife Adults",  AND(C324&gt;=46, C324&lt;=55), "Mature Adults", C324&gt;=56,  "Older Adults", TRUE, "Age Not Mentioned")</f>
        <v>Midlife Adults</v>
      </c>
      <c r="E324" s="2" t="str">
        <f>VLOOKUP(user_activity!A532,users_details!$A$1:$G$34,6,0)</f>
        <v>Midtown, Manhattan</v>
      </c>
      <c r="F324" s="2" t="str">
        <f>VLOOKUP(user_activity!A532,users_details!$A$1:$G$34,7,0)</f>
        <v>Midtown</v>
      </c>
      <c r="G324" s="2" t="s">
        <v>72</v>
      </c>
      <c r="H324" s="7">
        <v>42480</v>
      </c>
      <c r="I324" s="9" t="str">
        <f t="shared" si="25"/>
        <v>Wednesday</v>
      </c>
      <c r="J324" s="9" t="str">
        <f t="shared" si="26"/>
        <v>April</v>
      </c>
      <c r="K324" s="2">
        <v>4.8099999430000002</v>
      </c>
      <c r="L324" s="2">
        <v>4.8099999430000002</v>
      </c>
      <c r="M324" s="2">
        <v>0</v>
      </c>
      <c r="N324" s="2">
        <v>0</v>
      </c>
      <c r="O324" s="2">
        <v>0</v>
      </c>
      <c r="P324" s="2">
        <v>4.8000001909999996</v>
      </c>
      <c r="Q324" s="2">
        <v>0.01</v>
      </c>
      <c r="R324" s="2">
        <v>0</v>
      </c>
      <c r="S324" s="2">
        <v>0</v>
      </c>
      <c r="T324" s="2">
        <v>258</v>
      </c>
      <c r="U324" s="2">
        <f t="shared" si="27"/>
        <v>258</v>
      </c>
      <c r="V324" s="2">
        <v>1182</v>
      </c>
      <c r="W324" s="2">
        <v>6361</v>
      </c>
      <c r="X324" s="2">
        <f t="shared" si="28"/>
        <v>6361</v>
      </c>
      <c r="Y324" s="2">
        <v>2701</v>
      </c>
      <c r="Z324" t="str" cm="1">
        <f t="array" ref="Z324">_xlfn.IFS(OR(R324&gt;66, S324&gt;38), "High Engagement", OR(AND(R324&gt;32, R324&lt;=66), AND(S324&gt;19, S324&lt;=38)), "Medium-High Engagement", OR(AND(R324&gt;4, R324&lt;=32), AND(S324&gt;6, S324&lt;=19)),"Medium Engagement", TRUE, "Low Engagement"
)</f>
        <v>Low Engagement</v>
      </c>
      <c r="AA324">
        <f t="shared" si="29"/>
        <v>0.42461877063354819</v>
      </c>
    </row>
    <row r="325" spans="1:27" x14ac:dyDescent="0.35">
      <c r="A325" s="2">
        <v>6290855005</v>
      </c>
      <c r="B325" s="2" t="s">
        <v>80</v>
      </c>
      <c r="C325" s="2">
        <f>VLOOKUP(user_activity!A545,users_details!$A$1:$G$34,5,0)</f>
        <v>38</v>
      </c>
      <c r="D325" s="2" t="str" cm="1">
        <f t="array" ref="D325">_xlfn.IFS( AND(C325&gt;=18, C325&lt;=25), "Emerging Adults",  AND(C325&gt;=26, C325&lt;=35),  "Young Adults",  AND(C325&gt;=36, C325&lt;=45),  "Midlife Adults",  AND(C325&gt;=46, C325&lt;=55), "Mature Adults", C325&gt;=56,  "Older Adults", TRUE, "Age Not Mentioned")</f>
        <v>Midlife Adults</v>
      </c>
      <c r="E325" s="2" t="str">
        <f>VLOOKUP(user_activity!A545,users_details!$A$1:$G$34,6,0)</f>
        <v>Midtown, Manhattan</v>
      </c>
      <c r="F325" s="2" t="str">
        <f>VLOOKUP(user_activity!A545,users_details!$A$1:$G$34,7,0)</f>
        <v>Midtown</v>
      </c>
      <c r="G325" s="2" t="s">
        <v>72</v>
      </c>
      <c r="H325" s="7">
        <v>42477</v>
      </c>
      <c r="I325" s="9" t="str">
        <f t="shared" si="25"/>
        <v>Sunday</v>
      </c>
      <c r="J325" s="9" t="str">
        <f t="shared" si="26"/>
        <v>April</v>
      </c>
      <c r="K325" s="2">
        <v>5.9400000569999998</v>
      </c>
      <c r="L325" s="2">
        <v>5.9400000569999998</v>
      </c>
      <c r="M325" s="2">
        <v>0</v>
      </c>
      <c r="N325" s="2">
        <v>1.1399999860000001</v>
      </c>
      <c r="O325" s="2">
        <v>0.790000021</v>
      </c>
      <c r="P325" s="2">
        <v>4</v>
      </c>
      <c r="Q325" s="2">
        <v>0</v>
      </c>
      <c r="R325" s="2">
        <v>31</v>
      </c>
      <c r="S325" s="2">
        <v>12</v>
      </c>
      <c r="T325" s="2">
        <v>225</v>
      </c>
      <c r="U325" s="2">
        <f t="shared" si="27"/>
        <v>268</v>
      </c>
      <c r="V325" s="2">
        <v>1172</v>
      </c>
      <c r="W325" s="2">
        <v>7851</v>
      </c>
      <c r="X325" s="2">
        <f t="shared" si="28"/>
        <v>7851</v>
      </c>
      <c r="Y325" s="2">
        <v>3171</v>
      </c>
      <c r="Z325" t="str" cm="1">
        <f t="array" ref="Z325">_xlfn.IFS(OR(R325&gt;66, S325&gt;38), "High Engagement", OR(AND(R325&gt;32, R325&lt;=66), AND(S325&gt;19, S325&lt;=38)), "Medium-High Engagement", OR(AND(R325&gt;4, R325&lt;=32), AND(S325&gt;6, S325&lt;=19)),"Medium Engagement", TRUE, "Low Engagement"
)</f>
        <v>Medium Engagement</v>
      </c>
      <c r="AA325">
        <f t="shared" si="29"/>
        <v>0.40389759266335501</v>
      </c>
    </row>
    <row r="326" spans="1:27" x14ac:dyDescent="0.35">
      <c r="A326" s="2">
        <v>6290855005</v>
      </c>
      <c r="B326" s="2" t="s">
        <v>80</v>
      </c>
      <c r="C326" s="2">
        <f>VLOOKUP(user_activity!A558,users_details!$A$1:$G$34,5,0)</f>
        <v>38</v>
      </c>
      <c r="D326" s="2" t="str" cm="1">
        <f t="array" ref="D326">_xlfn.IFS( AND(C326&gt;=18, C326&lt;=25), "Emerging Adults",  AND(C326&gt;=26, C326&lt;=35),  "Young Adults",  AND(C326&gt;=36, C326&lt;=45),  "Midlife Adults",  AND(C326&gt;=46, C326&lt;=55), "Mature Adults", C326&gt;=56,  "Older Adults", TRUE, "Age Not Mentioned")</f>
        <v>Midlife Adults</v>
      </c>
      <c r="E326" s="2" t="str">
        <f>VLOOKUP(user_activity!A558,users_details!$A$1:$G$34,6,0)</f>
        <v>East Harlem, Manhattan</v>
      </c>
      <c r="F326" s="2" t="str">
        <f>VLOOKUP(user_activity!A558,users_details!$A$1:$G$34,7,0)</f>
        <v>East Harlem</v>
      </c>
      <c r="G326" s="2" t="s">
        <v>72</v>
      </c>
      <c r="H326" s="7">
        <v>42473</v>
      </c>
      <c r="I326" s="9" t="str">
        <f t="shared" si="25"/>
        <v>Wednesday</v>
      </c>
      <c r="J326" s="9" t="str">
        <f t="shared" si="26"/>
        <v>April</v>
      </c>
      <c r="K326" s="2">
        <v>5.4000000950000002</v>
      </c>
      <c r="L326" s="2">
        <v>5.4000000950000002</v>
      </c>
      <c r="M326" s="2">
        <v>0</v>
      </c>
      <c r="N326" s="2">
        <v>0</v>
      </c>
      <c r="O326" s="2">
        <v>0</v>
      </c>
      <c r="P326" s="2">
        <v>5.3899998660000001</v>
      </c>
      <c r="Q326" s="2">
        <v>0.01</v>
      </c>
      <c r="R326" s="2">
        <v>0</v>
      </c>
      <c r="S326" s="2">
        <v>0</v>
      </c>
      <c r="T326" s="2">
        <v>350</v>
      </c>
      <c r="U326" s="2">
        <f t="shared" si="27"/>
        <v>350</v>
      </c>
      <c r="V326" s="2">
        <v>1090</v>
      </c>
      <c r="W326" s="2">
        <v>7142</v>
      </c>
      <c r="X326" s="2">
        <f t="shared" si="28"/>
        <v>7142</v>
      </c>
      <c r="Y326" s="2">
        <v>2905</v>
      </c>
      <c r="Z326" t="str" cm="1">
        <f t="array" ref="Z326">_xlfn.IFS(OR(R326&gt;66, S326&gt;38), "High Engagement", OR(AND(R326&gt;32, R326&lt;=66), AND(S326&gt;19, S326&lt;=38)), "Medium-High Engagement", OR(AND(R326&gt;4, R326&lt;=32), AND(S326&gt;6, S326&lt;=19)),"Medium Engagement", TRUE, "Low Engagement"
)</f>
        <v>Low Engagement</v>
      </c>
      <c r="AA326">
        <f t="shared" si="29"/>
        <v>0.40674880985718287</v>
      </c>
    </row>
    <row r="327" spans="1:27" x14ac:dyDescent="0.35">
      <c r="A327" s="2">
        <v>2347167796</v>
      </c>
      <c r="B327" s="2" t="s">
        <v>88</v>
      </c>
      <c r="C327" s="2">
        <f>VLOOKUP(user_activity!A567,users_details!$A$1:$G$34,5,0)</f>
        <v>38</v>
      </c>
      <c r="D327" s="2" t="str" cm="1">
        <f t="array" ref="D327">_xlfn.IFS( AND(C327&gt;=18, C327&lt;=25), "Emerging Adults",  AND(C327&gt;=26, C327&lt;=35),  "Young Adults",  AND(C327&gt;=36, C327&lt;=45),  "Midlife Adults",  AND(C327&gt;=46, C327&lt;=55), "Mature Adults", C327&gt;=56,  "Older Adults", TRUE, "Age Not Mentioned")</f>
        <v>Midlife Adults</v>
      </c>
      <c r="E327" s="2" t="str">
        <f>VLOOKUP(user_activity!A567,users_details!$A$1:$G$34,6,0)</f>
        <v>Midtown, Manhattan</v>
      </c>
      <c r="F327" s="2" t="str">
        <f>VLOOKUP(user_activity!A567,users_details!$A$1:$G$34,7,0)</f>
        <v>Midtown</v>
      </c>
      <c r="G327" s="2" t="s">
        <v>71</v>
      </c>
      <c r="H327" s="7">
        <v>42480</v>
      </c>
      <c r="I327" s="9" t="str">
        <f t="shared" si="25"/>
        <v>Wednesday</v>
      </c>
      <c r="J327" s="9" t="str">
        <f t="shared" si="26"/>
        <v>April</v>
      </c>
      <c r="K327" s="2">
        <v>7.2699999809999998</v>
      </c>
      <c r="L327" s="2">
        <v>7.2699999809999998</v>
      </c>
      <c r="M327" s="2">
        <v>0</v>
      </c>
      <c r="N327" s="2">
        <v>0.68000000699999996</v>
      </c>
      <c r="O327" s="2">
        <v>1.809999943</v>
      </c>
      <c r="P327" s="2">
        <v>4.7800002099999999</v>
      </c>
      <c r="Q327" s="2">
        <v>0</v>
      </c>
      <c r="R327" s="2">
        <v>11</v>
      </c>
      <c r="S327" s="2">
        <v>43</v>
      </c>
      <c r="T327" s="2">
        <v>269</v>
      </c>
      <c r="U327" s="2">
        <f t="shared" si="27"/>
        <v>323</v>
      </c>
      <c r="V327" s="2">
        <v>1011</v>
      </c>
      <c r="W327" s="2">
        <v>10999</v>
      </c>
      <c r="X327" s="2">
        <f t="shared" si="28"/>
        <v>10999</v>
      </c>
      <c r="Y327" s="2">
        <v>2198</v>
      </c>
      <c r="Z327" t="str" cm="1">
        <f t="array" ref="Z327">_xlfn.IFS(OR(R327&gt;66, S327&gt;38), "High Engagement", OR(AND(R327&gt;32, R327&lt;=66), AND(S327&gt;19, S327&lt;=38)), "Medium-High Engagement", OR(AND(R327&gt;4, R327&lt;=32), AND(S327&gt;6, S327&lt;=19)),"Medium Engagement", TRUE, "Low Engagement"
)</f>
        <v>High Engagement</v>
      </c>
      <c r="AA327">
        <f t="shared" si="29"/>
        <v>0.1998363487589781</v>
      </c>
    </row>
    <row r="328" spans="1:27" x14ac:dyDescent="0.35">
      <c r="A328" s="2">
        <v>6290855005</v>
      </c>
      <c r="B328" s="2" t="s">
        <v>80</v>
      </c>
      <c r="C328" s="2">
        <f>VLOOKUP(user_activity!A593,users_details!$A$1:$G$34,5,0)</f>
        <v>39</v>
      </c>
      <c r="D328" s="2" t="str" cm="1">
        <f t="array" ref="D328">_xlfn.IFS( AND(C328&gt;=18, C328&lt;=25), "Emerging Adults",  AND(C328&gt;=26, C328&lt;=35),  "Young Adults",  AND(C328&gt;=36, C328&lt;=45),  "Midlife Adults",  AND(C328&gt;=46, C328&lt;=55), "Mature Adults", C328&gt;=56,  "Older Adults", TRUE, "Age Not Mentioned")</f>
        <v>Midlife Adults</v>
      </c>
      <c r="E328" s="2" t="str">
        <f>VLOOKUP(user_activity!A593,users_details!$A$1:$G$34,6,0)</f>
        <v>East Village, Manhattan</v>
      </c>
      <c r="F328" s="2" t="str">
        <f>VLOOKUP(user_activity!A593,users_details!$A$1:$G$34,7,0)</f>
        <v>East Village</v>
      </c>
      <c r="G328" s="2" t="s">
        <v>72</v>
      </c>
      <c r="H328" s="7">
        <v>42490</v>
      </c>
      <c r="I328" s="9" t="str">
        <f t="shared" si="25"/>
        <v>Saturday</v>
      </c>
      <c r="J328" s="9" t="str">
        <f t="shared" si="26"/>
        <v>April</v>
      </c>
      <c r="K328" s="2">
        <v>5.0999999049999998</v>
      </c>
      <c r="L328" s="2">
        <v>5.0999999049999998</v>
      </c>
      <c r="M328" s="2">
        <v>0</v>
      </c>
      <c r="N328" s="2">
        <v>0</v>
      </c>
      <c r="O328" s="2">
        <v>0</v>
      </c>
      <c r="P328" s="2">
        <v>5.0900001530000001</v>
      </c>
      <c r="Q328" s="2">
        <v>0.01</v>
      </c>
      <c r="R328" s="2">
        <v>0</v>
      </c>
      <c r="S328" s="2">
        <v>0</v>
      </c>
      <c r="T328" s="2">
        <v>324</v>
      </c>
      <c r="U328" s="2">
        <f t="shared" si="27"/>
        <v>324</v>
      </c>
      <c r="V328" s="2">
        <v>1116</v>
      </c>
      <c r="W328" s="2">
        <v>6744</v>
      </c>
      <c r="X328" s="2">
        <f t="shared" si="28"/>
        <v>6744</v>
      </c>
      <c r="Y328" s="2">
        <v>2843</v>
      </c>
      <c r="Z328" t="str" cm="1">
        <f t="array" ref="Z328">_xlfn.IFS(OR(R328&gt;66, S328&gt;38), "High Engagement", OR(AND(R328&gt;32, R328&lt;=66), AND(S328&gt;19, S328&lt;=38)), "Medium-High Engagement", OR(AND(R328&gt;4, R328&lt;=32), AND(S328&gt;6, S328&lt;=19)),"Medium Engagement", TRUE, "Low Engagement"
)</f>
        <v>Low Engagement</v>
      </c>
      <c r="AA328">
        <f t="shared" si="29"/>
        <v>0.42155990510083036</v>
      </c>
    </row>
    <row r="329" spans="1:27" x14ac:dyDescent="0.35">
      <c r="A329" s="2">
        <v>6290855005</v>
      </c>
      <c r="B329" s="2" t="s">
        <v>80</v>
      </c>
      <c r="C329" s="2">
        <f>VLOOKUP(user_activity!A622,users_details!$A$1:$G$34,5,0)</f>
        <v>41</v>
      </c>
      <c r="D329" s="2" t="str" cm="1">
        <f t="array" ref="D329">_xlfn.IFS( AND(C329&gt;=18, C329&lt;=25), "Emerging Adults",  AND(C329&gt;=26, C329&lt;=35),  "Young Adults",  AND(C329&gt;=36, C329&lt;=45),  "Midlife Adults",  AND(C329&gt;=46, C329&lt;=55), "Mature Adults", C329&gt;=56,  "Older Adults", TRUE, "Age Not Mentioned")</f>
        <v>Midlife Adults</v>
      </c>
      <c r="E329" s="2" t="str">
        <f>VLOOKUP(user_activity!A622,users_details!$A$1:$G$34,6,0)</f>
        <v>East Harlem, Manhattan</v>
      </c>
      <c r="F329" s="2" t="str">
        <f>VLOOKUP(user_activity!A622,users_details!$A$1:$G$34,7,0)</f>
        <v>East Harlem</v>
      </c>
      <c r="G329" s="2" t="s">
        <v>72</v>
      </c>
      <c r="H329" s="7">
        <v>42485</v>
      </c>
      <c r="I329" s="9" t="str">
        <f t="shared" si="25"/>
        <v>Monday</v>
      </c>
      <c r="J329" s="9" t="str">
        <f t="shared" si="26"/>
        <v>April</v>
      </c>
      <c r="K329" s="2">
        <v>5.9000000950000002</v>
      </c>
      <c r="L329" s="2">
        <v>5.9000000950000002</v>
      </c>
      <c r="M329" s="2">
        <v>0</v>
      </c>
      <c r="N329" s="2">
        <v>0.68000000699999996</v>
      </c>
      <c r="O329" s="2">
        <v>0.18000000699999999</v>
      </c>
      <c r="P329" s="2">
        <v>5.0300002099999999</v>
      </c>
      <c r="Q329" s="2">
        <v>0.01</v>
      </c>
      <c r="R329" s="2">
        <v>8</v>
      </c>
      <c r="S329" s="2">
        <v>3</v>
      </c>
      <c r="T329" s="2">
        <v>249</v>
      </c>
      <c r="U329" s="2">
        <f t="shared" si="27"/>
        <v>260</v>
      </c>
      <c r="V329" s="2">
        <v>1180</v>
      </c>
      <c r="W329" s="2">
        <v>7802</v>
      </c>
      <c r="X329" s="2">
        <f t="shared" si="28"/>
        <v>7802</v>
      </c>
      <c r="Y329" s="2">
        <v>2771</v>
      </c>
      <c r="Z329" t="str" cm="1">
        <f t="array" ref="Z329">_xlfn.IFS(OR(R329&gt;66, S329&gt;38), "High Engagement", OR(AND(R329&gt;32, R329&lt;=66), AND(S329&gt;19, S329&lt;=38)), "Medium-High Engagement", OR(AND(R329&gt;4, R329&lt;=32), AND(S329&gt;6, S329&lt;=19)),"Medium Engagement", TRUE, "Low Engagement"
)</f>
        <v>Medium Engagement</v>
      </c>
      <c r="AA329">
        <f t="shared" si="29"/>
        <v>0.35516534221994361</v>
      </c>
    </row>
    <row r="330" spans="1:27" x14ac:dyDescent="0.35">
      <c r="A330" s="2">
        <v>6290855005</v>
      </c>
      <c r="B330" s="2" t="s">
        <v>80</v>
      </c>
      <c r="C330" s="2">
        <f>VLOOKUP(user_activity!A627,users_details!$A$1:$G$34,5,0)</f>
        <v>41</v>
      </c>
      <c r="D330" s="2" t="str" cm="1">
        <f t="array" ref="D330">_xlfn.IFS( AND(C330&gt;=18, C330&lt;=25), "Emerging Adults",  AND(C330&gt;=26, C330&lt;=35),  "Young Adults",  AND(C330&gt;=36, C330&lt;=45),  "Midlife Adults",  AND(C330&gt;=46, C330&lt;=55), "Mature Adults", C330&gt;=56,  "Older Adults", TRUE, "Age Not Mentioned")</f>
        <v>Midlife Adults</v>
      </c>
      <c r="E330" s="2" t="str">
        <f>VLOOKUP(user_activity!A627,users_details!$A$1:$G$34,6,0)</f>
        <v>East Harlem, Manhattan</v>
      </c>
      <c r="F330" s="2" t="str">
        <f>VLOOKUP(user_activity!A627,users_details!$A$1:$G$34,7,0)</f>
        <v>East Harlem</v>
      </c>
      <c r="G330" s="2" t="s">
        <v>72</v>
      </c>
      <c r="H330" s="7">
        <v>42374</v>
      </c>
      <c r="I330" s="9" t="str">
        <f t="shared" si="25"/>
        <v>Tuesday</v>
      </c>
      <c r="J330" s="9" t="str">
        <f t="shared" si="26"/>
        <v>January</v>
      </c>
      <c r="K330" s="2">
        <v>7.4400000569999998</v>
      </c>
      <c r="L330" s="2">
        <v>7.4400000569999998</v>
      </c>
      <c r="M330" s="2">
        <v>0</v>
      </c>
      <c r="N330" s="2">
        <v>0.66000002599999996</v>
      </c>
      <c r="O330" s="2">
        <v>2.75</v>
      </c>
      <c r="P330" s="2">
        <v>4</v>
      </c>
      <c r="Q330" s="2">
        <v>0.02</v>
      </c>
      <c r="R330" s="2">
        <v>8</v>
      </c>
      <c r="S330" s="2">
        <v>95</v>
      </c>
      <c r="T330" s="2">
        <v>282</v>
      </c>
      <c r="U330" s="2">
        <f t="shared" si="27"/>
        <v>385</v>
      </c>
      <c r="V330" s="2">
        <v>1055</v>
      </c>
      <c r="W330" s="2">
        <v>9837</v>
      </c>
      <c r="X330" s="2">
        <f t="shared" si="28"/>
        <v>9837</v>
      </c>
      <c r="Y330" s="2">
        <v>3327</v>
      </c>
      <c r="Z330" t="str" cm="1">
        <f t="array" ref="Z330">_xlfn.IFS(OR(R330&gt;66, S330&gt;38), "High Engagement", OR(AND(R330&gt;32, R330&lt;=66), AND(S330&gt;19, S330&lt;=38)), "Medium-High Engagement", OR(AND(R330&gt;4, R330&lt;=32), AND(S330&gt;6, S330&lt;=19)),"Medium Engagement", TRUE, "Low Engagement"
)</f>
        <v>High Engagement</v>
      </c>
      <c r="AA330">
        <f t="shared" si="29"/>
        <v>0.33821286977737114</v>
      </c>
    </row>
    <row r="331" spans="1:27" x14ac:dyDescent="0.35">
      <c r="A331" s="2">
        <v>2347167796</v>
      </c>
      <c r="B331" s="2" t="s">
        <v>88</v>
      </c>
      <c r="C331" s="2">
        <f>VLOOKUP(user_activity!A646,users_details!$A$1:$G$34,5,0)</f>
        <v>45</v>
      </c>
      <c r="D331" s="2" t="str" cm="1">
        <f t="array" ref="D331">_xlfn.IFS( AND(C331&gt;=18, C331&lt;=25), "Emerging Adults",  AND(C331&gt;=26, C331&lt;=35),  "Young Adults",  AND(C331&gt;=36, C331&lt;=45),  "Midlife Adults",  AND(C331&gt;=46, C331&lt;=55), "Mature Adults", C331&gt;=56,  "Older Adults", TRUE, "Age Not Mentioned")</f>
        <v>Midlife Adults</v>
      </c>
      <c r="E331" s="2" t="str">
        <f>VLOOKUP(user_activity!A646,users_details!$A$1:$G$34,6,0)</f>
        <v>Harlem, Manhattan</v>
      </c>
      <c r="F331" s="2" t="str">
        <f>VLOOKUP(user_activity!A646,users_details!$A$1:$G$34,7,0)</f>
        <v>Harlem</v>
      </c>
      <c r="G331" s="2" t="s">
        <v>71</v>
      </c>
      <c r="H331" s="7">
        <v>42478</v>
      </c>
      <c r="I331" s="9" t="str">
        <f t="shared" si="25"/>
        <v>Monday</v>
      </c>
      <c r="J331" s="9" t="str">
        <f t="shared" si="26"/>
        <v>April</v>
      </c>
      <c r="K331" s="2">
        <v>5.4499998090000004</v>
      </c>
      <c r="L331" s="2">
        <v>5.4499998090000004</v>
      </c>
      <c r="M331" s="2">
        <v>0</v>
      </c>
      <c r="N331" s="2">
        <v>0.790000021</v>
      </c>
      <c r="O331" s="2">
        <v>0.86000001400000003</v>
      </c>
      <c r="P331" s="2">
        <v>3.789999962</v>
      </c>
      <c r="Q331" s="2">
        <v>0</v>
      </c>
      <c r="R331" s="2">
        <v>11</v>
      </c>
      <c r="S331" s="2">
        <v>16</v>
      </c>
      <c r="T331" s="2">
        <v>206</v>
      </c>
      <c r="U331" s="2">
        <f t="shared" si="27"/>
        <v>233</v>
      </c>
      <c r="V331" s="2">
        <v>678</v>
      </c>
      <c r="W331" s="2">
        <v>8247</v>
      </c>
      <c r="X331" s="2">
        <f t="shared" si="28"/>
        <v>8247</v>
      </c>
      <c r="Y331" s="2">
        <v>1944</v>
      </c>
      <c r="Z331" t="str" cm="1">
        <f t="array" ref="Z331">_xlfn.IFS(OR(R331&gt;66, S331&gt;38), "High Engagement", OR(AND(R331&gt;32, R331&lt;=66), AND(S331&gt;19, S331&lt;=38)), "Medium-High Engagement", OR(AND(R331&gt;4, R331&lt;=32), AND(S331&gt;6, S331&lt;=19)),"Medium Engagement", TRUE, "Low Engagement"
)</f>
        <v>Medium Engagement</v>
      </c>
      <c r="AA331">
        <f t="shared" si="29"/>
        <v>0.23572208075663878</v>
      </c>
    </row>
    <row r="332" spans="1:27" x14ac:dyDescent="0.35">
      <c r="A332" s="2">
        <v>2347167796</v>
      </c>
      <c r="B332" s="2" t="s">
        <v>88</v>
      </c>
      <c r="C332" s="2">
        <f>VLOOKUP(user_activity!A653,users_details!$A$1:$G$34,5,0)</f>
        <v>45</v>
      </c>
      <c r="D332" s="2" t="str" cm="1">
        <f t="array" ref="D332">_xlfn.IFS( AND(C332&gt;=18, C332&lt;=25), "Emerging Adults",  AND(C332&gt;=26, C332&lt;=35),  "Young Adults",  AND(C332&gt;=36, C332&lt;=45),  "Midlife Adults",  AND(C332&gt;=46, C332&lt;=55), "Mature Adults", C332&gt;=56,  "Older Adults", TRUE, "Age Not Mentioned")</f>
        <v>Midlife Adults</v>
      </c>
      <c r="E332" s="2" t="str">
        <f>VLOOKUP(user_activity!A653,users_details!$A$1:$G$34,6,0)</f>
        <v>Harlem, Manhattan</v>
      </c>
      <c r="F332" s="2" t="str">
        <f>VLOOKUP(user_activity!A653,users_details!$A$1:$G$34,7,0)</f>
        <v>Harlem</v>
      </c>
      <c r="G332" s="2" t="s">
        <v>71</v>
      </c>
      <c r="H332" s="7">
        <v>42487</v>
      </c>
      <c r="I332" s="9" t="str">
        <f t="shared" si="25"/>
        <v>Wednesday</v>
      </c>
      <c r="J332" s="9" t="str">
        <f t="shared" si="26"/>
        <v>April</v>
      </c>
      <c r="K332" s="2">
        <v>7.579999924</v>
      </c>
      <c r="L332" s="2">
        <v>7.579999924</v>
      </c>
      <c r="M332" s="2">
        <v>0</v>
      </c>
      <c r="N332" s="2">
        <v>1.8600000139999999</v>
      </c>
      <c r="O332" s="2">
        <v>0.40000000600000002</v>
      </c>
      <c r="P332" s="2">
        <v>5.3200001720000003</v>
      </c>
      <c r="Q332" s="2">
        <v>0</v>
      </c>
      <c r="R332" s="2">
        <v>26</v>
      </c>
      <c r="S332" s="2">
        <v>9</v>
      </c>
      <c r="T332" s="2">
        <v>295</v>
      </c>
      <c r="U332" s="2">
        <f t="shared" si="27"/>
        <v>330</v>
      </c>
      <c r="V332" s="2">
        <v>623</v>
      </c>
      <c r="W332" s="2">
        <v>11423</v>
      </c>
      <c r="X332" s="2">
        <f t="shared" si="28"/>
        <v>11423</v>
      </c>
      <c r="Y332" s="2">
        <v>2194</v>
      </c>
      <c r="Z332" t="str" cm="1">
        <f t="array" ref="Z332">_xlfn.IFS(OR(R332&gt;66, S332&gt;38), "High Engagement", OR(AND(R332&gt;32, R332&lt;=66), AND(S332&gt;19, S332&lt;=38)), "Medium-High Engagement", OR(AND(R332&gt;4, R332&lt;=32), AND(S332&gt;6, S332&lt;=19)),"Medium Engagement", TRUE, "Low Engagement"
)</f>
        <v>Medium Engagement</v>
      </c>
      <c r="AA332">
        <f t="shared" si="29"/>
        <v>0.19206863345881117</v>
      </c>
    </row>
    <row r="333" spans="1:27" x14ac:dyDescent="0.35">
      <c r="A333" s="2">
        <v>6290855005</v>
      </c>
      <c r="B333" s="2" t="s">
        <v>80</v>
      </c>
      <c r="C333" s="2">
        <f>VLOOKUP(user_activity!A659,users_details!$A$1:$G$34,5,0)</f>
        <v>45</v>
      </c>
      <c r="D333" s="2" t="str" cm="1">
        <f t="array" ref="D333">_xlfn.IFS( AND(C333&gt;=18, C333&lt;=25), "Emerging Adults",  AND(C333&gt;=26, C333&lt;=35),  "Young Adults",  AND(C333&gt;=36, C333&lt;=45),  "Midlife Adults",  AND(C333&gt;=46, C333&lt;=55), "Mature Adults", C333&gt;=56,  "Older Adults", TRUE, "Age Not Mentioned")</f>
        <v>Midlife Adults</v>
      </c>
      <c r="E333" s="2" t="str">
        <f>VLOOKUP(user_activity!A659,users_details!$A$1:$G$34,6,0)</f>
        <v>Harlem, Manhattan</v>
      </c>
      <c r="F333" s="2" t="str">
        <f>VLOOKUP(user_activity!A659,users_details!$A$1:$G$34,7,0)</f>
        <v>Harlem</v>
      </c>
      <c r="G333" s="2" t="s">
        <v>72</v>
      </c>
      <c r="H333" s="7">
        <v>42487</v>
      </c>
      <c r="I333" s="9" t="str">
        <f t="shared" si="25"/>
        <v>Wednesday</v>
      </c>
      <c r="J333" s="9" t="str">
        <f t="shared" si="26"/>
        <v>April</v>
      </c>
      <c r="K333" s="2">
        <v>4.2100000380000004</v>
      </c>
      <c r="L333" s="2">
        <v>4.2100000380000004</v>
      </c>
      <c r="M333" s="2">
        <v>0</v>
      </c>
      <c r="N333" s="2">
        <v>0</v>
      </c>
      <c r="O333" s="2">
        <v>0</v>
      </c>
      <c r="P333" s="2">
        <v>4.1799998279999997</v>
      </c>
      <c r="Q333" s="2">
        <v>2.9999998999999999E-2</v>
      </c>
      <c r="R333" s="2">
        <v>0</v>
      </c>
      <c r="S333" s="2">
        <v>0</v>
      </c>
      <c r="T333" s="2">
        <v>287</v>
      </c>
      <c r="U333" s="2">
        <f t="shared" si="27"/>
        <v>287</v>
      </c>
      <c r="V333" s="2">
        <v>1153</v>
      </c>
      <c r="W333" s="2">
        <v>5565</v>
      </c>
      <c r="X333" s="2">
        <f t="shared" si="28"/>
        <v>5565</v>
      </c>
      <c r="Y333" s="2">
        <v>2743</v>
      </c>
      <c r="Z333" t="str" cm="1">
        <f t="array" ref="Z333">_xlfn.IFS(OR(R333&gt;66, S333&gt;38), "High Engagement", OR(AND(R333&gt;32, R333&lt;=66), AND(S333&gt;19, S333&lt;=38)), "Medium-High Engagement", OR(AND(R333&gt;4, R333&lt;=32), AND(S333&gt;6, S333&lt;=19)),"Medium Engagement", TRUE, "Low Engagement"
)</f>
        <v>Low Engagement</v>
      </c>
      <c r="AA333">
        <f t="shared" si="29"/>
        <v>0.49290206648697216</v>
      </c>
    </row>
    <row r="334" spans="1:27" x14ac:dyDescent="0.35">
      <c r="A334" s="2">
        <v>6290855005</v>
      </c>
      <c r="B334" s="2" t="s">
        <v>80</v>
      </c>
      <c r="C334" s="2">
        <f>VLOOKUP(user_activity!A694,users_details!$A$1:$G$34,5,0)</f>
        <v>49</v>
      </c>
      <c r="D334" s="2" t="str" cm="1">
        <f t="array" ref="D334">_xlfn.IFS( AND(C334&gt;=18, C334&lt;=25), "Emerging Adults",  AND(C334&gt;=26, C334&lt;=35),  "Young Adults",  AND(C334&gt;=36, C334&lt;=45),  "Midlife Adults",  AND(C334&gt;=46, C334&lt;=55), "Mature Adults", C334&gt;=56,  "Older Adults", TRUE, "Age Not Mentioned")</f>
        <v>Mature Adults</v>
      </c>
      <c r="E334" s="2" t="str">
        <f>VLOOKUP(user_activity!A694,users_details!$A$1:$G$34,6,0)</f>
        <v>Upper West Side, Manhattan</v>
      </c>
      <c r="F334" s="2" t="str">
        <f>VLOOKUP(user_activity!A694,users_details!$A$1:$G$34,7,0)</f>
        <v>Upper West Side</v>
      </c>
      <c r="G334" s="2" t="s">
        <v>72</v>
      </c>
      <c r="H334" s="7">
        <v>42484</v>
      </c>
      <c r="I334" s="9" t="str">
        <f t="shared" si="25"/>
        <v>Sunday</v>
      </c>
      <c r="J334" s="9" t="str">
        <f t="shared" si="26"/>
        <v>April</v>
      </c>
      <c r="K334" s="2">
        <v>4.4600000380000004</v>
      </c>
      <c r="L334" s="2">
        <v>4.4600000380000004</v>
      </c>
      <c r="M334" s="2">
        <v>0</v>
      </c>
      <c r="N334" s="2">
        <v>0</v>
      </c>
      <c r="O334" s="2">
        <v>0</v>
      </c>
      <c r="P334" s="2">
        <v>4.4600000380000004</v>
      </c>
      <c r="Q334" s="2">
        <v>0</v>
      </c>
      <c r="R334" s="2">
        <v>0</v>
      </c>
      <c r="S334" s="2">
        <v>0</v>
      </c>
      <c r="T334" s="2">
        <v>258</v>
      </c>
      <c r="U334" s="2">
        <f t="shared" si="27"/>
        <v>258</v>
      </c>
      <c r="V334" s="2">
        <v>1182</v>
      </c>
      <c r="W334" s="2">
        <v>5896</v>
      </c>
      <c r="X334" s="2">
        <f t="shared" si="28"/>
        <v>5896</v>
      </c>
      <c r="Y334" s="2">
        <v>2703</v>
      </c>
      <c r="Z334" t="str" cm="1">
        <f t="array" ref="Z334">_xlfn.IFS(OR(R334&gt;66, S334&gt;38), "High Engagement", OR(AND(R334&gt;32, R334&lt;=66), AND(S334&gt;19, S334&lt;=38)), "Medium-High Engagement", OR(AND(R334&gt;4, R334&lt;=32), AND(S334&gt;6, S334&lt;=19)),"Medium Engagement", TRUE, "Low Engagement"
)</f>
        <v>Low Engagement</v>
      </c>
      <c r="AA334">
        <f t="shared" si="29"/>
        <v>0.45844640434192674</v>
      </c>
    </row>
    <row r="335" spans="1:27" x14ac:dyDescent="0.35">
      <c r="A335" s="2">
        <v>6290855005</v>
      </c>
      <c r="B335" s="2" t="s">
        <v>80</v>
      </c>
      <c r="C335" s="2">
        <f>VLOOKUP(user_activity!A700,users_details!$A$1:$G$34,5,0)</f>
        <v>53</v>
      </c>
      <c r="D335" s="2" t="str" cm="1">
        <f t="array" ref="D335">_xlfn.IFS( AND(C335&gt;=18, C335&lt;=25), "Emerging Adults",  AND(C335&gt;=26, C335&lt;=35),  "Young Adults",  AND(C335&gt;=36, C335&lt;=45),  "Midlife Adults",  AND(C335&gt;=46, C335&lt;=55), "Mature Adults", C335&gt;=56,  "Older Adults", TRUE, "Age Not Mentioned")</f>
        <v>Mature Adults</v>
      </c>
      <c r="E335" s="2" t="str">
        <f>VLOOKUP(user_activity!A700,users_details!$A$1:$G$34,6,0)</f>
        <v>Williamsburg, Brooklyn</v>
      </c>
      <c r="F335" s="2" t="str">
        <f>VLOOKUP(user_activity!A700,users_details!$A$1:$G$34,7,0)</f>
        <v>Williamsburg</v>
      </c>
      <c r="G335" s="2" t="s">
        <v>72</v>
      </c>
      <c r="H335" s="7">
        <v>42488</v>
      </c>
      <c r="I335" s="9" t="str">
        <f t="shared" si="25"/>
        <v>Thursday</v>
      </c>
      <c r="J335" s="9" t="str">
        <f t="shared" si="26"/>
        <v>April</v>
      </c>
      <c r="K335" s="2">
        <v>4.329999924</v>
      </c>
      <c r="L335" s="2">
        <v>4.329999924</v>
      </c>
      <c r="M335" s="2">
        <v>0</v>
      </c>
      <c r="N335" s="2">
        <v>0</v>
      </c>
      <c r="O335" s="2">
        <v>0</v>
      </c>
      <c r="P335" s="2">
        <v>4.329999924</v>
      </c>
      <c r="Q335" s="2">
        <v>0</v>
      </c>
      <c r="R335" s="2">
        <v>0</v>
      </c>
      <c r="S335" s="2">
        <v>0</v>
      </c>
      <c r="T335" s="2">
        <v>255</v>
      </c>
      <c r="U335" s="2">
        <f t="shared" si="27"/>
        <v>255</v>
      </c>
      <c r="V335" s="2">
        <v>1185</v>
      </c>
      <c r="W335" s="2">
        <v>5731</v>
      </c>
      <c r="X335" s="2">
        <f t="shared" si="28"/>
        <v>5731</v>
      </c>
      <c r="Y335" s="2">
        <v>2687</v>
      </c>
      <c r="Z335" t="str" cm="1">
        <f t="array" ref="Z335">_xlfn.IFS(OR(R335&gt;66, S335&gt;38), "High Engagement", OR(AND(R335&gt;32, R335&lt;=66), AND(S335&gt;19, S335&lt;=38)), "Medium-High Engagement", OR(AND(R335&gt;4, R335&lt;=32), AND(S335&gt;6, S335&lt;=19)),"Medium Engagement", TRUE, "Low Engagement"
)</f>
        <v>Low Engagement</v>
      </c>
      <c r="AA335">
        <f t="shared" si="29"/>
        <v>0.46885360321060898</v>
      </c>
    </row>
    <row r="336" spans="1:27" x14ac:dyDescent="0.35">
      <c r="A336" s="2">
        <v>6290855005</v>
      </c>
      <c r="B336" s="2" t="s">
        <v>80</v>
      </c>
      <c r="C336" s="2">
        <f>VLOOKUP(user_activity!A728,users_details!$A$1:$G$34,5,0)</f>
        <v>53</v>
      </c>
      <c r="D336" s="2" t="str" cm="1">
        <f t="array" ref="D336">_xlfn.IFS( AND(C336&gt;=18, C336&lt;=25), "Emerging Adults",  AND(C336&gt;=26, C336&lt;=35),  "Young Adults",  AND(C336&gt;=36, C336&lt;=45),  "Midlife Adults",  AND(C336&gt;=46, C336&lt;=55), "Mature Adults", C336&gt;=56,  "Older Adults", TRUE, "Age Not Mentioned")</f>
        <v>Mature Adults</v>
      </c>
      <c r="E336" s="2" t="str">
        <f>VLOOKUP(user_activity!A728,users_details!$A$1:$G$34,6,0)</f>
        <v>Harlem, Manhattan</v>
      </c>
      <c r="F336" s="2" t="str">
        <f>VLOOKUP(user_activity!A728,users_details!$A$1:$G$34,7,0)</f>
        <v>Harlem</v>
      </c>
      <c r="G336" s="2" t="s">
        <v>72</v>
      </c>
      <c r="H336" s="7">
        <v>42495</v>
      </c>
      <c r="I336" s="9" t="str">
        <f t="shared" si="25"/>
        <v>Thursday</v>
      </c>
      <c r="J336" s="9" t="str">
        <f t="shared" si="26"/>
        <v>May</v>
      </c>
      <c r="K336" s="2">
        <v>4.7899999619999996</v>
      </c>
      <c r="L336" s="2">
        <v>4.7899999619999996</v>
      </c>
      <c r="M336" s="2">
        <v>0</v>
      </c>
      <c r="N336" s="2">
        <v>0</v>
      </c>
      <c r="O336" s="2">
        <v>0</v>
      </c>
      <c r="P336" s="2">
        <v>4.7899999619999996</v>
      </c>
      <c r="Q336" s="2">
        <v>0</v>
      </c>
      <c r="R336" s="2">
        <v>0</v>
      </c>
      <c r="S336" s="2">
        <v>0</v>
      </c>
      <c r="T336" s="2">
        <v>239</v>
      </c>
      <c r="U336" s="2">
        <f t="shared" si="27"/>
        <v>239</v>
      </c>
      <c r="V336" s="2">
        <v>1201</v>
      </c>
      <c r="W336" s="2">
        <v>6339</v>
      </c>
      <c r="X336" s="2">
        <f t="shared" si="28"/>
        <v>6339</v>
      </c>
      <c r="Y336" s="2">
        <v>2682</v>
      </c>
      <c r="Z336" t="str" cm="1">
        <f t="array" ref="Z336">_xlfn.IFS(OR(R336&gt;66, S336&gt;38), "High Engagement", OR(AND(R336&gt;32, R336&lt;=66), AND(S336&gt;19, S336&lt;=38)), "Medium-High Engagement", OR(AND(R336&gt;4, R336&lt;=32), AND(S336&gt;6, S336&lt;=19)),"Medium Engagement", TRUE, "Low Engagement"
)</f>
        <v>Low Engagement</v>
      </c>
      <c r="AA336">
        <f t="shared" si="29"/>
        <v>0.42309512541410316</v>
      </c>
    </row>
    <row r="337" spans="1:27" x14ac:dyDescent="0.35">
      <c r="A337" s="2">
        <v>2347167796</v>
      </c>
      <c r="B337" s="2" t="s">
        <v>88</v>
      </c>
      <c r="C337" s="2">
        <f>VLOOKUP(user_activity!A733,users_details!$A$1:$G$34,5,0)</f>
        <v>53</v>
      </c>
      <c r="D337" s="2" t="str" cm="1">
        <f t="array" ref="D337">_xlfn.IFS( AND(C337&gt;=18, C337&lt;=25), "Emerging Adults",  AND(C337&gt;=26, C337&lt;=35),  "Young Adults",  AND(C337&gt;=36, C337&lt;=45),  "Midlife Adults",  AND(C337&gt;=46, C337&lt;=55), "Mature Adults", C337&gt;=56,  "Older Adults", TRUE, "Age Not Mentioned")</f>
        <v>Mature Adults</v>
      </c>
      <c r="E337" s="2" t="str">
        <f>VLOOKUP(user_activity!A733,users_details!$A$1:$G$34,6,0)</f>
        <v>Harlem, Manhattan</v>
      </c>
      <c r="F337" s="2" t="str">
        <f>VLOOKUP(user_activity!A733,users_details!$A$1:$G$34,7,0)</f>
        <v>Harlem</v>
      </c>
      <c r="G337" s="2" t="s">
        <v>71</v>
      </c>
      <c r="H337" s="7">
        <v>42483</v>
      </c>
      <c r="I337" s="9" t="str">
        <f t="shared" si="25"/>
        <v>Saturday</v>
      </c>
      <c r="J337" s="9" t="str">
        <f t="shared" si="26"/>
        <v>April</v>
      </c>
      <c r="K337" s="2">
        <v>11.369999890000001</v>
      </c>
      <c r="L337" s="2">
        <v>11.369999890000001</v>
      </c>
      <c r="M337" s="2">
        <v>0</v>
      </c>
      <c r="N337" s="2">
        <v>2.7799999710000001</v>
      </c>
      <c r="O337" s="2">
        <v>1.4500000479999999</v>
      </c>
      <c r="P337" s="2">
        <v>7.1500000950000002</v>
      </c>
      <c r="Q337" s="2">
        <v>0</v>
      </c>
      <c r="R337" s="2">
        <v>32</v>
      </c>
      <c r="S337" s="2">
        <v>35</v>
      </c>
      <c r="T337" s="2">
        <v>360</v>
      </c>
      <c r="U337" s="2">
        <f t="shared" si="27"/>
        <v>427</v>
      </c>
      <c r="V337" s="2">
        <v>591</v>
      </c>
      <c r="W337" s="2">
        <v>16901</v>
      </c>
      <c r="X337" s="2">
        <f t="shared" si="28"/>
        <v>16901</v>
      </c>
      <c r="Y337" s="2">
        <v>2629</v>
      </c>
      <c r="Z337" t="str" cm="1">
        <f t="array" ref="Z337">_xlfn.IFS(OR(R337&gt;66, S337&gt;38), "High Engagement", OR(AND(R337&gt;32, R337&lt;=66), AND(S337&gt;19, S337&lt;=38)), "Medium-High Engagement", OR(AND(R337&gt;4, R337&lt;=32), AND(S337&gt;6, S337&lt;=19)),"Medium Engagement", TRUE, "Low Engagement"
)</f>
        <v>Medium-High Engagement</v>
      </c>
      <c r="AA337">
        <f t="shared" si="29"/>
        <v>0.15555292586237501</v>
      </c>
    </row>
    <row r="338" spans="1:27" x14ac:dyDescent="0.35">
      <c r="A338" s="2">
        <v>6290855005</v>
      </c>
      <c r="B338" s="2" t="s">
        <v>80</v>
      </c>
      <c r="C338" s="2">
        <f>VLOOKUP(user_activity!A734,users_details!$A$1:$G$34,5,0)</f>
        <v>53</v>
      </c>
      <c r="D338" s="2" t="str" cm="1">
        <f t="array" ref="D338">_xlfn.IFS( AND(C338&gt;=18, C338&lt;=25), "Emerging Adults",  AND(C338&gt;=26, C338&lt;=35),  "Young Adults",  AND(C338&gt;=36, C338&lt;=45),  "Midlife Adults",  AND(C338&gt;=46, C338&lt;=55), "Mature Adults", C338&gt;=56,  "Older Adults", TRUE, "Age Not Mentioned")</f>
        <v>Mature Adults</v>
      </c>
      <c r="E338" s="2" t="str">
        <f>VLOOKUP(user_activity!A734,users_details!$A$1:$G$34,6,0)</f>
        <v>Harlem, Manhattan</v>
      </c>
      <c r="F338" s="2" t="str">
        <f>VLOOKUP(user_activity!A734,users_details!$A$1:$G$34,7,0)</f>
        <v>Harlem</v>
      </c>
      <c r="G338" s="2" t="s">
        <v>72</v>
      </c>
      <c r="H338" s="7">
        <v>42474</v>
      </c>
      <c r="I338" s="9" t="str">
        <f t="shared" si="25"/>
        <v>Thursday</v>
      </c>
      <c r="J338" s="9" t="str">
        <f t="shared" si="26"/>
        <v>April</v>
      </c>
      <c r="K338" s="2">
        <v>5.8000001909999996</v>
      </c>
      <c r="L338" s="2">
        <v>5.8000001909999996</v>
      </c>
      <c r="M338" s="2">
        <v>0</v>
      </c>
      <c r="N338" s="2">
        <v>0</v>
      </c>
      <c r="O338" s="2">
        <v>0</v>
      </c>
      <c r="P338" s="2">
        <v>5.7699999809999998</v>
      </c>
      <c r="Q338" s="2">
        <v>2.9999998999999999E-2</v>
      </c>
      <c r="R338" s="2">
        <v>0</v>
      </c>
      <c r="S338" s="2">
        <v>0</v>
      </c>
      <c r="T338" s="2">
        <v>363</v>
      </c>
      <c r="U338" s="2">
        <f t="shared" si="27"/>
        <v>363</v>
      </c>
      <c r="V338" s="2">
        <v>1077</v>
      </c>
      <c r="W338" s="2">
        <v>7671</v>
      </c>
      <c r="X338" s="2">
        <f t="shared" si="28"/>
        <v>7671</v>
      </c>
      <c r="Y338" s="2">
        <v>2952</v>
      </c>
      <c r="Z338" t="str" cm="1">
        <f t="array" ref="Z338">_xlfn.IFS(OR(R338&gt;66, S338&gt;38), "High Engagement", OR(AND(R338&gt;32, R338&lt;=66), AND(S338&gt;19, S338&lt;=38)), "Medium-High Engagement", OR(AND(R338&gt;4, R338&lt;=32), AND(S338&gt;6, S338&lt;=19)),"Medium Engagement", TRUE, "Low Engagement"
)</f>
        <v>Low Engagement</v>
      </c>
      <c r="AA338">
        <f t="shared" si="29"/>
        <v>0.38482596793116935</v>
      </c>
    </row>
    <row r="339" spans="1:27" x14ac:dyDescent="0.35">
      <c r="A339" s="2">
        <v>6290855005</v>
      </c>
      <c r="B339" s="2" t="s">
        <v>80</v>
      </c>
      <c r="C339" s="2">
        <f>VLOOKUP(user_activity!A735,users_details!$A$1:$G$34,5,0)</f>
        <v>53</v>
      </c>
      <c r="D339" s="2" t="str" cm="1">
        <f t="array" ref="D339">_xlfn.IFS( AND(C339&gt;=18, C339&lt;=25), "Emerging Adults",  AND(C339&gt;=26, C339&lt;=35),  "Young Adults",  AND(C339&gt;=36, C339&lt;=45),  "Midlife Adults",  AND(C339&gt;=46, C339&lt;=55), "Mature Adults", C339&gt;=56,  "Older Adults", TRUE, "Age Not Mentioned")</f>
        <v>Mature Adults</v>
      </c>
      <c r="E339" s="2" t="str">
        <f>VLOOKUP(user_activity!A735,users_details!$A$1:$G$34,6,0)</f>
        <v>Harlem, Manhattan</v>
      </c>
      <c r="F339" s="2" t="str">
        <f>VLOOKUP(user_activity!A735,users_details!$A$1:$G$34,7,0)</f>
        <v>Harlem</v>
      </c>
      <c r="G339" s="2" t="s">
        <v>72</v>
      </c>
      <c r="H339" s="7">
        <v>42479</v>
      </c>
      <c r="I339" s="9" t="str">
        <f t="shared" si="25"/>
        <v>Tuesday</v>
      </c>
      <c r="J339" s="9" t="str">
        <f t="shared" si="26"/>
        <v>April</v>
      </c>
      <c r="K339" s="2">
        <v>5.4000000950000002</v>
      </c>
      <c r="L339" s="2">
        <v>5.4000000950000002</v>
      </c>
      <c r="M339" s="2">
        <v>0</v>
      </c>
      <c r="N339" s="2">
        <v>0</v>
      </c>
      <c r="O339" s="2">
        <v>0</v>
      </c>
      <c r="P339" s="2">
        <v>5.3899998660000001</v>
      </c>
      <c r="Q339" s="2">
        <v>0.01</v>
      </c>
      <c r="R339" s="2">
        <v>0</v>
      </c>
      <c r="S339" s="2">
        <v>0</v>
      </c>
      <c r="T339" s="2">
        <v>321</v>
      </c>
      <c r="U339" s="2">
        <f t="shared" si="27"/>
        <v>321</v>
      </c>
      <c r="V339" s="2">
        <v>1119</v>
      </c>
      <c r="W339" s="2">
        <v>7142</v>
      </c>
      <c r="X339" s="2">
        <f t="shared" si="28"/>
        <v>7142</v>
      </c>
      <c r="Y339" s="2">
        <v>2839</v>
      </c>
      <c r="Z339" t="str" cm="1">
        <f t="array" ref="Z339">_xlfn.IFS(OR(R339&gt;66, S339&gt;38), "High Engagement", OR(AND(R339&gt;32, R339&lt;=66), AND(S339&gt;19, S339&lt;=38)), "Medium-High Engagement", OR(AND(R339&gt;4, R339&lt;=32), AND(S339&gt;6, S339&lt;=19)),"Medium Engagement", TRUE, "Low Engagement"
)</f>
        <v>Low Engagement</v>
      </c>
      <c r="AA339">
        <f t="shared" si="29"/>
        <v>0.39750770092411092</v>
      </c>
    </row>
    <row r="340" spans="1:27" x14ac:dyDescent="0.35">
      <c r="A340" s="2">
        <v>6290855005</v>
      </c>
      <c r="B340" s="2" t="s">
        <v>80</v>
      </c>
      <c r="C340" s="2">
        <f>VLOOKUP(user_activity!A745,users_details!$A$1:$G$34,5,0)</f>
        <v>53</v>
      </c>
      <c r="D340" s="2" t="str" cm="1">
        <f t="array" ref="D340">_xlfn.IFS( AND(C340&gt;=18, C340&lt;=25), "Emerging Adults",  AND(C340&gt;=26, C340&lt;=35),  "Young Adults",  AND(C340&gt;=36, C340&lt;=45),  "Midlife Adults",  AND(C340&gt;=46, C340&lt;=55), "Mature Adults", C340&gt;=56,  "Older Adults", TRUE, "Age Not Mentioned")</f>
        <v>Mature Adults</v>
      </c>
      <c r="E340" s="2" t="str">
        <f>VLOOKUP(user_activity!A745,users_details!$A$1:$G$34,6,0)</f>
        <v>Williamsburg, Brooklyn</v>
      </c>
      <c r="F340" s="2" t="str">
        <f>VLOOKUP(user_activity!A745,users_details!$A$1:$G$34,7,0)</f>
        <v>Williamsburg</v>
      </c>
      <c r="G340" s="2" t="s">
        <v>72</v>
      </c>
      <c r="H340" s="7">
        <v>42486</v>
      </c>
      <c r="I340" s="9" t="str">
        <f t="shared" si="25"/>
        <v>Tuesday</v>
      </c>
      <c r="J340" s="9" t="str">
        <f t="shared" si="26"/>
        <v>April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f t="shared" si="27"/>
        <v>0</v>
      </c>
      <c r="V340" s="2">
        <v>1440</v>
      </c>
      <c r="W340" s="2">
        <v>0</v>
      </c>
      <c r="X340" s="2">
        <f t="shared" si="28"/>
        <v>7405.5</v>
      </c>
      <c r="Y340" s="2">
        <v>2060</v>
      </c>
      <c r="Z340" t="str" cm="1">
        <f t="array" ref="Z340">_xlfn.IFS(OR(R340&gt;66, S340&gt;38), "High Engagement", OR(AND(R340&gt;32, R340&lt;=66), AND(S340&gt;19, S340&lt;=38)), "Medium-High Engagement", OR(AND(R340&gt;4, R340&lt;=32), AND(S340&gt;6, S340&lt;=19)),"Medium Engagement", TRUE, "Low Engagement"
)</f>
        <v>Low Engagement</v>
      </c>
      <c r="AA340">
        <f t="shared" si="29"/>
        <v>0</v>
      </c>
    </row>
    <row r="341" spans="1:27" x14ac:dyDescent="0.35">
      <c r="A341" s="2">
        <v>6290855005</v>
      </c>
      <c r="B341" s="2" t="s">
        <v>80</v>
      </c>
      <c r="C341" s="2">
        <f>VLOOKUP(user_activity!A751,users_details!$A$1:$G$34,5,0)</f>
        <v>53</v>
      </c>
      <c r="D341" s="2" t="str" cm="1">
        <f t="array" ref="D341">_xlfn.IFS( AND(C341&gt;=18, C341&lt;=25), "Emerging Adults",  AND(C341&gt;=26, C341&lt;=35),  "Young Adults",  AND(C341&gt;=36, C341&lt;=45),  "Midlife Adults",  AND(C341&gt;=46, C341&lt;=55), "Mature Adults", C341&gt;=56,  "Older Adults", TRUE, "Age Not Mentioned")</f>
        <v>Mature Adults</v>
      </c>
      <c r="E341" s="2" t="str">
        <f>VLOOKUP(user_activity!A751,users_details!$A$1:$G$34,6,0)</f>
        <v>Williamsburg, Brooklyn</v>
      </c>
      <c r="F341" s="2" t="str">
        <f>VLOOKUP(user_activity!A751,users_details!$A$1:$G$34,7,0)</f>
        <v>Williamsburg</v>
      </c>
      <c r="G341" s="2" t="s">
        <v>72</v>
      </c>
      <c r="H341" s="7">
        <v>42405</v>
      </c>
      <c r="I341" s="9" t="str">
        <f t="shared" si="25"/>
        <v>Friday</v>
      </c>
      <c r="J341" s="9" t="str">
        <f t="shared" si="26"/>
        <v>February</v>
      </c>
      <c r="K341" s="2">
        <v>5.1300001139999996</v>
      </c>
      <c r="L341" s="2">
        <v>5.1300001139999996</v>
      </c>
      <c r="M341" s="2">
        <v>0</v>
      </c>
      <c r="N341" s="2">
        <v>0</v>
      </c>
      <c r="O341" s="2">
        <v>0</v>
      </c>
      <c r="P341" s="2">
        <v>5.1100001339999999</v>
      </c>
      <c r="Q341" s="2">
        <v>0.02</v>
      </c>
      <c r="R341" s="2">
        <v>0</v>
      </c>
      <c r="S341" s="2">
        <v>0</v>
      </c>
      <c r="T341" s="2">
        <v>268</v>
      </c>
      <c r="U341" s="2">
        <f t="shared" si="27"/>
        <v>268</v>
      </c>
      <c r="V341" s="2">
        <v>1172</v>
      </c>
      <c r="W341" s="2">
        <v>6781</v>
      </c>
      <c r="X341" s="2">
        <f t="shared" si="28"/>
        <v>6781</v>
      </c>
      <c r="Y341" s="2">
        <v>2725</v>
      </c>
      <c r="Z341" t="str" cm="1">
        <f t="array" ref="Z341">_xlfn.IFS(OR(R341&gt;66, S341&gt;38), "High Engagement", OR(AND(R341&gt;32, R341&lt;=66), AND(S341&gt;19, S341&lt;=38)), "Medium-High Engagement", OR(AND(R341&gt;4, R341&lt;=32), AND(S341&gt;6, S341&lt;=19)),"Medium Engagement", TRUE, "Low Engagement"
)</f>
        <v>Low Engagement</v>
      </c>
      <c r="AA341">
        <f t="shared" si="29"/>
        <v>0.4018581330187288</v>
      </c>
    </row>
    <row r="342" spans="1:27" x14ac:dyDescent="0.35">
      <c r="A342" s="2">
        <v>6290855005</v>
      </c>
      <c r="B342" s="2" t="s">
        <v>80</v>
      </c>
      <c r="C342" s="2">
        <f>VLOOKUP(user_activity!A787,users_details!$A$1:$G$34,5,0)</f>
        <v>53</v>
      </c>
      <c r="D342" s="2" t="str" cm="1">
        <f t="array" ref="D342">_xlfn.IFS( AND(C342&gt;=18, C342&lt;=25), "Emerging Adults",  AND(C342&gt;=26, C342&lt;=35),  "Young Adults",  AND(C342&gt;=36, C342&lt;=45),  "Midlife Adults",  AND(C342&gt;=46, C342&lt;=55), "Mature Adults", C342&gt;=56,  "Older Adults", TRUE, "Age Not Mentioned")</f>
        <v>Mature Adults</v>
      </c>
      <c r="E342" s="2" t="str">
        <f>VLOOKUP(user_activity!A787,users_details!$A$1:$G$34,6,0)</f>
        <v>Harlem, Manhattan</v>
      </c>
      <c r="F342" s="2" t="str">
        <f>VLOOKUP(user_activity!A787,users_details!$A$1:$G$34,7,0)</f>
        <v>Harlem</v>
      </c>
      <c r="G342" s="2" t="s">
        <v>72</v>
      </c>
      <c r="H342" s="7">
        <v>42489</v>
      </c>
      <c r="I342" s="9" t="str">
        <f t="shared" si="25"/>
        <v>Friday</v>
      </c>
      <c r="J342" s="9" t="str">
        <f t="shared" si="26"/>
        <v>April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f t="shared" si="27"/>
        <v>0</v>
      </c>
      <c r="V342" s="2">
        <v>1440</v>
      </c>
      <c r="W342" s="2">
        <v>0</v>
      </c>
      <c r="X342" s="2">
        <f t="shared" si="28"/>
        <v>7405.5</v>
      </c>
      <c r="Y342" s="2">
        <v>2060</v>
      </c>
      <c r="Z342" t="str" cm="1">
        <f t="array" ref="Z342">_xlfn.IFS(OR(R342&gt;66, S342&gt;38), "High Engagement", OR(AND(R342&gt;32, R342&lt;=66), AND(S342&gt;19, S342&lt;=38)), "Medium-High Engagement", OR(AND(R342&gt;4, R342&lt;=32), AND(S342&gt;6, S342&lt;=19)),"Medium Engagement", TRUE, "Low Engagement"
)</f>
        <v>Low Engagement</v>
      </c>
      <c r="AA342">
        <f t="shared" si="29"/>
        <v>0</v>
      </c>
    </row>
    <row r="343" spans="1:27" x14ac:dyDescent="0.35">
      <c r="A343" s="2">
        <v>6290855005</v>
      </c>
      <c r="B343" s="2" t="s">
        <v>80</v>
      </c>
      <c r="C343" s="2">
        <f>VLOOKUP(user_activity!A819,users_details!$A$1:$G$34,5,0)</f>
        <v>54</v>
      </c>
      <c r="D343" s="2" t="str" cm="1">
        <f t="array" ref="D343">_xlfn.IFS( AND(C343&gt;=18, C343&lt;=25), "Emerging Adults",  AND(C343&gt;=26, C343&lt;=35),  "Young Adults",  AND(C343&gt;=36, C343&lt;=45),  "Midlife Adults",  AND(C343&gt;=46, C343&lt;=55), "Mature Adults", C343&gt;=56,  "Older Adults", TRUE, "Age Not Mentioned")</f>
        <v>Mature Adults</v>
      </c>
      <c r="E343" s="2" t="str">
        <f>VLOOKUP(user_activity!A819,users_details!$A$1:$G$34,6,0)</f>
        <v>Crown Heights, Brooklyn</v>
      </c>
      <c r="F343" s="2" t="str">
        <f>VLOOKUP(user_activity!A819,users_details!$A$1:$G$34,7,0)</f>
        <v>Crown Heights</v>
      </c>
      <c r="G343" s="2" t="s">
        <v>72</v>
      </c>
      <c r="H343" s="7">
        <v>42465</v>
      </c>
      <c r="I343" s="9" t="str">
        <f t="shared" si="25"/>
        <v>Tuesday</v>
      </c>
      <c r="J343" s="9" t="str">
        <f t="shared" si="26"/>
        <v>April</v>
      </c>
      <c r="K343" s="2">
        <v>4.4099998469999999</v>
      </c>
      <c r="L343" s="2">
        <v>4.4099998469999999</v>
      </c>
      <c r="M343" s="2">
        <v>0</v>
      </c>
      <c r="N343" s="2">
        <v>0</v>
      </c>
      <c r="O343" s="2">
        <v>0</v>
      </c>
      <c r="P343" s="2">
        <v>4.4000000950000002</v>
      </c>
      <c r="Q343" s="2">
        <v>0.01</v>
      </c>
      <c r="R343" s="2">
        <v>0</v>
      </c>
      <c r="S343" s="2">
        <v>0</v>
      </c>
      <c r="T343" s="2">
        <v>272</v>
      </c>
      <c r="U343" s="2">
        <f t="shared" si="27"/>
        <v>272</v>
      </c>
      <c r="V343" s="2">
        <v>1168</v>
      </c>
      <c r="W343" s="2">
        <v>5832</v>
      </c>
      <c r="X343" s="2">
        <f t="shared" si="28"/>
        <v>5832</v>
      </c>
      <c r="Y343" s="2">
        <v>2718</v>
      </c>
      <c r="Z343" t="str" cm="1">
        <f t="array" ref="Z343">_xlfn.IFS(OR(R343&gt;66, S343&gt;38), "High Engagement", OR(AND(R343&gt;32, R343&lt;=66), AND(S343&gt;19, S343&lt;=38)), "Medium-High Engagement", OR(AND(R343&gt;4, R343&lt;=32), AND(S343&gt;6, S343&lt;=19)),"Medium Engagement", TRUE, "Low Engagement"
)</f>
        <v>Low Engagement</v>
      </c>
      <c r="AA343">
        <f t="shared" si="29"/>
        <v>0.4660493827160494</v>
      </c>
    </row>
    <row r="344" spans="1:27" x14ac:dyDescent="0.35">
      <c r="A344" s="2">
        <v>2347167796</v>
      </c>
      <c r="B344" s="2" t="s">
        <v>88</v>
      </c>
      <c r="C344" s="2">
        <f>VLOOKUP(user_activity!A841,users_details!$A$1:$G$34,5,0)</f>
        <v>56</v>
      </c>
      <c r="D344" s="2" t="str" cm="1">
        <f t="array" ref="D344">_xlfn.IFS( AND(C344&gt;=18, C344&lt;=25), "Emerging Adults",  AND(C344&gt;=26, C344&lt;=35),  "Young Adults",  AND(C344&gt;=36, C344&lt;=45),  "Midlife Adults",  AND(C344&gt;=46, C344&lt;=55), "Mature Adults", C344&gt;=56,  "Older Adults", TRUE, "Age Not Mentioned")</f>
        <v>Older Adults</v>
      </c>
      <c r="E344" s="2" t="str">
        <f>VLOOKUP(user_activity!A841,users_details!$A$1:$G$34,6,0)</f>
        <v>Flatbush, Brooklyn</v>
      </c>
      <c r="F344" s="2" t="str">
        <f>VLOOKUP(user_activity!A841,users_details!$A$1:$G$34,7,0)</f>
        <v>Flatbush</v>
      </c>
      <c r="G344" s="2" t="s">
        <v>71</v>
      </c>
      <c r="H344" s="7">
        <v>42476</v>
      </c>
      <c r="I344" s="9" t="str">
        <f t="shared" si="25"/>
        <v>Saturday</v>
      </c>
      <c r="J344" s="9" t="str">
        <f t="shared" si="26"/>
        <v>April</v>
      </c>
      <c r="K344" s="2">
        <v>15.079999920000001</v>
      </c>
      <c r="L344" s="2">
        <v>15.079999920000001</v>
      </c>
      <c r="M344" s="2">
        <v>0</v>
      </c>
      <c r="N344" s="2">
        <v>5.4499998090000004</v>
      </c>
      <c r="O344" s="2">
        <v>4.0999999049999998</v>
      </c>
      <c r="P344" s="2">
        <v>5.5300002099999999</v>
      </c>
      <c r="Q344" s="2">
        <v>0</v>
      </c>
      <c r="R344" s="2">
        <v>66</v>
      </c>
      <c r="S344" s="2">
        <v>72</v>
      </c>
      <c r="T344" s="2">
        <v>268</v>
      </c>
      <c r="U344" s="2">
        <f t="shared" si="27"/>
        <v>406</v>
      </c>
      <c r="V344" s="2">
        <v>968</v>
      </c>
      <c r="W344" s="2">
        <v>22244</v>
      </c>
      <c r="X344" s="2">
        <f t="shared" si="28"/>
        <v>22244</v>
      </c>
      <c r="Y344" s="2">
        <v>2670</v>
      </c>
      <c r="Z344" t="str" cm="1">
        <f t="array" ref="Z344">_xlfn.IFS(OR(R344&gt;66, S344&gt;38), "High Engagement", OR(AND(R344&gt;32, R344&lt;=66), AND(S344&gt;19, S344&lt;=38)), "Medium-High Engagement", OR(AND(R344&gt;4, R344&lt;=32), AND(S344&gt;6, S344&lt;=19)),"Medium Engagement", TRUE, "Low Engagement"
)</f>
        <v>High Engagement</v>
      </c>
      <c r="AA344">
        <f t="shared" si="29"/>
        <v>0.12003236827908649</v>
      </c>
    </row>
    <row r="345" spans="1:27" x14ac:dyDescent="0.35">
      <c r="A345" s="2">
        <v>6290855005</v>
      </c>
      <c r="B345" s="2" t="s">
        <v>80</v>
      </c>
      <c r="C345" s="2">
        <f>VLOOKUP(user_activity!A885,users_details!$A$1:$G$34,5,0)</f>
        <v>59</v>
      </c>
      <c r="D345" s="2" t="str" cm="1">
        <f t="array" ref="D345">_xlfn.IFS( AND(C345&gt;=18, C345&lt;=25), "Emerging Adults",  AND(C345&gt;=26, C345&lt;=35),  "Young Adults",  AND(C345&gt;=36, C345&lt;=45),  "Midlife Adults",  AND(C345&gt;=46, C345&lt;=55), "Mature Adults", C345&gt;=56,  "Older Adults", TRUE, "Age Not Mentioned")</f>
        <v>Older Adults</v>
      </c>
      <c r="E345" s="2" t="str">
        <f>VLOOKUP(user_activity!A885,users_details!$A$1:$G$34,6,0)</f>
        <v>Upper West Side, Manhattan</v>
      </c>
      <c r="F345" s="2" t="str">
        <f>VLOOKUP(user_activity!A885,users_details!$A$1:$G$34,7,0)</f>
        <v>Upper West Side</v>
      </c>
      <c r="G345" s="2" t="s">
        <v>72</v>
      </c>
      <c r="H345" s="7">
        <v>42434</v>
      </c>
      <c r="I345" s="9" t="str">
        <f t="shared" si="25"/>
        <v>Saturday</v>
      </c>
      <c r="J345" s="9" t="str">
        <f t="shared" si="26"/>
        <v>March</v>
      </c>
      <c r="K345" s="2">
        <v>4.5700001720000003</v>
      </c>
      <c r="L345" s="2">
        <v>4.5700001720000003</v>
      </c>
      <c r="M345" s="2">
        <v>0</v>
      </c>
      <c r="N345" s="2">
        <v>0</v>
      </c>
      <c r="O345" s="2">
        <v>0</v>
      </c>
      <c r="P345" s="2">
        <v>4.5700001720000003</v>
      </c>
      <c r="Q345" s="2">
        <v>0</v>
      </c>
      <c r="R345" s="2">
        <v>0</v>
      </c>
      <c r="S345" s="2">
        <v>0</v>
      </c>
      <c r="T345" s="2">
        <v>240</v>
      </c>
      <c r="U345" s="2">
        <f t="shared" si="27"/>
        <v>240</v>
      </c>
      <c r="V345" s="2">
        <v>1200</v>
      </c>
      <c r="W345" s="2">
        <v>6047</v>
      </c>
      <c r="X345" s="2">
        <f t="shared" si="28"/>
        <v>6047</v>
      </c>
      <c r="Y345" s="2">
        <v>2671</v>
      </c>
      <c r="Z345" t="str" cm="1">
        <f t="array" ref="Z345">_xlfn.IFS(OR(R345&gt;66, S345&gt;38), "High Engagement", OR(AND(R345&gt;32, R345&lt;=66), AND(S345&gt;19, S345&lt;=38)), "Medium-High Engagement", OR(AND(R345&gt;4, R345&lt;=32), AND(S345&gt;6, S345&lt;=19)),"Medium Engagement", TRUE, "Low Engagement"
)</f>
        <v>Low Engagement</v>
      </c>
      <c r="AA345">
        <f t="shared" si="29"/>
        <v>0.44170663138746485</v>
      </c>
    </row>
    <row r="346" spans="1:27" x14ac:dyDescent="0.35">
      <c r="A346" s="2">
        <v>2347167796</v>
      </c>
      <c r="B346" s="2" t="s">
        <v>88</v>
      </c>
      <c r="C346" s="2">
        <f>VLOOKUP(user_activity!A907,users_details!$A$1:$G$34,5,0)</f>
        <v>59</v>
      </c>
      <c r="D346" s="2" t="str" cm="1">
        <f t="array" ref="D346">_xlfn.IFS( AND(C346&gt;=18, C346&lt;=25), "Emerging Adults",  AND(C346&gt;=26, C346&lt;=35),  "Young Adults",  AND(C346&gt;=36, C346&lt;=45),  "Midlife Adults",  AND(C346&gt;=46, C346&lt;=55), "Mature Adults", C346&gt;=56,  "Older Adults", TRUE, "Age Not Mentioned")</f>
        <v>Older Adults</v>
      </c>
      <c r="E346" s="2" t="str">
        <f>VLOOKUP(user_activity!A907,users_details!$A$1:$G$34,6,0)</f>
        <v>Upper West Side, Manhattan</v>
      </c>
      <c r="F346" s="2" t="str">
        <f>VLOOKUP(user_activity!A907,users_details!$A$1:$G$34,7,0)</f>
        <v>Upper West Side</v>
      </c>
      <c r="G346" s="2" t="s">
        <v>71</v>
      </c>
      <c r="H346" s="7">
        <v>42477</v>
      </c>
      <c r="I346" s="9" t="str">
        <f t="shared" si="25"/>
        <v>Sunday</v>
      </c>
      <c r="J346" s="9" t="str">
        <f t="shared" si="26"/>
        <v>April</v>
      </c>
      <c r="K346" s="2">
        <v>3.619999886</v>
      </c>
      <c r="L346" s="2">
        <v>3.619999886</v>
      </c>
      <c r="M346" s="2">
        <v>0</v>
      </c>
      <c r="N346" s="2">
        <v>7.9999998000000003E-2</v>
      </c>
      <c r="O346" s="2">
        <v>0.280000001</v>
      </c>
      <c r="P346" s="2">
        <v>3.2599999899999998</v>
      </c>
      <c r="Q346" s="2">
        <v>0</v>
      </c>
      <c r="R346" s="2">
        <v>1</v>
      </c>
      <c r="S346" s="2">
        <v>7</v>
      </c>
      <c r="T346" s="2">
        <v>249</v>
      </c>
      <c r="U346" s="2">
        <f t="shared" si="27"/>
        <v>257</v>
      </c>
      <c r="V346" s="2">
        <v>508</v>
      </c>
      <c r="W346" s="2">
        <v>5472</v>
      </c>
      <c r="X346" s="2">
        <f t="shared" si="28"/>
        <v>5472</v>
      </c>
      <c r="Y346" s="2">
        <v>1882</v>
      </c>
      <c r="Z346" t="str" cm="1">
        <f t="array" ref="Z346">_xlfn.IFS(OR(R346&gt;66, S346&gt;38), "High Engagement", OR(AND(R346&gt;32, R346&lt;=66), AND(S346&gt;19, S346&lt;=38)), "Medium-High Engagement", OR(AND(R346&gt;4, R346&lt;=32), AND(S346&gt;6, S346&lt;=19)),"Medium Engagement", TRUE, "Low Engagement"
)</f>
        <v>Medium Engagement</v>
      </c>
      <c r="AA346">
        <f t="shared" si="29"/>
        <v>0.3439327485380117</v>
      </c>
    </row>
    <row r="347" spans="1:27" x14ac:dyDescent="0.35">
      <c r="A347" s="2">
        <v>7086361926</v>
      </c>
      <c r="B347" s="2" t="s">
        <v>96</v>
      </c>
      <c r="C347" s="2">
        <f>VLOOKUP(user_activity!A52,users_details!$A$1:$G$34,5,0)</f>
        <v>18</v>
      </c>
      <c r="D347" s="2" t="str" cm="1">
        <f t="array" ref="D347">_xlfn.IFS( AND(C347&gt;=18, C347&lt;=25), "Emerging Adults",  AND(C347&gt;=26, C347&lt;=35),  "Young Adults",  AND(C347&gt;=36, C347&lt;=45),  "Midlife Adults",  AND(C347&gt;=46, C347&lt;=55), "Mature Adults", C347&gt;=56,  "Older Adults", TRUE, "Age Not Mentioned")</f>
        <v>Emerging Adults</v>
      </c>
      <c r="E347" s="2" t="str">
        <f>VLOOKUP(user_activity!A52,users_details!$A$1:$G$34,6,0)</f>
        <v>Upper West Side, Manhattan</v>
      </c>
      <c r="F347" s="2" t="str">
        <f>VLOOKUP(user_activity!A52,users_details!$A$1:$G$34,7,0)</f>
        <v>Upper West Side</v>
      </c>
      <c r="G347" s="2" t="s">
        <v>72</v>
      </c>
      <c r="H347" s="7">
        <v>42484</v>
      </c>
      <c r="I347" s="9" t="str">
        <f t="shared" si="25"/>
        <v>Sunday</v>
      </c>
      <c r="J347" s="9" t="str">
        <f t="shared" si="26"/>
        <v>April</v>
      </c>
      <c r="K347" s="2">
        <v>2.1600000860000002</v>
      </c>
      <c r="L347" s="2">
        <v>2.1600000860000002</v>
      </c>
      <c r="M347" s="2">
        <v>0</v>
      </c>
      <c r="N347" s="2">
        <v>0</v>
      </c>
      <c r="O347" s="2">
        <v>0</v>
      </c>
      <c r="P347" s="2">
        <v>2.1500000950000002</v>
      </c>
      <c r="Q347" s="2">
        <v>0</v>
      </c>
      <c r="R347" s="2">
        <v>0</v>
      </c>
      <c r="S347" s="2">
        <v>0</v>
      </c>
      <c r="T347" s="2">
        <v>125</v>
      </c>
      <c r="U347" s="2">
        <f t="shared" si="27"/>
        <v>125</v>
      </c>
      <c r="V347" s="2">
        <v>566</v>
      </c>
      <c r="W347" s="2">
        <v>3520</v>
      </c>
      <c r="X347" s="2">
        <f t="shared" si="28"/>
        <v>3520</v>
      </c>
      <c r="Y347" s="2">
        <v>2049</v>
      </c>
      <c r="Z347" t="str" cm="1">
        <f t="array" ref="Z347">_xlfn.IFS(OR(R347&gt;66, S347&gt;38), "High Engagement", OR(AND(R347&gt;32, R347&lt;=66), AND(S347&gt;19, S347&lt;=38)), "Medium-High Engagement", OR(AND(R347&gt;4, R347&lt;=32), AND(S347&gt;6, S347&lt;=19)),"Medium Engagement", TRUE, "Low Engagement"
)</f>
        <v>Low Engagement</v>
      </c>
      <c r="AA347">
        <f t="shared" si="29"/>
        <v>0.58210227272727277</v>
      </c>
    </row>
    <row r="348" spans="1:27" x14ac:dyDescent="0.35">
      <c r="A348" s="2">
        <v>7086361926</v>
      </c>
      <c r="B348" s="2" t="s">
        <v>96</v>
      </c>
      <c r="C348" s="2">
        <f>VLOOKUP(user_activity!A115,users_details!$A$1:$G$34,5,0)</f>
        <v>22</v>
      </c>
      <c r="D348" s="2" t="str" cm="1">
        <f t="array" ref="D348">_xlfn.IFS( AND(C348&gt;=18, C348&lt;=25), "Emerging Adults",  AND(C348&gt;=26, C348&lt;=35),  "Young Adults",  AND(C348&gt;=36, C348&lt;=45),  "Midlife Adults",  AND(C348&gt;=46, C348&lt;=55), "Mature Adults", C348&gt;=56,  "Older Adults", TRUE, "Age Not Mentioned")</f>
        <v>Emerging Adults</v>
      </c>
      <c r="E348" s="2" t="str">
        <f>VLOOKUP(user_activity!A115,users_details!$A$1:$G$34,6,0)</f>
        <v>Upper East Side, Manhattan</v>
      </c>
      <c r="F348" s="2" t="str">
        <f>VLOOKUP(user_activity!A115,users_details!$A$1:$G$34,7,0)</f>
        <v>Upper East Side</v>
      </c>
      <c r="G348" s="2" t="s">
        <v>72</v>
      </c>
      <c r="H348" s="7">
        <v>42486</v>
      </c>
      <c r="I348" s="9" t="str">
        <f t="shared" si="25"/>
        <v>Tuesday</v>
      </c>
      <c r="J348" s="9" t="str">
        <f t="shared" si="26"/>
        <v>April</v>
      </c>
      <c r="K348" s="2">
        <v>7.0700001720000003</v>
      </c>
      <c r="L348" s="2">
        <v>7.0700001720000003</v>
      </c>
      <c r="M348" s="2">
        <v>0</v>
      </c>
      <c r="N348" s="2">
        <v>4.1599998469999999</v>
      </c>
      <c r="O348" s="2">
        <v>0.769999981</v>
      </c>
      <c r="P348" s="2">
        <v>2.119999886</v>
      </c>
      <c r="Q348" s="2">
        <v>0</v>
      </c>
      <c r="R348" s="2">
        <v>70</v>
      </c>
      <c r="S348" s="2">
        <v>33</v>
      </c>
      <c r="T348" s="2">
        <v>132</v>
      </c>
      <c r="U348" s="2">
        <f t="shared" si="27"/>
        <v>235</v>
      </c>
      <c r="V348" s="2">
        <v>726</v>
      </c>
      <c r="W348" s="2">
        <v>10387</v>
      </c>
      <c r="X348" s="2">
        <f t="shared" si="28"/>
        <v>10387</v>
      </c>
      <c r="Y348" s="2">
        <v>2781</v>
      </c>
      <c r="Z348" t="str" cm="1">
        <f t="array" ref="Z348">_xlfn.IFS(OR(R348&gt;66, S348&gt;38), "High Engagement", OR(AND(R348&gt;32, R348&lt;=66), AND(S348&gt;19, S348&lt;=38)), "Medium-High Engagement", OR(AND(R348&gt;4, R348&lt;=32), AND(S348&gt;6, S348&lt;=19)),"Medium Engagement", TRUE, "Low Engagement"
)</f>
        <v>High Engagement</v>
      </c>
      <c r="AA348">
        <f t="shared" si="29"/>
        <v>0.26773851930297488</v>
      </c>
    </row>
    <row r="349" spans="1:27" x14ac:dyDescent="0.35">
      <c r="A349" s="2">
        <v>7086361926</v>
      </c>
      <c r="B349" s="2" t="s">
        <v>96</v>
      </c>
      <c r="C349" s="2">
        <f>VLOOKUP(user_activity!A119,users_details!$A$1:$G$34,5,0)</f>
        <v>22</v>
      </c>
      <c r="D349" s="2" t="str" cm="1">
        <f t="array" ref="D349">_xlfn.IFS( AND(C349&gt;=18, C349&lt;=25), "Emerging Adults",  AND(C349&gt;=26, C349&lt;=35),  "Young Adults",  AND(C349&gt;=36, C349&lt;=45),  "Midlife Adults",  AND(C349&gt;=46, C349&lt;=55), "Mature Adults", C349&gt;=56,  "Older Adults", TRUE, "Age Not Mentioned")</f>
        <v>Emerging Adults</v>
      </c>
      <c r="E349" s="2" t="str">
        <f>VLOOKUP(user_activity!A119,users_details!$A$1:$G$34,6,0)</f>
        <v>Washington Heights, Manhattan</v>
      </c>
      <c r="F349" s="2" t="str">
        <f>VLOOKUP(user_activity!A119,users_details!$A$1:$G$34,7,0)</f>
        <v>Washington Heights</v>
      </c>
      <c r="G349" s="2" t="s">
        <v>72</v>
      </c>
      <c r="H349" s="7">
        <v>42526</v>
      </c>
      <c r="I349" s="9" t="str">
        <f t="shared" si="25"/>
        <v>Sunday</v>
      </c>
      <c r="J349" s="9" t="str">
        <f t="shared" si="26"/>
        <v>June</v>
      </c>
      <c r="K349" s="2">
        <v>8.3800001139999996</v>
      </c>
      <c r="L349" s="2">
        <v>8.3800001139999996</v>
      </c>
      <c r="M349" s="2">
        <v>0</v>
      </c>
      <c r="N349" s="2">
        <v>3.8199999330000001</v>
      </c>
      <c r="O349" s="2">
        <v>1.4299999480000001</v>
      </c>
      <c r="P349" s="2">
        <v>3.119999886</v>
      </c>
      <c r="Q349" s="2">
        <v>0</v>
      </c>
      <c r="R349" s="2">
        <v>84</v>
      </c>
      <c r="S349" s="2">
        <v>35</v>
      </c>
      <c r="T349" s="2">
        <v>154</v>
      </c>
      <c r="U349" s="2">
        <f t="shared" si="27"/>
        <v>273</v>
      </c>
      <c r="V349" s="2">
        <v>834</v>
      </c>
      <c r="W349" s="2">
        <v>12461</v>
      </c>
      <c r="X349" s="2">
        <f t="shared" si="28"/>
        <v>12461</v>
      </c>
      <c r="Y349" s="2">
        <v>2924</v>
      </c>
      <c r="Z349" t="str" cm="1">
        <f t="array" ref="Z349">_xlfn.IFS(OR(R349&gt;66, S349&gt;38), "High Engagement", OR(AND(R349&gt;32, R349&lt;=66), AND(S349&gt;19, S349&lt;=38)), "Medium-High Engagement", OR(AND(R349&gt;4, R349&lt;=32), AND(S349&gt;6, S349&lt;=19)),"Medium Engagement", TRUE, "Low Engagement"
)</f>
        <v>High Engagement</v>
      </c>
      <c r="AA349">
        <f t="shared" si="29"/>
        <v>0.23465211459754434</v>
      </c>
    </row>
    <row r="350" spans="1:27" x14ac:dyDescent="0.35">
      <c r="A350" s="2">
        <v>7086361926</v>
      </c>
      <c r="B350" s="2" t="s">
        <v>96</v>
      </c>
      <c r="C350" s="2">
        <f>VLOOKUP(user_activity!A127,users_details!$A$1:$G$34,5,0)</f>
        <v>22</v>
      </c>
      <c r="D350" s="2" t="str" cm="1">
        <f t="array" ref="D350">_xlfn.IFS( AND(C350&gt;=18, C350&lt;=25), "Emerging Adults",  AND(C350&gt;=26, C350&lt;=35),  "Young Adults",  AND(C350&gt;=36, C350&lt;=45),  "Midlife Adults",  AND(C350&gt;=46, C350&lt;=55), "Mature Adults", C350&gt;=56,  "Older Adults", TRUE, "Age Not Mentioned")</f>
        <v>Emerging Adults</v>
      </c>
      <c r="E350" s="2" t="str">
        <f>VLOOKUP(user_activity!A127,users_details!$A$1:$G$34,6,0)</f>
        <v>Washington Heights, Manhattan</v>
      </c>
      <c r="F350" s="2" t="str">
        <f>VLOOKUP(user_activity!A127,users_details!$A$1:$G$34,7,0)</f>
        <v>Washington Heights</v>
      </c>
      <c r="G350" s="2" t="s">
        <v>72</v>
      </c>
      <c r="H350" s="7">
        <v>42474</v>
      </c>
      <c r="I350" s="9" t="str">
        <f t="shared" si="25"/>
        <v>Thursday</v>
      </c>
      <c r="J350" s="9" t="str">
        <f t="shared" si="26"/>
        <v>April</v>
      </c>
      <c r="K350" s="2">
        <v>6.1199998860000004</v>
      </c>
      <c r="L350" s="2">
        <v>6.1199998860000004</v>
      </c>
      <c r="M350" s="2">
        <v>0</v>
      </c>
      <c r="N350" s="2">
        <v>2.0299999710000001</v>
      </c>
      <c r="O350" s="2">
        <v>0.33000001299999998</v>
      </c>
      <c r="P350" s="2">
        <v>3.6600000860000002</v>
      </c>
      <c r="Q350" s="2">
        <v>0</v>
      </c>
      <c r="R350" s="2">
        <v>35</v>
      </c>
      <c r="S350" s="2">
        <v>32</v>
      </c>
      <c r="T350" s="2">
        <v>189</v>
      </c>
      <c r="U350" s="2">
        <f t="shared" si="27"/>
        <v>256</v>
      </c>
      <c r="V350" s="2">
        <v>787</v>
      </c>
      <c r="W350" s="2">
        <v>9123</v>
      </c>
      <c r="X350" s="2">
        <f t="shared" si="28"/>
        <v>9123</v>
      </c>
      <c r="Y350" s="2">
        <v>2734</v>
      </c>
      <c r="Z350" t="str" cm="1">
        <f t="array" ref="Z350">_xlfn.IFS(OR(R350&gt;66, S350&gt;38), "High Engagement", OR(AND(R350&gt;32, R350&lt;=66), AND(S350&gt;19, S350&lt;=38)), "Medium-High Engagement", OR(AND(R350&gt;4, R350&lt;=32), AND(S350&gt;6, S350&lt;=19)),"Medium Engagement", TRUE, "Low Engagement"
)</f>
        <v>Medium-High Engagement</v>
      </c>
      <c r="AA350">
        <f t="shared" si="29"/>
        <v>0.2996821221089554</v>
      </c>
    </row>
    <row r="351" spans="1:27" x14ac:dyDescent="0.35">
      <c r="A351" s="2">
        <v>7086361926</v>
      </c>
      <c r="B351" s="2" t="s">
        <v>96</v>
      </c>
      <c r="C351" s="2">
        <f>VLOOKUP(user_activity!A189,users_details!$A$1:$G$34,5,0)</f>
        <v>23</v>
      </c>
      <c r="D351" s="2" t="str" cm="1">
        <f t="array" ref="D351">_xlfn.IFS( AND(C351&gt;=18, C351&lt;=25), "Emerging Adults",  AND(C351&gt;=26, C351&lt;=35),  "Young Adults",  AND(C351&gt;=36, C351&lt;=45),  "Midlife Adults",  AND(C351&gt;=46, C351&lt;=55), "Mature Adults", C351&gt;=56,  "Older Adults", TRUE, "Age Not Mentioned")</f>
        <v>Emerging Adults</v>
      </c>
      <c r="E351" s="2" t="str">
        <f>VLOOKUP(user_activity!A189,users_details!$A$1:$G$34,6,0)</f>
        <v>Crown Heights, Brooklyn</v>
      </c>
      <c r="F351" s="2" t="str">
        <f>VLOOKUP(user_activity!A189,users_details!$A$1:$G$34,7,0)</f>
        <v>Crown Heights</v>
      </c>
      <c r="G351" s="2" t="s">
        <v>72</v>
      </c>
      <c r="H351" s="7">
        <v>42490</v>
      </c>
      <c r="I351" s="9" t="str">
        <f t="shared" si="25"/>
        <v>Saturday</v>
      </c>
      <c r="J351" s="9" t="str">
        <f t="shared" si="26"/>
        <v>April</v>
      </c>
      <c r="K351" s="2">
        <v>9.4099998469999999</v>
      </c>
      <c r="L351" s="2">
        <v>9.4099998469999999</v>
      </c>
      <c r="M351" s="2">
        <v>0</v>
      </c>
      <c r="N351" s="2">
        <v>3.119999886</v>
      </c>
      <c r="O351" s="2">
        <v>1.039999962</v>
      </c>
      <c r="P351" s="2">
        <v>5.2399997709999999</v>
      </c>
      <c r="Q351" s="2">
        <v>0</v>
      </c>
      <c r="R351" s="2">
        <v>42</v>
      </c>
      <c r="S351" s="2">
        <v>17</v>
      </c>
      <c r="T351" s="2">
        <v>308</v>
      </c>
      <c r="U351" s="2">
        <f t="shared" si="27"/>
        <v>367</v>
      </c>
      <c r="V351" s="2">
        <v>584</v>
      </c>
      <c r="W351" s="2">
        <v>14560</v>
      </c>
      <c r="X351" s="2">
        <f t="shared" si="28"/>
        <v>14560</v>
      </c>
      <c r="Y351" s="2">
        <v>2995</v>
      </c>
      <c r="Z351" t="str" cm="1">
        <f t="array" ref="Z351">_xlfn.IFS(OR(R351&gt;66, S351&gt;38), "High Engagement", OR(AND(R351&gt;32, R351&lt;=66), AND(S351&gt;19, S351&lt;=38)), "Medium-High Engagement", OR(AND(R351&gt;4, R351&lt;=32), AND(S351&gt;6, S351&lt;=19)),"Medium Engagement", TRUE, "Low Engagement"
)</f>
        <v>Medium-High Engagement</v>
      </c>
      <c r="AA351">
        <f t="shared" si="29"/>
        <v>0.20570054945054944</v>
      </c>
    </row>
    <row r="352" spans="1:27" x14ac:dyDescent="0.35">
      <c r="A352" s="2">
        <v>7086361926</v>
      </c>
      <c r="B352" s="2" t="s">
        <v>96</v>
      </c>
      <c r="C352" s="2">
        <f>VLOOKUP(user_activity!A192,users_details!$A$1:$G$34,5,0)</f>
        <v>23</v>
      </c>
      <c r="D352" s="2" t="str" cm="1">
        <f t="array" ref="D352">_xlfn.IFS( AND(C352&gt;=18, C352&lt;=25), "Emerging Adults",  AND(C352&gt;=26, C352&lt;=35),  "Young Adults",  AND(C352&gt;=36, C352&lt;=45),  "Midlife Adults",  AND(C352&gt;=46, C352&lt;=55), "Mature Adults", C352&gt;=56,  "Older Adults", TRUE, "Age Not Mentioned")</f>
        <v>Emerging Adults</v>
      </c>
      <c r="E352" s="2" t="str">
        <f>VLOOKUP(user_activity!A192,users_details!$A$1:$G$34,6,0)</f>
        <v>Washington Heights, Manhattan</v>
      </c>
      <c r="F352" s="2" t="str">
        <f>VLOOKUP(user_activity!A192,users_details!$A$1:$G$34,7,0)</f>
        <v>Washington Heights</v>
      </c>
      <c r="G352" s="2" t="s">
        <v>72</v>
      </c>
      <c r="H352" s="7">
        <v>42476</v>
      </c>
      <c r="I352" s="9" t="str">
        <f t="shared" si="25"/>
        <v>Saturday</v>
      </c>
      <c r="J352" s="9" t="str">
        <f t="shared" si="26"/>
        <v>April</v>
      </c>
      <c r="K352" s="2">
        <v>0.01</v>
      </c>
      <c r="L352" s="2">
        <v>0.01</v>
      </c>
      <c r="M352" s="2">
        <v>0</v>
      </c>
      <c r="N352" s="2">
        <v>0</v>
      </c>
      <c r="O352" s="2">
        <v>0</v>
      </c>
      <c r="P352" s="2">
        <v>0.01</v>
      </c>
      <c r="Q352" s="2">
        <v>0</v>
      </c>
      <c r="R352" s="2">
        <v>0</v>
      </c>
      <c r="S352" s="2">
        <v>0</v>
      </c>
      <c r="T352" s="2">
        <v>3</v>
      </c>
      <c r="U352" s="2">
        <f t="shared" si="27"/>
        <v>3</v>
      </c>
      <c r="V352" s="2">
        <v>1437</v>
      </c>
      <c r="W352" s="2">
        <v>31</v>
      </c>
      <c r="X352" s="2">
        <f t="shared" si="28"/>
        <v>31</v>
      </c>
      <c r="Y352" s="2">
        <v>1635</v>
      </c>
      <c r="Z352" t="str" cm="1">
        <f t="array" ref="Z352">_xlfn.IFS(OR(R352&gt;66, S352&gt;38), "High Engagement", OR(AND(R352&gt;32, R352&lt;=66), AND(S352&gt;19, S352&lt;=38)), "Medium-High Engagement", OR(AND(R352&gt;4, R352&lt;=32), AND(S352&gt;6, S352&lt;=19)),"Medium Engagement", TRUE, "Low Engagement"
)</f>
        <v>Low Engagement</v>
      </c>
      <c r="AA352">
        <f t="shared" si="29"/>
        <v>52.741935483870968</v>
      </c>
    </row>
    <row r="353" spans="1:27" x14ac:dyDescent="0.35">
      <c r="A353" s="2">
        <v>7086361926</v>
      </c>
      <c r="B353" s="2" t="s">
        <v>96</v>
      </c>
      <c r="C353" s="2">
        <f>VLOOKUP(user_activity!A197,users_details!$A$1:$G$34,5,0)</f>
        <v>23</v>
      </c>
      <c r="D353" s="2" t="str" cm="1">
        <f t="array" ref="D353">_xlfn.IFS( AND(C353&gt;=18, C353&lt;=25), "Emerging Adults",  AND(C353&gt;=26, C353&lt;=35),  "Young Adults",  AND(C353&gt;=36, C353&lt;=45),  "Midlife Adults",  AND(C353&gt;=46, C353&lt;=55), "Mature Adults", C353&gt;=56,  "Older Adults", TRUE, "Age Not Mentioned")</f>
        <v>Emerging Adults</v>
      </c>
      <c r="E353" s="2" t="str">
        <f>VLOOKUP(user_activity!A197,users_details!$A$1:$G$34,6,0)</f>
        <v>Crown Heights, Brooklyn</v>
      </c>
      <c r="F353" s="2" t="str">
        <f>VLOOKUP(user_activity!A197,users_details!$A$1:$G$34,7,0)</f>
        <v>Crown Heights</v>
      </c>
      <c r="G353" s="2" t="s">
        <v>72</v>
      </c>
      <c r="H353" s="7">
        <v>42648</v>
      </c>
      <c r="I353" s="9" t="str">
        <f t="shared" si="25"/>
        <v>Wednesday</v>
      </c>
      <c r="J353" s="9" t="str">
        <f t="shared" si="26"/>
        <v>October</v>
      </c>
      <c r="K353" s="2">
        <v>10.789999959999999</v>
      </c>
      <c r="L353" s="2">
        <v>10.789999959999999</v>
      </c>
      <c r="M353" s="2">
        <v>0</v>
      </c>
      <c r="N353" s="2">
        <v>7.1100001339999999</v>
      </c>
      <c r="O353" s="2">
        <v>1.2000000479999999</v>
      </c>
      <c r="P353" s="2">
        <v>2.4500000480000002</v>
      </c>
      <c r="Q353" s="2">
        <v>0</v>
      </c>
      <c r="R353" s="2">
        <v>72</v>
      </c>
      <c r="S353" s="2">
        <v>23</v>
      </c>
      <c r="T353" s="2">
        <v>106</v>
      </c>
      <c r="U353" s="2">
        <f t="shared" si="27"/>
        <v>201</v>
      </c>
      <c r="V353" s="2">
        <v>1182</v>
      </c>
      <c r="W353" s="2">
        <v>14433</v>
      </c>
      <c r="X353" s="2">
        <f t="shared" si="28"/>
        <v>14433</v>
      </c>
      <c r="Y353" s="2">
        <v>2800</v>
      </c>
      <c r="Z353" t="str" cm="1">
        <f t="array" ref="Z353">_xlfn.IFS(OR(R353&gt;66, S353&gt;38), "High Engagement", OR(AND(R353&gt;32, R353&lt;=66), AND(S353&gt;19, S353&lt;=38)), "Medium-High Engagement", OR(AND(R353&gt;4, R353&lt;=32), AND(S353&gt;6, S353&lt;=19)),"Medium Engagement", TRUE, "Low Engagement"
)</f>
        <v>High Engagement</v>
      </c>
      <c r="AA353">
        <f t="shared" si="29"/>
        <v>0.1939998614286704</v>
      </c>
    </row>
    <row r="354" spans="1:27" x14ac:dyDescent="0.35">
      <c r="A354" s="2">
        <v>7086361926</v>
      </c>
      <c r="B354" s="2" t="s">
        <v>96</v>
      </c>
      <c r="C354" s="2">
        <f>VLOOKUP(user_activity!A263,users_details!$A$1:$G$34,5,0)</f>
        <v>29</v>
      </c>
      <c r="D354" s="2" t="str" cm="1">
        <f t="array" ref="D354">_xlfn.IFS( AND(C354&gt;=18, C354&lt;=25), "Emerging Adults",  AND(C354&gt;=26, C354&lt;=35),  "Young Adults",  AND(C354&gt;=36, C354&lt;=45),  "Midlife Adults",  AND(C354&gt;=46, C354&lt;=55), "Mature Adults", C354&gt;=56,  "Older Adults", TRUE, "Age Not Mentioned")</f>
        <v>Young Adults</v>
      </c>
      <c r="E354" s="2" t="str">
        <f>VLOOKUP(user_activity!A263,users_details!$A$1:$G$34,6,0)</f>
        <v>East Village, Manhattan</v>
      </c>
      <c r="F354" s="2" t="str">
        <f>VLOOKUP(user_activity!A263,users_details!$A$1:$G$34,7,0)</f>
        <v>East Village</v>
      </c>
      <c r="G354" s="2" t="s">
        <v>72</v>
      </c>
      <c r="H354" s="7">
        <v>42556</v>
      </c>
      <c r="I354" s="9" t="str">
        <f t="shared" si="25"/>
        <v>Tuesday</v>
      </c>
      <c r="J354" s="9" t="str">
        <f t="shared" si="26"/>
        <v>July</v>
      </c>
      <c r="K354" s="2">
        <v>8.4799995419999998</v>
      </c>
      <c r="L354" s="2">
        <v>8.4799995419999998</v>
      </c>
      <c r="M354" s="2">
        <v>0</v>
      </c>
      <c r="N354" s="2">
        <v>1.460000038</v>
      </c>
      <c r="O354" s="2">
        <v>2.329999924</v>
      </c>
      <c r="P354" s="2">
        <v>4.6799998279999997</v>
      </c>
      <c r="Q354" s="2">
        <v>0</v>
      </c>
      <c r="R354" s="2">
        <v>20</v>
      </c>
      <c r="S354" s="2">
        <v>42</v>
      </c>
      <c r="T354" s="2">
        <v>209</v>
      </c>
      <c r="U354" s="2">
        <f t="shared" si="27"/>
        <v>271</v>
      </c>
      <c r="V354" s="2">
        <v>621</v>
      </c>
      <c r="W354" s="2">
        <v>12827</v>
      </c>
      <c r="X354" s="2">
        <f t="shared" si="28"/>
        <v>12827</v>
      </c>
      <c r="Y354" s="2">
        <v>2739</v>
      </c>
      <c r="Z354" t="str" cm="1">
        <f t="array" ref="Z354">_xlfn.IFS(OR(R354&gt;66, S354&gt;38), "High Engagement", OR(AND(R354&gt;32, R354&lt;=66), AND(S354&gt;19, S354&lt;=38)), "Medium-High Engagement", OR(AND(R354&gt;4, R354&lt;=32), AND(S354&gt;6, S354&lt;=19)),"Medium Engagement", TRUE, "Low Engagement"
)</f>
        <v>High Engagement</v>
      </c>
      <c r="AA354">
        <f t="shared" si="29"/>
        <v>0.21353395182037888</v>
      </c>
    </row>
    <row r="355" spans="1:27" x14ac:dyDescent="0.35">
      <c r="A355" s="2">
        <v>7086361926</v>
      </c>
      <c r="B355" s="2" t="s">
        <v>96</v>
      </c>
      <c r="C355" s="2">
        <f>VLOOKUP(user_activity!A268,users_details!$A$1:$G$34,5,0)</f>
        <v>29</v>
      </c>
      <c r="D355" s="2" t="str" cm="1">
        <f t="array" ref="D355">_xlfn.IFS( AND(C355&gt;=18, C355&lt;=25), "Emerging Adults",  AND(C355&gt;=26, C355&lt;=35),  "Young Adults",  AND(C355&gt;=36, C355&lt;=45),  "Midlife Adults",  AND(C355&gt;=46, C355&lt;=55), "Mature Adults", C355&gt;=56,  "Older Adults", TRUE, "Age Not Mentioned")</f>
        <v>Young Adults</v>
      </c>
      <c r="E355" s="2" t="str">
        <f>VLOOKUP(user_activity!A268,users_details!$A$1:$G$34,6,0)</f>
        <v>East Village, Manhattan</v>
      </c>
      <c r="F355" s="2" t="str">
        <f>VLOOKUP(user_activity!A268,users_details!$A$1:$G$34,7,0)</f>
        <v>East Village</v>
      </c>
      <c r="G355" s="2" t="s">
        <v>72</v>
      </c>
      <c r="H355" s="7">
        <v>42495</v>
      </c>
      <c r="I355" s="9" t="str">
        <f t="shared" si="25"/>
        <v>Thursday</v>
      </c>
      <c r="J355" s="9" t="str">
        <f t="shared" si="26"/>
        <v>May</v>
      </c>
      <c r="K355" s="2">
        <v>5.5999999049999998</v>
      </c>
      <c r="L355" s="2">
        <v>5.5999999049999998</v>
      </c>
      <c r="M355" s="2">
        <v>0</v>
      </c>
      <c r="N355" s="2">
        <v>1.7799999710000001</v>
      </c>
      <c r="O355" s="2">
        <v>0.829999983</v>
      </c>
      <c r="P355" s="2">
        <v>2.9500000480000002</v>
      </c>
      <c r="Q355" s="2">
        <v>0</v>
      </c>
      <c r="R355" s="2">
        <v>24</v>
      </c>
      <c r="S355" s="2">
        <v>14</v>
      </c>
      <c r="T355" s="2">
        <v>149</v>
      </c>
      <c r="U355" s="2">
        <f t="shared" si="27"/>
        <v>187</v>
      </c>
      <c r="V355" s="2">
        <v>1253</v>
      </c>
      <c r="W355" s="2">
        <v>8564</v>
      </c>
      <c r="X355" s="2">
        <f t="shared" si="28"/>
        <v>8564</v>
      </c>
      <c r="Y355" s="2">
        <v>2386</v>
      </c>
      <c r="Z355" t="str" cm="1">
        <f t="array" ref="Z355">_xlfn.IFS(OR(R355&gt;66, S355&gt;38), "High Engagement", OR(AND(R355&gt;32, R355&lt;=66), AND(S355&gt;19, S355&lt;=38)), "Medium-High Engagement", OR(AND(R355&gt;4, R355&lt;=32), AND(S355&gt;6, S355&lt;=19)),"Medium Engagement", TRUE, "Low Engagement"
)</f>
        <v>Medium Engagement</v>
      </c>
      <c r="AA355">
        <f t="shared" si="29"/>
        <v>0.27860812704343763</v>
      </c>
    </row>
    <row r="356" spans="1:27" x14ac:dyDescent="0.35">
      <c r="A356" s="2">
        <v>7086361926</v>
      </c>
      <c r="B356" s="2" t="s">
        <v>96</v>
      </c>
      <c r="C356" s="2">
        <f>VLOOKUP(user_activity!A333,users_details!$A$1:$G$34,5,0)</f>
        <v>30</v>
      </c>
      <c r="D356" s="2" t="str" cm="1">
        <f t="array" ref="D356">_xlfn.IFS( AND(C356&gt;=18, C356&lt;=25), "Emerging Adults",  AND(C356&gt;=26, C356&lt;=35),  "Young Adults",  AND(C356&gt;=36, C356&lt;=45),  "Midlife Adults",  AND(C356&gt;=46, C356&lt;=55), "Mature Adults", C356&gt;=56,  "Older Adults", TRUE, "Age Not Mentioned")</f>
        <v>Young Adults</v>
      </c>
      <c r="E356" s="2" t="str">
        <f>VLOOKUP(user_activity!A333,users_details!$A$1:$G$34,6,0)</f>
        <v>Midtown, Manhattan</v>
      </c>
      <c r="F356" s="2" t="str">
        <f>VLOOKUP(user_activity!A333,users_details!$A$1:$G$34,7,0)</f>
        <v>Midtown</v>
      </c>
      <c r="G356" s="2" t="s">
        <v>72</v>
      </c>
      <c r="H356" s="7">
        <v>42479</v>
      </c>
      <c r="I356" s="9" t="str">
        <f t="shared" si="25"/>
        <v>Tuesday</v>
      </c>
      <c r="J356" s="9" t="str">
        <f t="shared" si="26"/>
        <v>April</v>
      </c>
      <c r="K356" s="2">
        <v>7.2899999619999996</v>
      </c>
      <c r="L356" s="2">
        <v>7.2899999619999996</v>
      </c>
      <c r="M356" s="2">
        <v>0</v>
      </c>
      <c r="N356" s="2">
        <v>3.5299999710000001</v>
      </c>
      <c r="O356" s="2">
        <v>1.230000019</v>
      </c>
      <c r="P356" s="2">
        <v>2.5099999899999998</v>
      </c>
      <c r="Q356" s="2">
        <v>0</v>
      </c>
      <c r="R356" s="2">
        <v>67</v>
      </c>
      <c r="S356" s="2">
        <v>69</v>
      </c>
      <c r="T356" s="2">
        <v>124</v>
      </c>
      <c r="U356" s="2">
        <f t="shared" si="27"/>
        <v>260</v>
      </c>
      <c r="V356" s="2">
        <v>671</v>
      </c>
      <c r="W356" s="2">
        <v>10688</v>
      </c>
      <c r="X356" s="2">
        <f t="shared" si="28"/>
        <v>10688</v>
      </c>
      <c r="Y356" s="2">
        <v>2944</v>
      </c>
      <c r="Z356" t="str" cm="1">
        <f t="array" ref="Z356">_xlfn.IFS(OR(R356&gt;66, S356&gt;38), "High Engagement", OR(AND(R356&gt;32, R356&lt;=66), AND(S356&gt;19, S356&lt;=38)), "Medium-High Engagement", OR(AND(R356&gt;4, R356&lt;=32), AND(S356&gt;6, S356&lt;=19)),"Medium Engagement", TRUE, "Low Engagement"
)</f>
        <v>High Engagement</v>
      </c>
      <c r="AA356">
        <f t="shared" si="29"/>
        <v>0.27544910179640719</v>
      </c>
    </row>
    <row r="357" spans="1:27" x14ac:dyDescent="0.35">
      <c r="A357" s="2">
        <v>7086361926</v>
      </c>
      <c r="B357" s="2" t="s">
        <v>96</v>
      </c>
      <c r="C357" s="2">
        <f>VLOOKUP(user_activity!A367,users_details!$A$1:$G$34,5,0)</f>
        <v>31</v>
      </c>
      <c r="D357" s="2" t="str" cm="1">
        <f t="array" ref="D357">_xlfn.IFS( AND(C357&gt;=18, C357&lt;=25), "Emerging Adults",  AND(C357&gt;=26, C357&lt;=35),  "Young Adults",  AND(C357&gt;=36, C357&lt;=45),  "Midlife Adults",  AND(C357&gt;=46, C357&lt;=55), "Mature Adults", C357&gt;=56,  "Older Adults", TRUE, "Age Not Mentioned")</f>
        <v>Young Adults</v>
      </c>
      <c r="E357" s="2" t="str">
        <f>VLOOKUP(user_activity!A367,users_details!$A$1:$G$34,6,0)</f>
        <v>Midtown, Manhattan</v>
      </c>
      <c r="F357" s="2" t="str">
        <f>VLOOKUP(user_activity!A367,users_details!$A$1:$G$34,7,0)</f>
        <v>Midtown</v>
      </c>
      <c r="G357" s="2" t="s">
        <v>72</v>
      </c>
      <c r="H357" s="7">
        <v>42485</v>
      </c>
      <c r="I357" s="9" t="str">
        <f t="shared" si="25"/>
        <v>Monday</v>
      </c>
      <c r="J357" s="9" t="str">
        <f t="shared" si="26"/>
        <v>April</v>
      </c>
      <c r="K357" s="2">
        <v>6.8200001720000003</v>
      </c>
      <c r="L357" s="2">
        <v>6.8200001720000003</v>
      </c>
      <c r="M357" s="2">
        <v>0</v>
      </c>
      <c r="N357" s="2">
        <v>3.75</v>
      </c>
      <c r="O357" s="2">
        <v>0.69999998799999996</v>
      </c>
      <c r="P357" s="2">
        <v>2.369999886</v>
      </c>
      <c r="Q357" s="2">
        <v>0</v>
      </c>
      <c r="R357" s="2">
        <v>69</v>
      </c>
      <c r="S357" s="2">
        <v>39</v>
      </c>
      <c r="T357" s="2">
        <v>129</v>
      </c>
      <c r="U357" s="2">
        <f t="shared" si="27"/>
        <v>237</v>
      </c>
      <c r="V357" s="2">
        <v>706</v>
      </c>
      <c r="W357" s="2">
        <v>10091</v>
      </c>
      <c r="X357" s="2">
        <f t="shared" si="28"/>
        <v>10091</v>
      </c>
      <c r="Y357" s="2">
        <v>2752</v>
      </c>
      <c r="Z357" t="str" cm="1">
        <f t="array" ref="Z357">_xlfn.IFS(OR(R357&gt;66, S357&gt;38), "High Engagement", OR(AND(R357&gt;32, R357&lt;=66), AND(S357&gt;19, S357&lt;=38)), "Medium-High Engagement", OR(AND(R357&gt;4, R357&lt;=32), AND(S357&gt;6, S357&lt;=19)),"Medium Engagement", TRUE, "Low Engagement"
)</f>
        <v>High Engagement</v>
      </c>
      <c r="AA357">
        <f t="shared" si="29"/>
        <v>0.27271826379942521</v>
      </c>
    </row>
    <row r="358" spans="1:27" x14ac:dyDescent="0.35">
      <c r="A358" s="2">
        <v>7086361926</v>
      </c>
      <c r="B358" s="2" t="s">
        <v>96</v>
      </c>
      <c r="C358" s="2">
        <f>VLOOKUP(user_activity!A436,users_details!$A$1:$G$34,5,0)</f>
        <v>32</v>
      </c>
      <c r="D358" s="2" t="str" cm="1">
        <f t="array" ref="D358">_xlfn.IFS( AND(C358&gt;=18, C358&lt;=25), "Emerging Adults",  AND(C358&gt;=26, C358&lt;=35),  "Young Adults",  AND(C358&gt;=36, C358&lt;=45),  "Midlife Adults",  AND(C358&gt;=46, C358&lt;=55), "Mature Adults", C358&gt;=56,  "Older Adults", TRUE, "Age Not Mentioned")</f>
        <v>Young Adults</v>
      </c>
      <c r="E358" s="2" t="str">
        <f>VLOOKUP(user_activity!A436,users_details!$A$1:$G$34,6,0)</f>
        <v>East Harlem, Manhattan</v>
      </c>
      <c r="F358" s="2" t="str">
        <f>VLOOKUP(user_activity!A436,users_details!$A$1:$G$34,7,0)</f>
        <v>East Harlem</v>
      </c>
      <c r="G358" s="2" t="s">
        <v>72</v>
      </c>
      <c r="H358" s="7">
        <v>42480</v>
      </c>
      <c r="I358" s="9" t="str">
        <f t="shared" si="25"/>
        <v>Wednesday</v>
      </c>
      <c r="J358" s="9" t="str">
        <f t="shared" si="26"/>
        <v>April</v>
      </c>
      <c r="K358" s="2">
        <v>10.64000034</v>
      </c>
      <c r="L358" s="2">
        <v>10.64000034</v>
      </c>
      <c r="M358" s="2">
        <v>0</v>
      </c>
      <c r="N358" s="2">
        <v>7.6399998660000001</v>
      </c>
      <c r="O358" s="2">
        <v>0.44999998800000002</v>
      </c>
      <c r="P358" s="2">
        <v>2.539999962</v>
      </c>
      <c r="Q358" s="2">
        <v>0</v>
      </c>
      <c r="R358" s="2">
        <v>87</v>
      </c>
      <c r="S358" s="2">
        <v>13</v>
      </c>
      <c r="T358" s="2">
        <v>145</v>
      </c>
      <c r="U358" s="2">
        <f t="shared" si="27"/>
        <v>245</v>
      </c>
      <c r="V358" s="2">
        <v>797</v>
      </c>
      <c r="W358" s="2">
        <v>14365</v>
      </c>
      <c r="X358" s="2">
        <f t="shared" si="28"/>
        <v>14365</v>
      </c>
      <c r="Y358" s="2">
        <v>2997</v>
      </c>
      <c r="Z358" t="str" cm="1">
        <f t="array" ref="Z358">_xlfn.IFS(OR(R358&gt;66, S358&gt;38), "High Engagement", OR(AND(R358&gt;32, R358&lt;=66), AND(S358&gt;19, S358&lt;=38)), "Medium-High Engagement", OR(AND(R358&gt;4, R358&lt;=32), AND(S358&gt;6, S358&lt;=19)),"Medium Engagement", TRUE, "Low Engagement"
)</f>
        <v>High Engagement</v>
      </c>
      <c r="AA358">
        <f t="shared" si="29"/>
        <v>0.20863209189001045</v>
      </c>
    </row>
    <row r="359" spans="1:27" x14ac:dyDescent="0.35">
      <c r="A359" s="2">
        <v>7086361926</v>
      </c>
      <c r="B359" s="2" t="s">
        <v>96</v>
      </c>
      <c r="C359" s="2">
        <f>VLOOKUP(user_activity!A482,users_details!$A$1:$G$34,5,0)</f>
        <v>33</v>
      </c>
      <c r="D359" s="2" t="str" cm="1">
        <f t="array" ref="D359">_xlfn.IFS( AND(C359&gt;=18, C359&lt;=25), "Emerging Adults",  AND(C359&gt;=26, C359&lt;=35),  "Young Adults",  AND(C359&gt;=36, C359&lt;=45),  "Midlife Adults",  AND(C359&gt;=46, C359&lt;=55), "Mature Adults", C359&gt;=56,  "Older Adults", TRUE, "Age Not Mentioned")</f>
        <v>Young Adults</v>
      </c>
      <c r="E359" s="2" t="str">
        <f>VLOOKUP(user_activity!A482,users_details!$A$1:$G$34,6,0)</f>
        <v>Greenpoint, Brooklyn</v>
      </c>
      <c r="F359" s="2" t="str">
        <f>VLOOKUP(user_activity!A482,users_details!$A$1:$G$34,7,0)</f>
        <v>Greenpoint</v>
      </c>
      <c r="G359" s="2" t="s">
        <v>72</v>
      </c>
      <c r="H359" s="7">
        <v>42489</v>
      </c>
      <c r="I359" s="9" t="str">
        <f t="shared" si="25"/>
        <v>Friday</v>
      </c>
      <c r="J359" s="9" t="str">
        <f t="shared" si="26"/>
        <v>April</v>
      </c>
      <c r="K359" s="2">
        <v>4.9499998090000004</v>
      </c>
      <c r="L359" s="2">
        <v>4.9499998090000004</v>
      </c>
      <c r="M359" s="2">
        <v>0</v>
      </c>
      <c r="N359" s="2">
        <v>0.49000000999999999</v>
      </c>
      <c r="O359" s="2">
        <v>0.44999998800000002</v>
      </c>
      <c r="P359" s="2">
        <v>4</v>
      </c>
      <c r="Q359" s="2">
        <v>0</v>
      </c>
      <c r="R359" s="2">
        <v>24</v>
      </c>
      <c r="S359" s="2">
        <v>36</v>
      </c>
      <c r="T359" s="2">
        <v>182</v>
      </c>
      <c r="U359" s="2">
        <f t="shared" si="27"/>
        <v>242</v>
      </c>
      <c r="V359" s="2">
        <v>1198</v>
      </c>
      <c r="W359" s="2">
        <v>7881</v>
      </c>
      <c r="X359" s="2">
        <f t="shared" si="28"/>
        <v>7881</v>
      </c>
      <c r="Y359" s="2">
        <v>2616</v>
      </c>
      <c r="Z359" t="str" cm="1">
        <f t="array" ref="Z359">_xlfn.IFS(OR(R359&gt;66, S359&gt;38), "High Engagement", OR(AND(R359&gt;32, R359&lt;=66), AND(S359&gt;19, S359&lt;=38)), "Medium-High Engagement", OR(AND(R359&gt;4, R359&lt;=32), AND(S359&gt;6, S359&lt;=19)),"Medium Engagement", TRUE, "Low Engagement"
)</f>
        <v>Medium-High Engagement</v>
      </c>
      <c r="AA359">
        <f t="shared" si="29"/>
        <v>0.33193757137419111</v>
      </c>
    </row>
    <row r="360" spans="1:27" x14ac:dyDescent="0.35">
      <c r="A360" s="2">
        <v>7086361926</v>
      </c>
      <c r="B360" s="2" t="s">
        <v>96</v>
      </c>
      <c r="C360" s="2">
        <f>VLOOKUP(user_activity!A514,users_details!$A$1:$G$34,5,0)</f>
        <v>36</v>
      </c>
      <c r="D360" s="2" t="str" cm="1">
        <f t="array" ref="D360">_xlfn.IFS( AND(C360&gt;=18, C360&lt;=25), "Emerging Adults",  AND(C360&gt;=26, C360&lt;=35),  "Young Adults",  AND(C360&gt;=36, C360&lt;=45),  "Midlife Adults",  AND(C360&gt;=46, C360&lt;=55), "Mature Adults", C360&gt;=56,  "Older Adults", TRUE, "Age Not Mentioned")</f>
        <v>Midlife Adults</v>
      </c>
      <c r="E360" s="2" t="str">
        <f>VLOOKUP(user_activity!A514,users_details!$A$1:$G$34,6,0)</f>
        <v>Williamsburg, Brooklyn</v>
      </c>
      <c r="F360" s="2" t="str">
        <f>VLOOKUP(user_activity!A514,users_details!$A$1:$G$34,7,0)</f>
        <v>Williamsburg</v>
      </c>
      <c r="G360" s="2" t="s">
        <v>72</v>
      </c>
      <c r="H360" s="7">
        <v>42481</v>
      </c>
      <c r="I360" s="9" t="str">
        <f t="shared" si="25"/>
        <v>Thursday</v>
      </c>
      <c r="J360" s="9" t="str">
        <f t="shared" si="26"/>
        <v>April</v>
      </c>
      <c r="K360" s="2">
        <v>6.1799998279999997</v>
      </c>
      <c r="L360" s="2">
        <v>6.1799998279999997</v>
      </c>
      <c r="M360" s="2">
        <v>0</v>
      </c>
      <c r="N360" s="2">
        <v>1.3600000139999999</v>
      </c>
      <c r="O360" s="2">
        <v>0.30000001199999998</v>
      </c>
      <c r="P360" s="2">
        <v>4.5100002290000001</v>
      </c>
      <c r="Q360" s="2">
        <v>0</v>
      </c>
      <c r="R360" s="2">
        <v>19</v>
      </c>
      <c r="S360" s="2">
        <v>6</v>
      </c>
      <c r="T360" s="2">
        <v>206</v>
      </c>
      <c r="U360" s="2">
        <f t="shared" si="27"/>
        <v>231</v>
      </c>
      <c r="V360" s="2">
        <v>758</v>
      </c>
      <c r="W360" s="2">
        <v>9469</v>
      </c>
      <c r="X360" s="2">
        <f t="shared" si="28"/>
        <v>9469</v>
      </c>
      <c r="Y360" s="2">
        <v>2463</v>
      </c>
      <c r="Z360" t="str" cm="1">
        <f t="array" ref="Z360">_xlfn.IFS(OR(R360&gt;66, S360&gt;38), "High Engagement", OR(AND(R360&gt;32, R360&lt;=66), AND(S360&gt;19, S360&lt;=38)), "Medium-High Engagement", OR(AND(R360&gt;4, R360&lt;=32), AND(S360&gt;6, S360&lt;=19)),"Medium Engagement", TRUE, "Low Engagement"
)</f>
        <v>Medium Engagement</v>
      </c>
      <c r="AA360">
        <f t="shared" si="29"/>
        <v>0.260111944239096</v>
      </c>
    </row>
    <row r="361" spans="1:27" x14ac:dyDescent="0.35">
      <c r="A361" s="2">
        <v>7086361926</v>
      </c>
      <c r="B361" s="2" t="s">
        <v>96</v>
      </c>
      <c r="C361" s="2">
        <f>VLOOKUP(user_activity!A520,users_details!$A$1:$G$34,5,0)</f>
        <v>36</v>
      </c>
      <c r="D361" s="2" t="str" cm="1">
        <f t="array" ref="D361">_xlfn.IFS( AND(C361&gt;=18, C361&lt;=25), "Emerging Adults",  AND(C361&gt;=26, C361&lt;=35),  "Young Adults",  AND(C361&gt;=36, C361&lt;=45),  "Midlife Adults",  AND(C361&gt;=46, C361&lt;=55), "Mature Adults", C361&gt;=56,  "Older Adults", TRUE, "Age Not Mentioned")</f>
        <v>Midlife Adults</v>
      </c>
      <c r="E361" s="2" t="str">
        <f>VLOOKUP(user_activity!A520,users_details!$A$1:$G$34,6,0)</f>
        <v>Williamsburg, Brooklyn</v>
      </c>
      <c r="F361" s="2" t="str">
        <f>VLOOKUP(user_activity!A520,users_details!$A$1:$G$34,7,0)</f>
        <v>Williamsburg</v>
      </c>
      <c r="G361" s="2" t="s">
        <v>72</v>
      </c>
      <c r="H361" s="7">
        <v>42709</v>
      </c>
      <c r="I361" s="9" t="str">
        <f t="shared" si="25"/>
        <v>Monday</v>
      </c>
      <c r="J361" s="9" t="str">
        <f t="shared" si="26"/>
        <v>December</v>
      </c>
      <c r="K361" s="2">
        <v>2.5599999430000002</v>
      </c>
      <c r="L361" s="2">
        <v>2.5599999430000002</v>
      </c>
      <c r="M361" s="2">
        <v>0</v>
      </c>
      <c r="N361" s="2">
        <v>0.37999999499999998</v>
      </c>
      <c r="O361" s="2">
        <v>0.27000001099999998</v>
      </c>
      <c r="P361" s="2">
        <v>1.8899999860000001</v>
      </c>
      <c r="Q361" s="2">
        <v>0</v>
      </c>
      <c r="R361" s="2">
        <v>5</v>
      </c>
      <c r="S361" s="2">
        <v>4</v>
      </c>
      <c r="T361" s="2">
        <v>58</v>
      </c>
      <c r="U361" s="2">
        <f t="shared" si="27"/>
        <v>67</v>
      </c>
      <c r="V361" s="2">
        <v>343</v>
      </c>
      <c r="W361" s="2">
        <v>3789</v>
      </c>
      <c r="X361" s="2">
        <f t="shared" si="28"/>
        <v>3789</v>
      </c>
      <c r="Y361" s="2">
        <v>1199</v>
      </c>
      <c r="Z361" t="str" cm="1">
        <f t="array" ref="Z361">_xlfn.IFS(OR(R361&gt;66, S361&gt;38), "High Engagement", OR(AND(R361&gt;32, R361&lt;=66), AND(S361&gt;19, S361&lt;=38)), "Medium-High Engagement", OR(AND(R361&gt;4, R361&lt;=32), AND(S361&gt;6, S361&lt;=19)),"Medium Engagement", TRUE, "Low Engagement"
)</f>
        <v>Medium Engagement</v>
      </c>
      <c r="AA361">
        <f t="shared" si="29"/>
        <v>0.31644233306941144</v>
      </c>
    </row>
    <row r="362" spans="1:27" x14ac:dyDescent="0.35">
      <c r="A362" s="2">
        <v>7086361926</v>
      </c>
      <c r="B362" s="2" t="s">
        <v>96</v>
      </c>
      <c r="C362" s="2">
        <f>VLOOKUP(user_activity!A548,users_details!$A$1:$G$34,5,0)</f>
        <v>38</v>
      </c>
      <c r="D362" s="2" t="str" cm="1">
        <f t="array" ref="D362">_xlfn.IFS( AND(C362&gt;=18, C362&lt;=25), "Emerging Adults",  AND(C362&gt;=26, C362&lt;=35),  "Young Adults",  AND(C362&gt;=36, C362&lt;=45),  "Midlife Adults",  AND(C362&gt;=46, C362&lt;=55), "Mature Adults", C362&gt;=56,  "Older Adults", TRUE, "Age Not Mentioned")</f>
        <v>Midlife Adults</v>
      </c>
      <c r="E362" s="2" t="str">
        <f>VLOOKUP(user_activity!A548,users_details!$A$1:$G$34,6,0)</f>
        <v>East Harlem, Manhattan</v>
      </c>
      <c r="F362" s="2" t="str">
        <f>VLOOKUP(user_activity!A548,users_details!$A$1:$G$34,7,0)</f>
        <v>East Harlem</v>
      </c>
      <c r="G362" s="2" t="s">
        <v>72</v>
      </c>
      <c r="H362" s="7">
        <v>42465</v>
      </c>
      <c r="I362" s="9" t="str">
        <f t="shared" si="25"/>
        <v>Tuesday</v>
      </c>
      <c r="J362" s="9" t="str">
        <f t="shared" si="26"/>
        <v>April</v>
      </c>
      <c r="K362" s="2">
        <v>8.3100004199999997</v>
      </c>
      <c r="L362" s="2">
        <v>8.3100004199999997</v>
      </c>
      <c r="M362" s="2">
        <v>0</v>
      </c>
      <c r="N362" s="2">
        <v>5.2800002099999999</v>
      </c>
      <c r="O362" s="2">
        <v>0.119999997</v>
      </c>
      <c r="P362" s="2">
        <v>2.9000000950000002</v>
      </c>
      <c r="Q362" s="2">
        <v>0</v>
      </c>
      <c r="R362" s="2">
        <v>45</v>
      </c>
      <c r="S362" s="2">
        <v>12</v>
      </c>
      <c r="T362" s="2">
        <v>135</v>
      </c>
      <c r="U362" s="2">
        <f t="shared" si="27"/>
        <v>192</v>
      </c>
      <c r="V362" s="2">
        <v>843</v>
      </c>
      <c r="W362" s="2">
        <v>10988</v>
      </c>
      <c r="X362" s="2">
        <f t="shared" si="28"/>
        <v>10988</v>
      </c>
      <c r="Y362" s="2">
        <v>2655</v>
      </c>
      <c r="Z362" t="str" cm="1">
        <f t="array" ref="Z362">_xlfn.IFS(OR(R362&gt;66, S362&gt;38), "High Engagement", OR(AND(R362&gt;32, R362&lt;=66), AND(S362&gt;19, S362&lt;=38)), "Medium-High Engagement", OR(AND(R362&gt;4, R362&lt;=32), AND(S362&gt;6, S362&lt;=19)),"Medium Engagement", TRUE, "Low Engagement"
)</f>
        <v>Medium-High Engagement</v>
      </c>
      <c r="AA362">
        <f t="shared" si="29"/>
        <v>0.24162722970513287</v>
      </c>
    </row>
    <row r="363" spans="1:27" x14ac:dyDescent="0.35">
      <c r="A363" s="2">
        <v>7086361926</v>
      </c>
      <c r="B363" s="2" t="s">
        <v>96</v>
      </c>
      <c r="C363" s="2">
        <f>VLOOKUP(user_activity!A550,users_details!$A$1:$G$34,5,0)</f>
        <v>38</v>
      </c>
      <c r="D363" s="2" t="str" cm="1">
        <f t="array" ref="D363">_xlfn.IFS( AND(C363&gt;=18, C363&lt;=25), "Emerging Adults",  AND(C363&gt;=26, C363&lt;=35),  "Young Adults",  AND(C363&gt;=36, C363&lt;=45),  "Midlife Adults",  AND(C363&gt;=46, C363&lt;=55), "Mature Adults", C363&gt;=56,  "Older Adults", TRUE, "Age Not Mentioned")</f>
        <v>Midlife Adults</v>
      </c>
      <c r="E363" s="2" t="str">
        <f>VLOOKUP(user_activity!A550,users_details!$A$1:$G$34,6,0)</f>
        <v>East Harlem, Manhattan</v>
      </c>
      <c r="F363" s="2" t="str">
        <f>VLOOKUP(user_activity!A550,users_details!$A$1:$G$34,7,0)</f>
        <v>East Harlem</v>
      </c>
      <c r="G363" s="2" t="s">
        <v>72</v>
      </c>
      <c r="H363" s="7">
        <v>42434</v>
      </c>
      <c r="I363" s="9" t="str">
        <f t="shared" si="25"/>
        <v>Saturday</v>
      </c>
      <c r="J363" s="9" t="str">
        <f t="shared" si="26"/>
        <v>March</v>
      </c>
      <c r="K363" s="2">
        <v>6.7600002290000001</v>
      </c>
      <c r="L363" s="2">
        <v>6.7600002290000001</v>
      </c>
      <c r="M363" s="2">
        <v>0</v>
      </c>
      <c r="N363" s="2">
        <v>2.7400000100000002</v>
      </c>
      <c r="O363" s="2">
        <v>0.85000002399999997</v>
      </c>
      <c r="P363" s="2">
        <v>3.1600000860000002</v>
      </c>
      <c r="Q363" s="2">
        <v>0</v>
      </c>
      <c r="R363" s="2">
        <v>57</v>
      </c>
      <c r="S363" s="2">
        <v>36</v>
      </c>
      <c r="T363" s="2">
        <v>152</v>
      </c>
      <c r="U363" s="2">
        <f t="shared" si="27"/>
        <v>245</v>
      </c>
      <c r="V363" s="2">
        <v>761</v>
      </c>
      <c r="W363" s="2">
        <v>10288</v>
      </c>
      <c r="X363" s="2">
        <f t="shared" si="28"/>
        <v>10288</v>
      </c>
      <c r="Y363" s="2">
        <v>2754</v>
      </c>
      <c r="Z363" t="str" cm="1">
        <f t="array" ref="Z363">_xlfn.IFS(OR(R363&gt;66, S363&gt;38), "High Engagement", OR(AND(R363&gt;32, R363&lt;=66), AND(S363&gt;19, S363&lt;=38)), "Medium-High Engagement", OR(AND(R363&gt;4, R363&lt;=32), AND(S363&gt;6, S363&lt;=19)),"Medium Engagement", TRUE, "Low Engagement"
)</f>
        <v>Medium-High Engagement</v>
      </c>
      <c r="AA363">
        <f t="shared" si="29"/>
        <v>0.26769051321928461</v>
      </c>
    </row>
    <row r="364" spans="1:27" x14ac:dyDescent="0.35">
      <c r="A364" s="2">
        <v>7086361926</v>
      </c>
      <c r="B364" s="2" t="s">
        <v>96</v>
      </c>
      <c r="C364" s="2">
        <f>VLOOKUP(user_activity!A572,users_details!$A$1:$G$34,5,0)</f>
        <v>38</v>
      </c>
      <c r="D364" s="2" t="str" cm="1">
        <f t="array" ref="D364">_xlfn.IFS( AND(C364&gt;=18, C364&lt;=25), "Emerging Adults",  AND(C364&gt;=26, C364&lt;=35),  "Young Adults",  AND(C364&gt;=36, C364&lt;=45),  "Midlife Adults",  AND(C364&gt;=46, C364&lt;=55), "Mature Adults", C364&gt;=56,  "Older Adults", TRUE, "Age Not Mentioned")</f>
        <v>Midlife Adults</v>
      </c>
      <c r="E364" s="2" t="str">
        <f>VLOOKUP(user_activity!A572,users_details!$A$1:$G$34,6,0)</f>
        <v>East Harlem, Manhattan</v>
      </c>
      <c r="F364" s="2" t="str">
        <f>VLOOKUP(user_activity!A572,users_details!$A$1:$G$34,7,0)</f>
        <v>East Harlem</v>
      </c>
      <c r="G364" s="2" t="s">
        <v>72</v>
      </c>
      <c r="H364" s="7">
        <v>42488</v>
      </c>
      <c r="I364" s="9" t="str">
        <f t="shared" si="25"/>
        <v>Thursday</v>
      </c>
      <c r="J364" s="9" t="str">
        <f t="shared" si="26"/>
        <v>April</v>
      </c>
      <c r="K364" s="2">
        <v>7.8000001909999996</v>
      </c>
      <c r="L364" s="2">
        <v>7.8000001909999996</v>
      </c>
      <c r="M364" s="2">
        <v>0</v>
      </c>
      <c r="N364" s="2">
        <v>2.789999962</v>
      </c>
      <c r="O364" s="2">
        <v>1.6399999860000001</v>
      </c>
      <c r="P364" s="2">
        <v>3.3599998950000001</v>
      </c>
      <c r="Q364" s="2">
        <v>0</v>
      </c>
      <c r="R364" s="2">
        <v>54</v>
      </c>
      <c r="S364" s="2">
        <v>48</v>
      </c>
      <c r="T364" s="2">
        <v>161</v>
      </c>
      <c r="U364" s="2">
        <f t="shared" si="27"/>
        <v>263</v>
      </c>
      <c r="V364" s="2">
        <v>810</v>
      </c>
      <c r="W364" s="2">
        <v>11584</v>
      </c>
      <c r="X364" s="2">
        <f t="shared" si="28"/>
        <v>11584</v>
      </c>
      <c r="Y364" s="2">
        <v>2862</v>
      </c>
      <c r="Z364" t="str" cm="1">
        <f t="array" ref="Z364">_xlfn.IFS(OR(R364&gt;66, S364&gt;38), "High Engagement", OR(AND(R364&gt;32, R364&lt;=66), AND(S364&gt;19, S364&lt;=38)), "Medium-High Engagement", OR(AND(R364&gt;4, R364&lt;=32), AND(S364&gt;6, S364&lt;=19)),"Medium Engagement", TRUE, "Low Engagement"
)</f>
        <v>High Engagement</v>
      </c>
      <c r="AA364">
        <f t="shared" si="29"/>
        <v>0.24706491712707182</v>
      </c>
    </row>
    <row r="365" spans="1:27" x14ac:dyDescent="0.35">
      <c r="A365" s="2">
        <v>7086361926</v>
      </c>
      <c r="B365" s="2" t="s">
        <v>96</v>
      </c>
      <c r="C365" s="2">
        <f>VLOOKUP(user_activity!A610,users_details!$A$1:$G$34,5,0)</f>
        <v>41</v>
      </c>
      <c r="D365" s="2" t="str" cm="1">
        <f t="array" ref="D365">_xlfn.IFS( AND(C365&gt;=18, C365&lt;=25), "Emerging Adults",  AND(C365&gt;=26, C365&lt;=35),  "Young Adults",  AND(C365&gt;=36, C365&lt;=45),  "Midlife Adults",  AND(C365&gt;=46, C365&lt;=55), "Mature Adults", C365&gt;=56,  "Older Adults", TRUE, "Age Not Mentioned")</f>
        <v>Midlife Adults</v>
      </c>
      <c r="E365" s="2" t="str">
        <f>VLOOKUP(user_activity!A610,users_details!$A$1:$G$34,6,0)</f>
        <v>East Harlem, Manhattan</v>
      </c>
      <c r="F365" s="2" t="str">
        <f>VLOOKUP(user_activity!A610,users_details!$A$1:$G$34,7,0)</f>
        <v>East Harlem</v>
      </c>
      <c r="G365" s="2" t="s">
        <v>72</v>
      </c>
      <c r="H365" s="7">
        <v>42487</v>
      </c>
      <c r="I365" s="9" t="str">
        <f t="shared" si="25"/>
        <v>Wednesday</v>
      </c>
      <c r="J365" s="9" t="str">
        <f t="shared" si="26"/>
        <v>April</v>
      </c>
      <c r="K365" s="2">
        <v>8.3400001530000001</v>
      </c>
      <c r="L365" s="2">
        <v>8.3400001530000001</v>
      </c>
      <c r="M365" s="2">
        <v>0</v>
      </c>
      <c r="N365" s="2">
        <v>5.6300001139999996</v>
      </c>
      <c r="O365" s="2">
        <v>0.18000000699999999</v>
      </c>
      <c r="P365" s="2">
        <v>2.5299999710000001</v>
      </c>
      <c r="Q365" s="2">
        <v>0</v>
      </c>
      <c r="R365" s="2">
        <v>55</v>
      </c>
      <c r="S365" s="2">
        <v>6</v>
      </c>
      <c r="T365" s="2">
        <v>145</v>
      </c>
      <c r="U365" s="2">
        <f t="shared" si="27"/>
        <v>206</v>
      </c>
      <c r="V365" s="2">
        <v>829</v>
      </c>
      <c r="W365" s="2">
        <v>11107</v>
      </c>
      <c r="X365" s="2">
        <f t="shared" si="28"/>
        <v>11107</v>
      </c>
      <c r="Y365" s="2">
        <v>2693</v>
      </c>
      <c r="Z365" t="str" cm="1">
        <f t="array" ref="Z365">_xlfn.IFS(OR(R365&gt;66, S365&gt;38), "High Engagement", OR(AND(R365&gt;32, R365&lt;=66), AND(S365&gt;19, S365&lt;=38)), "Medium-High Engagement", OR(AND(R365&gt;4, R365&lt;=32), AND(S365&gt;6, S365&lt;=19)),"Medium Engagement", TRUE, "Low Engagement"
)</f>
        <v>Medium-High Engagement</v>
      </c>
      <c r="AA365">
        <f t="shared" si="29"/>
        <v>0.24245971009273432</v>
      </c>
    </row>
    <row r="366" spans="1:27" x14ac:dyDescent="0.35">
      <c r="A366" s="2">
        <v>7086361926</v>
      </c>
      <c r="B366" s="2" t="s">
        <v>96</v>
      </c>
      <c r="C366" s="2">
        <f>VLOOKUP(user_activity!A643,users_details!$A$1:$G$34,5,0)</f>
        <v>45</v>
      </c>
      <c r="D366" s="2" t="str" cm="1">
        <f t="array" ref="D366">_xlfn.IFS( AND(C366&gt;=18, C366&lt;=25), "Emerging Adults",  AND(C366&gt;=26, C366&lt;=35),  "Young Adults",  AND(C366&gt;=36, C366&lt;=45),  "Midlife Adults",  AND(C366&gt;=46, C366&lt;=55), "Mature Adults", C366&gt;=56,  "Older Adults", TRUE, "Age Not Mentioned")</f>
        <v>Midlife Adults</v>
      </c>
      <c r="E366" s="2" t="str">
        <f>VLOOKUP(user_activity!A643,users_details!$A$1:$G$34,6,0)</f>
        <v>Harlem, Manhattan</v>
      </c>
      <c r="F366" s="2" t="str">
        <f>VLOOKUP(user_activity!A643,users_details!$A$1:$G$34,7,0)</f>
        <v>Harlem</v>
      </c>
      <c r="G366" s="2" t="s">
        <v>72</v>
      </c>
      <c r="H366" s="7">
        <v>42405</v>
      </c>
      <c r="I366" s="9" t="str">
        <f t="shared" si="25"/>
        <v>Friday</v>
      </c>
      <c r="J366" s="9" t="str">
        <f t="shared" si="26"/>
        <v>February</v>
      </c>
      <c r="K366" s="2">
        <v>6.8099999430000002</v>
      </c>
      <c r="L366" s="2">
        <v>6.8099999430000002</v>
      </c>
      <c r="M366" s="2">
        <v>0</v>
      </c>
      <c r="N366" s="2">
        <v>3.4800000190000002</v>
      </c>
      <c r="O366" s="2">
        <v>0.66000002599999996</v>
      </c>
      <c r="P366" s="2">
        <v>2.6600000860000002</v>
      </c>
      <c r="Q366" s="2">
        <v>0</v>
      </c>
      <c r="R366" s="2">
        <v>66</v>
      </c>
      <c r="S366" s="2">
        <v>26</v>
      </c>
      <c r="T366" s="2">
        <v>139</v>
      </c>
      <c r="U366" s="2">
        <f t="shared" si="27"/>
        <v>231</v>
      </c>
      <c r="V366" s="2">
        <v>737</v>
      </c>
      <c r="W366" s="2">
        <v>10052</v>
      </c>
      <c r="X366" s="2">
        <f t="shared" si="28"/>
        <v>10052</v>
      </c>
      <c r="Y366" s="2">
        <v>2754</v>
      </c>
      <c r="Z366" t="str" cm="1">
        <f t="array" ref="Z366">_xlfn.IFS(OR(R366&gt;66, S366&gt;38), "High Engagement", OR(AND(R366&gt;32, R366&lt;=66), AND(S366&gt;19, S366&lt;=38)), "Medium-High Engagement", OR(AND(R366&gt;4, R366&lt;=32), AND(S366&gt;6, S366&lt;=19)),"Medium Engagement", TRUE, "Low Engagement"
)</f>
        <v>Medium-High Engagement</v>
      </c>
      <c r="AA366">
        <f t="shared" si="29"/>
        <v>0.27397532829287702</v>
      </c>
    </row>
    <row r="367" spans="1:27" x14ac:dyDescent="0.35">
      <c r="A367" s="2">
        <v>7086361926</v>
      </c>
      <c r="B367" s="2" t="s">
        <v>96</v>
      </c>
      <c r="C367" s="2">
        <f>VLOOKUP(user_activity!A658,users_details!$A$1:$G$34,5,0)</f>
        <v>45</v>
      </c>
      <c r="D367" s="2" t="str" cm="1">
        <f t="array" ref="D367">_xlfn.IFS( AND(C367&gt;=18, C367&lt;=25), "Emerging Adults",  AND(C367&gt;=26, C367&lt;=35),  "Young Adults",  AND(C367&gt;=36, C367&lt;=45),  "Midlife Adults",  AND(C367&gt;=46, C367&lt;=55), "Mature Adults", C367&gt;=56,  "Older Adults", TRUE, "Age Not Mentioned")</f>
        <v>Midlife Adults</v>
      </c>
      <c r="E367" s="2" t="str">
        <f>VLOOKUP(user_activity!A658,users_details!$A$1:$G$34,6,0)</f>
        <v>Harlem, Manhattan</v>
      </c>
      <c r="F367" s="2" t="str">
        <f>VLOOKUP(user_activity!A658,users_details!$A$1:$G$34,7,0)</f>
        <v>Harlem</v>
      </c>
      <c r="G367" s="2" t="s">
        <v>72</v>
      </c>
      <c r="H367" s="7">
        <v>42475</v>
      </c>
      <c r="I367" s="9" t="str">
        <f t="shared" si="25"/>
        <v>Friday</v>
      </c>
      <c r="J367" s="9" t="str">
        <f t="shared" si="26"/>
        <v>April</v>
      </c>
      <c r="K367" s="2">
        <v>5.670000076</v>
      </c>
      <c r="L367" s="2">
        <v>5.670000076</v>
      </c>
      <c r="M367" s="2">
        <v>0</v>
      </c>
      <c r="N367" s="2">
        <v>2.039999962</v>
      </c>
      <c r="O367" s="2">
        <v>1.1100000139999999</v>
      </c>
      <c r="P367" s="2">
        <v>2.5299999710000001</v>
      </c>
      <c r="Q367" s="2">
        <v>0</v>
      </c>
      <c r="R367" s="2">
        <v>30</v>
      </c>
      <c r="S367" s="2">
        <v>21</v>
      </c>
      <c r="T367" s="2">
        <v>139</v>
      </c>
      <c r="U367" s="2">
        <f t="shared" si="27"/>
        <v>190</v>
      </c>
      <c r="V367" s="2">
        <v>864</v>
      </c>
      <c r="W367" s="2">
        <v>8585</v>
      </c>
      <c r="X367" s="2">
        <f t="shared" si="28"/>
        <v>8585</v>
      </c>
      <c r="Y367" s="2">
        <v>2395</v>
      </c>
      <c r="Z367" t="str" cm="1">
        <f t="array" ref="Z367">_xlfn.IFS(OR(R367&gt;66, S367&gt;38), "High Engagement", OR(AND(R367&gt;32, R367&lt;=66), AND(S367&gt;19, S367&lt;=38)), "Medium-High Engagement", OR(AND(R367&gt;4, R367&lt;=32), AND(S367&gt;6, S367&lt;=19)),"Medium Engagement", TRUE, "Low Engagement"
)</f>
        <v>Medium-High Engagement</v>
      </c>
      <c r="AA367">
        <f t="shared" si="29"/>
        <v>0.2789749563191613</v>
      </c>
    </row>
    <row r="368" spans="1:27" x14ac:dyDescent="0.35">
      <c r="A368" s="2">
        <v>7086361926</v>
      </c>
      <c r="B368" s="2" t="s">
        <v>96</v>
      </c>
      <c r="C368" s="2">
        <f>VLOOKUP(user_activity!A662,users_details!$A$1:$G$34,5,0)</f>
        <v>45</v>
      </c>
      <c r="D368" s="2" t="str" cm="1">
        <f t="array" ref="D368">_xlfn.IFS( AND(C368&gt;=18, C368&lt;=25), "Emerging Adults",  AND(C368&gt;=26, C368&lt;=35),  "Young Adults",  AND(C368&gt;=36, C368&lt;=45),  "Midlife Adults",  AND(C368&gt;=46, C368&lt;=55), "Mature Adults", C368&gt;=56,  "Older Adults", TRUE, "Age Not Mentioned")</f>
        <v>Midlife Adults</v>
      </c>
      <c r="E368" s="2" t="str">
        <f>VLOOKUP(user_activity!A662,users_details!$A$1:$G$34,6,0)</f>
        <v>Harlem, Manhattan</v>
      </c>
      <c r="F368" s="2" t="str">
        <f>VLOOKUP(user_activity!A662,users_details!$A$1:$G$34,7,0)</f>
        <v>Harlem</v>
      </c>
      <c r="G368" s="2" t="s">
        <v>72</v>
      </c>
      <c r="H368" s="7">
        <v>42478</v>
      </c>
      <c r="I368" s="9" t="str">
        <f t="shared" si="25"/>
        <v>Monday</v>
      </c>
      <c r="J368" s="9" t="str">
        <f t="shared" si="26"/>
        <v>April</v>
      </c>
      <c r="K368" s="2">
        <v>6.7100000380000004</v>
      </c>
      <c r="L368" s="2">
        <v>6.7100000380000004</v>
      </c>
      <c r="M368" s="2">
        <v>0</v>
      </c>
      <c r="N368" s="2">
        <v>3.170000076</v>
      </c>
      <c r="O368" s="2">
        <v>1.2200000289999999</v>
      </c>
      <c r="P368" s="2">
        <v>2.3099999430000002</v>
      </c>
      <c r="Q368" s="2">
        <v>0</v>
      </c>
      <c r="R368" s="2">
        <v>61</v>
      </c>
      <c r="S368" s="2">
        <v>51</v>
      </c>
      <c r="T368" s="2">
        <v>114</v>
      </c>
      <c r="U368" s="2">
        <f t="shared" si="27"/>
        <v>226</v>
      </c>
      <c r="V368" s="2">
        <v>1136</v>
      </c>
      <c r="W368" s="2">
        <v>9827</v>
      </c>
      <c r="X368" s="2">
        <f t="shared" si="28"/>
        <v>9827</v>
      </c>
      <c r="Y368" s="2">
        <v>2743</v>
      </c>
      <c r="Z368" t="str" cm="1">
        <f t="array" ref="Z368">_xlfn.IFS(OR(R368&gt;66, S368&gt;38), "High Engagement", OR(AND(R368&gt;32, R368&lt;=66), AND(S368&gt;19, S368&lt;=38)), "Medium-High Engagement", OR(AND(R368&gt;4, R368&lt;=32), AND(S368&gt;6, S368&lt;=19)),"Medium Engagement", TRUE, "Low Engagement"
)</f>
        <v>High Engagement</v>
      </c>
      <c r="AA368">
        <f t="shared" si="29"/>
        <v>0.27912893049760862</v>
      </c>
    </row>
    <row r="369" spans="1:27" x14ac:dyDescent="0.35">
      <c r="A369" s="2">
        <v>7086361926</v>
      </c>
      <c r="B369" s="2" t="s">
        <v>96</v>
      </c>
      <c r="C369" s="2">
        <f>VLOOKUP(user_activity!A703,users_details!$A$1:$G$34,5,0)</f>
        <v>53</v>
      </c>
      <c r="D369" s="2" t="str" cm="1">
        <f t="array" ref="D369">_xlfn.IFS( AND(C369&gt;=18, C369&lt;=25), "Emerging Adults",  AND(C369&gt;=26, C369&lt;=35),  "Young Adults",  AND(C369&gt;=36, C369&lt;=45),  "Midlife Adults",  AND(C369&gt;=46, C369&lt;=55), "Mature Adults", C369&gt;=56,  "Older Adults", TRUE, "Age Not Mentioned")</f>
        <v>Mature Adults</v>
      </c>
      <c r="E369" s="2" t="str">
        <f>VLOOKUP(user_activity!A703,users_details!$A$1:$G$34,6,0)</f>
        <v>Williamsburg, Brooklyn</v>
      </c>
      <c r="F369" s="2" t="str">
        <f>VLOOKUP(user_activity!A703,users_details!$A$1:$G$34,7,0)</f>
        <v>Williamsburg</v>
      </c>
      <c r="G369" s="2" t="s">
        <v>72</v>
      </c>
      <c r="H369" s="7">
        <v>42374</v>
      </c>
      <c r="I369" s="9" t="str">
        <f t="shared" si="25"/>
        <v>Tuesday</v>
      </c>
      <c r="J369" s="9" t="str">
        <f t="shared" si="26"/>
        <v>January</v>
      </c>
      <c r="K369" s="2">
        <v>8.0699996949999999</v>
      </c>
      <c r="L369" s="2">
        <v>8.0699996949999999</v>
      </c>
      <c r="M369" s="2">
        <v>0</v>
      </c>
      <c r="N369" s="2">
        <v>2.2999999519999998</v>
      </c>
      <c r="O369" s="2">
        <v>0.89999997600000003</v>
      </c>
      <c r="P369" s="2">
        <v>4.8499999049999998</v>
      </c>
      <c r="Q369" s="2">
        <v>0</v>
      </c>
      <c r="R369" s="2">
        <v>30</v>
      </c>
      <c r="S369" s="2">
        <v>15</v>
      </c>
      <c r="T369" s="2">
        <v>258</v>
      </c>
      <c r="U369" s="2">
        <f t="shared" si="27"/>
        <v>303</v>
      </c>
      <c r="V369" s="2">
        <v>685</v>
      </c>
      <c r="W369" s="2">
        <v>12390</v>
      </c>
      <c r="X369" s="2">
        <f t="shared" si="28"/>
        <v>12390</v>
      </c>
      <c r="Y369" s="2">
        <v>2730</v>
      </c>
      <c r="Z369" t="str" cm="1">
        <f t="array" ref="Z369">_xlfn.IFS(OR(R369&gt;66, S369&gt;38), "High Engagement", OR(AND(R369&gt;32, R369&lt;=66), AND(S369&gt;19, S369&lt;=38)), "Medium-High Engagement", OR(AND(R369&gt;4, R369&lt;=32), AND(S369&gt;6, S369&lt;=19)),"Medium Engagement", TRUE, "Low Engagement"
)</f>
        <v>Medium Engagement</v>
      </c>
      <c r="AA369">
        <f t="shared" si="29"/>
        <v>0.22033898305084745</v>
      </c>
    </row>
    <row r="370" spans="1:27" x14ac:dyDescent="0.35">
      <c r="A370" s="2">
        <v>7086361926</v>
      </c>
      <c r="B370" s="2" t="s">
        <v>96</v>
      </c>
      <c r="C370" s="2">
        <f>VLOOKUP(user_activity!A725,users_details!$A$1:$G$34,5,0)</f>
        <v>53</v>
      </c>
      <c r="D370" s="2" t="str" cm="1">
        <f t="array" ref="D370">_xlfn.IFS( AND(C370&gt;=18, C370&lt;=25), "Emerging Adults",  AND(C370&gt;=26, C370&lt;=35),  "Young Adults",  AND(C370&gt;=36, C370&lt;=45),  "Midlife Adults",  AND(C370&gt;=46, C370&lt;=55), "Mature Adults", C370&gt;=56,  "Older Adults", TRUE, "Age Not Mentioned")</f>
        <v>Mature Adults</v>
      </c>
      <c r="E370" s="2" t="str">
        <f>VLOOKUP(user_activity!A725,users_details!$A$1:$G$34,6,0)</f>
        <v>Williamsburg, Brooklyn</v>
      </c>
      <c r="F370" s="2" t="str">
        <f>VLOOKUP(user_activity!A725,users_details!$A$1:$G$34,7,0)</f>
        <v>Williamsburg</v>
      </c>
      <c r="G370" s="2" t="s">
        <v>72</v>
      </c>
      <c r="H370" s="7">
        <v>42708</v>
      </c>
      <c r="I370" s="9" t="str">
        <f t="shared" si="25"/>
        <v>Sunday</v>
      </c>
      <c r="J370" s="9" t="str">
        <f t="shared" si="26"/>
        <v>December</v>
      </c>
      <c r="K370" s="2">
        <v>8.4099998469999999</v>
      </c>
      <c r="L370" s="2">
        <v>8.4099998469999999</v>
      </c>
      <c r="M370" s="2">
        <v>0</v>
      </c>
      <c r="N370" s="2">
        <v>5.2699999809999998</v>
      </c>
      <c r="O370" s="2">
        <v>0.15000000599999999</v>
      </c>
      <c r="P370" s="2">
        <v>2.9700000289999999</v>
      </c>
      <c r="Q370" s="2">
        <v>0</v>
      </c>
      <c r="R370" s="2">
        <v>59</v>
      </c>
      <c r="S370" s="2">
        <v>6</v>
      </c>
      <c r="T370" s="2">
        <v>153</v>
      </c>
      <c r="U370" s="2">
        <f t="shared" si="27"/>
        <v>218</v>
      </c>
      <c r="V370" s="2">
        <v>745</v>
      </c>
      <c r="W370" s="2">
        <v>11317</v>
      </c>
      <c r="X370" s="2">
        <f t="shared" si="28"/>
        <v>11317</v>
      </c>
      <c r="Y370" s="2">
        <v>2772</v>
      </c>
      <c r="Z370" t="str" cm="1">
        <f t="array" ref="Z370">_xlfn.IFS(OR(R370&gt;66, S370&gt;38), "High Engagement", OR(AND(R370&gt;32, R370&lt;=66), AND(S370&gt;19, S370&lt;=38)), "Medium-High Engagement", OR(AND(R370&gt;4, R370&lt;=32), AND(S370&gt;6, S370&lt;=19)),"Medium Engagement", TRUE, "Low Engagement"
)</f>
        <v>Medium-High Engagement</v>
      </c>
      <c r="AA370">
        <f t="shared" si="29"/>
        <v>0.24494123884421667</v>
      </c>
    </row>
    <row r="371" spans="1:27" x14ac:dyDescent="0.35">
      <c r="A371" s="2">
        <v>7086361926</v>
      </c>
      <c r="B371" s="2" t="s">
        <v>96</v>
      </c>
      <c r="C371" s="2">
        <f>VLOOKUP(user_activity!A741,users_details!$A$1:$G$34,5,0)</f>
        <v>53</v>
      </c>
      <c r="D371" s="2" t="str" cm="1">
        <f t="array" ref="D371">_xlfn.IFS( AND(C371&gt;=18, C371&lt;=25), "Emerging Adults",  AND(C371&gt;=26, C371&lt;=35),  "Young Adults",  AND(C371&gt;=36, C371&lt;=45),  "Midlife Adults",  AND(C371&gt;=46, C371&lt;=55), "Mature Adults", C371&gt;=56,  "Older Adults", TRUE, "Age Not Mentioned")</f>
        <v>Mature Adults</v>
      </c>
      <c r="E371" s="2" t="str">
        <f>VLOOKUP(user_activity!A741,users_details!$A$1:$G$34,6,0)</f>
        <v>Harlem, Manhattan</v>
      </c>
      <c r="F371" s="2" t="str">
        <f>VLOOKUP(user_activity!A741,users_details!$A$1:$G$34,7,0)</f>
        <v>Harlem</v>
      </c>
      <c r="G371" s="2" t="s">
        <v>72</v>
      </c>
      <c r="H371" s="7">
        <v>42618</v>
      </c>
      <c r="I371" s="9" t="str">
        <f t="shared" si="25"/>
        <v>Monday</v>
      </c>
      <c r="J371" s="9" t="str">
        <f t="shared" si="26"/>
        <v>September</v>
      </c>
      <c r="K371" s="2">
        <v>9.1099996569999995</v>
      </c>
      <c r="L371" s="2">
        <v>9.1099996569999995</v>
      </c>
      <c r="M371" s="2">
        <v>0</v>
      </c>
      <c r="N371" s="2">
        <v>4.2600002290000001</v>
      </c>
      <c r="O371" s="2">
        <v>1.710000038</v>
      </c>
      <c r="P371" s="2">
        <v>3.119999886</v>
      </c>
      <c r="Q371" s="2">
        <v>0</v>
      </c>
      <c r="R371" s="2">
        <v>67</v>
      </c>
      <c r="S371" s="2">
        <v>50</v>
      </c>
      <c r="T371" s="2">
        <v>171</v>
      </c>
      <c r="U371" s="2">
        <f t="shared" si="27"/>
        <v>288</v>
      </c>
      <c r="V371" s="2">
        <v>743</v>
      </c>
      <c r="W371" s="2">
        <v>13566</v>
      </c>
      <c r="X371" s="2">
        <f t="shared" si="28"/>
        <v>13566</v>
      </c>
      <c r="Y371" s="2">
        <v>2960</v>
      </c>
      <c r="Z371" t="str" cm="1">
        <f t="array" ref="Z371">_xlfn.IFS(OR(R371&gt;66, S371&gt;38), "High Engagement", OR(AND(R371&gt;32, R371&lt;=66), AND(S371&gt;19, S371&lt;=38)), "Medium-High Engagement", OR(AND(R371&gt;4, R371&lt;=32), AND(S371&gt;6, S371&lt;=19)),"Medium Engagement", TRUE, "Low Engagement"
)</f>
        <v>High Engagement</v>
      </c>
      <c r="AA371">
        <f t="shared" si="29"/>
        <v>0.21819254017396433</v>
      </c>
    </row>
    <row r="372" spans="1:27" x14ac:dyDescent="0.35">
      <c r="A372" s="2">
        <v>7086361926</v>
      </c>
      <c r="B372" s="2" t="s">
        <v>96</v>
      </c>
      <c r="C372" s="2">
        <f>VLOOKUP(user_activity!A773,users_details!$A$1:$G$34,5,0)</f>
        <v>53</v>
      </c>
      <c r="D372" s="2" t="str" cm="1">
        <f t="array" ref="D372">_xlfn.IFS( AND(C372&gt;=18, C372&lt;=25), "Emerging Adults",  AND(C372&gt;=26, C372&lt;=35),  "Young Adults",  AND(C372&gt;=36, C372&lt;=45),  "Midlife Adults",  AND(C372&gt;=46, C372&lt;=55), "Mature Adults", C372&gt;=56,  "Older Adults", TRUE, "Age Not Mentioned")</f>
        <v>Mature Adults</v>
      </c>
      <c r="E372" s="2" t="str">
        <f>VLOOKUP(user_activity!A773,users_details!$A$1:$G$34,6,0)</f>
        <v>Williamsburg, Brooklyn</v>
      </c>
      <c r="F372" s="2" t="str">
        <f>VLOOKUP(user_activity!A773,users_details!$A$1:$G$34,7,0)</f>
        <v>Williamsburg</v>
      </c>
      <c r="G372" s="2" t="s">
        <v>72</v>
      </c>
      <c r="H372" s="7">
        <v>42477</v>
      </c>
      <c r="I372" s="9" t="str">
        <f t="shared" si="25"/>
        <v>Sunday</v>
      </c>
      <c r="J372" s="9" t="str">
        <f t="shared" si="26"/>
        <v>April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f t="shared" si="27"/>
        <v>0</v>
      </c>
      <c r="V372" s="2">
        <v>1440</v>
      </c>
      <c r="W372" s="2">
        <v>0</v>
      </c>
      <c r="X372" s="2">
        <f t="shared" si="28"/>
        <v>7405.5</v>
      </c>
      <c r="Y372" s="2">
        <v>1629</v>
      </c>
      <c r="Z372" t="str" cm="1">
        <f t="array" ref="Z372">_xlfn.IFS(OR(R372&gt;66, S372&gt;38), "High Engagement", OR(AND(R372&gt;32, R372&lt;=66), AND(S372&gt;19, S372&lt;=38)), "Medium-High Engagement", OR(AND(R372&gt;4, R372&lt;=32), AND(S372&gt;6, S372&lt;=19)),"Medium Engagement", TRUE, "Low Engagement"
)</f>
        <v>Low Engagement</v>
      </c>
      <c r="AA372">
        <f t="shared" si="29"/>
        <v>0</v>
      </c>
    </row>
    <row r="373" spans="1:27" x14ac:dyDescent="0.35">
      <c r="A373" s="2">
        <v>7086361926</v>
      </c>
      <c r="B373" s="2" t="s">
        <v>96</v>
      </c>
      <c r="C373" s="2">
        <f>VLOOKUP(user_activity!A782,users_details!$A$1:$G$34,5,0)</f>
        <v>53</v>
      </c>
      <c r="D373" s="2" t="str" cm="1">
        <f t="array" ref="D373">_xlfn.IFS( AND(C373&gt;=18, C373&lt;=25), "Emerging Adults",  AND(C373&gt;=26, C373&lt;=35),  "Young Adults",  AND(C373&gt;=36, C373&lt;=45),  "Midlife Adults",  AND(C373&gt;=46, C373&lt;=55), "Mature Adults", C373&gt;=56,  "Older Adults", TRUE, "Age Not Mentioned")</f>
        <v>Mature Adults</v>
      </c>
      <c r="E373" s="2" t="str">
        <f>VLOOKUP(user_activity!A782,users_details!$A$1:$G$34,6,0)</f>
        <v>Williamsburg, Brooklyn</v>
      </c>
      <c r="F373" s="2" t="str">
        <f>VLOOKUP(user_activity!A782,users_details!$A$1:$G$34,7,0)</f>
        <v>Williamsburg</v>
      </c>
      <c r="G373" s="2" t="s">
        <v>72</v>
      </c>
      <c r="H373" s="7">
        <v>42679</v>
      </c>
      <c r="I373" s="9" t="str">
        <f t="shared" si="25"/>
        <v>Saturday</v>
      </c>
      <c r="J373" s="9" t="str">
        <f t="shared" si="26"/>
        <v>November</v>
      </c>
      <c r="K373" s="2">
        <v>6.5199999809999998</v>
      </c>
      <c r="L373" s="2">
        <v>6.5199999809999998</v>
      </c>
      <c r="M373" s="2">
        <v>0</v>
      </c>
      <c r="N373" s="2">
        <v>2.8900001049999999</v>
      </c>
      <c r="O373" s="2">
        <v>1.3899999860000001</v>
      </c>
      <c r="P373" s="2">
        <v>2.2300000190000002</v>
      </c>
      <c r="Q373" s="2">
        <v>0</v>
      </c>
      <c r="R373" s="2">
        <v>57</v>
      </c>
      <c r="S373" s="2">
        <v>40</v>
      </c>
      <c r="T373" s="2">
        <v>128</v>
      </c>
      <c r="U373" s="2">
        <f t="shared" si="27"/>
        <v>225</v>
      </c>
      <c r="V373" s="2">
        <v>757</v>
      </c>
      <c r="W373" s="2">
        <v>9572</v>
      </c>
      <c r="X373" s="2">
        <f t="shared" si="28"/>
        <v>9572</v>
      </c>
      <c r="Y373" s="2">
        <v>2735</v>
      </c>
      <c r="Z373" t="str" cm="1">
        <f t="array" ref="Z373">_xlfn.IFS(OR(R373&gt;66, S373&gt;38), "High Engagement", OR(AND(R373&gt;32, R373&lt;=66), AND(S373&gt;19, S373&lt;=38)), "Medium-High Engagement", OR(AND(R373&gt;4, R373&lt;=32), AND(S373&gt;6, S373&lt;=19)),"Medium Engagement", TRUE, "Low Engagement"
)</f>
        <v>High Engagement</v>
      </c>
      <c r="AA373">
        <f t="shared" si="29"/>
        <v>0.28572921019640618</v>
      </c>
    </row>
    <row r="374" spans="1:27" x14ac:dyDescent="0.35">
      <c r="A374" s="2">
        <v>7086361926</v>
      </c>
      <c r="B374" s="2" t="s">
        <v>96</v>
      </c>
      <c r="C374" s="2">
        <f>VLOOKUP(user_activity!A790,users_details!$A$1:$G$34,5,0)</f>
        <v>53</v>
      </c>
      <c r="D374" s="2" t="str" cm="1">
        <f t="array" ref="D374">_xlfn.IFS( AND(C374&gt;=18, C374&lt;=25), "Emerging Adults",  AND(C374&gt;=26, C374&lt;=35),  "Young Adults",  AND(C374&gt;=36, C374&lt;=45),  "Midlife Adults",  AND(C374&gt;=46, C374&lt;=55), "Mature Adults", C374&gt;=56,  "Older Adults", TRUE, "Age Not Mentioned")</f>
        <v>Mature Adults</v>
      </c>
      <c r="E374" s="2" t="str">
        <f>VLOOKUP(user_activity!A790,users_details!$A$1:$G$34,6,0)</f>
        <v>Harlem, Manhattan</v>
      </c>
      <c r="F374" s="2" t="str">
        <f>VLOOKUP(user_activity!A790,users_details!$A$1:$G$34,7,0)</f>
        <v>Harlem</v>
      </c>
      <c r="G374" s="2" t="s">
        <v>72</v>
      </c>
      <c r="H374" s="7">
        <v>42473</v>
      </c>
      <c r="I374" s="9" t="str">
        <f t="shared" si="25"/>
        <v>Wednesday</v>
      </c>
      <c r="J374" s="9" t="str">
        <f t="shared" si="26"/>
        <v>April</v>
      </c>
      <c r="K374" s="2">
        <v>3.619999886</v>
      </c>
      <c r="L374" s="2">
        <v>3.619999886</v>
      </c>
      <c r="M374" s="2">
        <v>0</v>
      </c>
      <c r="N374" s="2">
        <v>0.560000002</v>
      </c>
      <c r="O374" s="2">
        <v>0.209999993</v>
      </c>
      <c r="P374" s="2">
        <v>2.8399999139999998</v>
      </c>
      <c r="Q374" s="2">
        <v>0</v>
      </c>
      <c r="R374" s="2">
        <v>31</v>
      </c>
      <c r="S374" s="2">
        <v>26</v>
      </c>
      <c r="T374" s="2">
        <v>155</v>
      </c>
      <c r="U374" s="2">
        <f t="shared" si="27"/>
        <v>212</v>
      </c>
      <c r="V374" s="2">
        <v>744</v>
      </c>
      <c r="W374" s="2">
        <v>5813</v>
      </c>
      <c r="X374" s="2">
        <f t="shared" si="28"/>
        <v>5813</v>
      </c>
      <c r="Y374" s="2">
        <v>2516</v>
      </c>
      <c r="Z374" t="str" cm="1">
        <f t="array" ref="Z374">_xlfn.IFS(OR(R374&gt;66, S374&gt;38), "High Engagement", OR(AND(R374&gt;32, R374&lt;=66), AND(S374&gt;19, S374&lt;=38)), "Medium-High Engagement", OR(AND(R374&gt;4, R374&lt;=32), AND(S374&gt;6, S374&lt;=19)),"Medium Engagement", TRUE, "Low Engagement"
)</f>
        <v>Medium-High Engagement</v>
      </c>
      <c r="AA374">
        <f t="shared" si="29"/>
        <v>0.43282298296920696</v>
      </c>
    </row>
    <row r="375" spans="1:27" x14ac:dyDescent="0.35">
      <c r="A375" s="2">
        <v>7086361926</v>
      </c>
      <c r="B375" s="2" t="s">
        <v>96</v>
      </c>
      <c r="C375" s="2">
        <f>VLOOKUP(user_activity!A831,users_details!$A$1:$G$34,5,0)</f>
        <v>56</v>
      </c>
      <c r="D375" s="2" t="str" cm="1">
        <f t="array" ref="D375">_xlfn.IFS( AND(C375&gt;=18, C375&lt;=25), "Emerging Adults",  AND(C375&gt;=26, C375&lt;=35),  "Young Adults",  AND(C375&gt;=36, C375&lt;=45),  "Midlife Adults",  AND(C375&gt;=46, C375&lt;=55), "Mature Adults", C375&gt;=56,  "Older Adults", TRUE, "Age Not Mentioned")</f>
        <v>Older Adults</v>
      </c>
      <c r="E375" s="2" t="str">
        <f>VLOOKUP(user_activity!A831,users_details!$A$1:$G$34,6,0)</f>
        <v>Flatbush, Brooklyn</v>
      </c>
      <c r="F375" s="2" t="str">
        <f>VLOOKUP(user_activity!A831,users_details!$A$1:$G$34,7,0)</f>
        <v>Flatbush</v>
      </c>
      <c r="G375" s="2" t="s">
        <v>72</v>
      </c>
      <c r="H375" s="7">
        <v>42587</v>
      </c>
      <c r="I375" s="9" t="str">
        <f t="shared" si="25"/>
        <v>Friday</v>
      </c>
      <c r="J375" s="9" t="str">
        <f t="shared" si="26"/>
        <v>August</v>
      </c>
      <c r="K375" s="2">
        <v>7.0999999049999998</v>
      </c>
      <c r="L375" s="2">
        <v>7.0999999049999998</v>
      </c>
      <c r="M375" s="2">
        <v>0</v>
      </c>
      <c r="N375" s="2">
        <v>2.3099999430000002</v>
      </c>
      <c r="O375" s="2">
        <v>1.5299999710000001</v>
      </c>
      <c r="P375" s="2">
        <v>3.25</v>
      </c>
      <c r="Q375" s="2">
        <v>0</v>
      </c>
      <c r="R375" s="2">
        <v>32</v>
      </c>
      <c r="S375" s="2">
        <v>27</v>
      </c>
      <c r="T375" s="2">
        <v>147</v>
      </c>
      <c r="U375" s="2">
        <f t="shared" si="27"/>
        <v>206</v>
      </c>
      <c r="V375" s="2">
        <v>695</v>
      </c>
      <c r="W375" s="2">
        <v>10677</v>
      </c>
      <c r="X375" s="2">
        <f t="shared" si="28"/>
        <v>10677</v>
      </c>
      <c r="Y375" s="2">
        <v>2534</v>
      </c>
      <c r="Z375" t="str" cm="1">
        <f t="array" ref="Z375">_xlfn.IFS(OR(R375&gt;66, S375&gt;38), "High Engagement", OR(AND(R375&gt;32, R375&lt;=66), AND(S375&gt;19, S375&lt;=38)), "Medium-High Engagement", OR(AND(R375&gt;4, R375&lt;=32), AND(S375&gt;6, S375&lt;=19)),"Medium Engagement", TRUE, "Low Engagement"
)</f>
        <v>Medium-High Engagement</v>
      </c>
      <c r="AA375">
        <f t="shared" si="29"/>
        <v>0.23733258405919266</v>
      </c>
    </row>
    <row r="376" spans="1:27" x14ac:dyDescent="0.35">
      <c r="A376" s="2">
        <v>7086361926</v>
      </c>
      <c r="B376" s="2" t="s">
        <v>96</v>
      </c>
      <c r="C376" s="2">
        <f>VLOOKUP(user_activity!A836,users_details!$A$1:$G$34,5,0)</f>
        <v>56</v>
      </c>
      <c r="D376" s="2" t="str" cm="1">
        <f t="array" ref="D376">_xlfn.IFS( AND(C376&gt;=18, C376&lt;=25), "Emerging Adults",  AND(C376&gt;=26, C376&lt;=35),  "Young Adults",  AND(C376&gt;=36, C376&lt;=45),  "Midlife Adults",  AND(C376&gt;=46, C376&lt;=55), "Mature Adults", C376&gt;=56,  "Older Adults", TRUE, "Age Not Mentioned")</f>
        <v>Older Adults</v>
      </c>
      <c r="E376" s="2" t="str">
        <f>VLOOKUP(user_activity!A836,users_details!$A$1:$G$34,6,0)</f>
        <v>Flatbush, Brooklyn</v>
      </c>
      <c r="F376" s="2" t="str">
        <f>VLOOKUP(user_activity!A836,users_details!$A$1:$G$34,7,0)</f>
        <v>Flatbush</v>
      </c>
      <c r="G376" s="2" t="s">
        <v>72</v>
      </c>
      <c r="H376" s="7">
        <v>42483</v>
      </c>
      <c r="I376" s="9" t="str">
        <f t="shared" si="25"/>
        <v>Saturday</v>
      </c>
      <c r="J376" s="9" t="str">
        <f t="shared" si="26"/>
        <v>April</v>
      </c>
      <c r="K376" s="2">
        <v>1.809999943</v>
      </c>
      <c r="L376" s="2">
        <v>1.809999943</v>
      </c>
      <c r="M376" s="2">
        <v>0</v>
      </c>
      <c r="N376" s="2">
        <v>0</v>
      </c>
      <c r="O376" s="2">
        <v>0</v>
      </c>
      <c r="P376" s="2">
        <v>1.7999999520000001</v>
      </c>
      <c r="Q376" s="2">
        <v>0</v>
      </c>
      <c r="R376" s="2">
        <v>0</v>
      </c>
      <c r="S376" s="2">
        <v>0</v>
      </c>
      <c r="T376" s="2">
        <v>90</v>
      </c>
      <c r="U376" s="2">
        <f t="shared" si="27"/>
        <v>90</v>
      </c>
      <c r="V376" s="2">
        <v>1350</v>
      </c>
      <c r="W376" s="2">
        <v>2817</v>
      </c>
      <c r="X376" s="2">
        <f t="shared" si="28"/>
        <v>2817</v>
      </c>
      <c r="Y376" s="2">
        <v>1965</v>
      </c>
      <c r="Z376" t="str" cm="1">
        <f t="array" ref="Z376">_xlfn.IFS(OR(R376&gt;66, S376&gt;38), "High Engagement", OR(AND(R376&gt;32, R376&lt;=66), AND(S376&gt;19, S376&lt;=38)), "Medium-High Engagement", OR(AND(R376&gt;4, R376&lt;=32), AND(S376&gt;6, S376&lt;=19)),"Medium Engagement", TRUE, "Low Engagement"
)</f>
        <v>Low Engagement</v>
      </c>
      <c r="AA376">
        <f t="shared" si="29"/>
        <v>0.69755058572949946</v>
      </c>
    </row>
    <row r="377" spans="1:27" x14ac:dyDescent="0.35">
      <c r="A377" s="2">
        <v>7086361926</v>
      </c>
      <c r="B377" s="2" t="s">
        <v>96</v>
      </c>
      <c r="C377" s="2">
        <f>VLOOKUP(user_activity!A906,users_details!$A$1:$G$34,5,0)</f>
        <v>59</v>
      </c>
      <c r="D377" s="2" t="str" cm="1">
        <f t="array" ref="D377">_xlfn.IFS( AND(C377&gt;=18, C377&lt;=25), "Emerging Adults",  AND(C377&gt;=26, C377&lt;=35),  "Young Adults",  AND(C377&gt;=36, C377&lt;=45),  "Midlife Adults",  AND(C377&gt;=46, C377&lt;=55), "Mature Adults", C377&gt;=56,  "Older Adults", TRUE, "Age Not Mentioned")</f>
        <v>Older Adults</v>
      </c>
      <c r="E377" s="2" t="str">
        <f>VLOOKUP(user_activity!A906,users_details!$A$1:$G$34,6,0)</f>
        <v>Upper West Side, Manhattan</v>
      </c>
      <c r="F377" s="2" t="str">
        <f>VLOOKUP(user_activity!A906,users_details!$A$1:$G$34,7,0)</f>
        <v>Upper West Side</v>
      </c>
      <c r="G377" s="2" t="s">
        <v>72</v>
      </c>
      <c r="H377" s="7">
        <v>42482</v>
      </c>
      <c r="I377" s="9" t="str">
        <f t="shared" si="25"/>
        <v>Friday</v>
      </c>
      <c r="J377" s="9" t="str">
        <f t="shared" si="26"/>
        <v>April</v>
      </c>
      <c r="K377" s="2">
        <v>6.5300002099999999</v>
      </c>
      <c r="L377" s="2">
        <v>6.5300002099999999</v>
      </c>
      <c r="M377" s="2">
        <v>0</v>
      </c>
      <c r="N377" s="2">
        <v>2.869999886</v>
      </c>
      <c r="O377" s="2">
        <v>0.97000002900000004</v>
      </c>
      <c r="P377" s="2">
        <v>2.670000076</v>
      </c>
      <c r="Q377" s="2">
        <v>0</v>
      </c>
      <c r="R377" s="2">
        <v>58</v>
      </c>
      <c r="S377" s="2">
        <v>59</v>
      </c>
      <c r="T377" s="2">
        <v>153</v>
      </c>
      <c r="U377" s="2">
        <f t="shared" si="27"/>
        <v>270</v>
      </c>
      <c r="V377" s="2">
        <v>762</v>
      </c>
      <c r="W377" s="2">
        <v>9753</v>
      </c>
      <c r="X377" s="2">
        <f t="shared" si="28"/>
        <v>9753</v>
      </c>
      <c r="Y377" s="2">
        <v>2846</v>
      </c>
      <c r="Z377" t="str" cm="1">
        <f t="array" ref="Z377">_xlfn.IFS(OR(R377&gt;66, S377&gt;38), "High Engagement", OR(AND(R377&gt;32, R377&lt;=66), AND(S377&gt;19, S377&lt;=38)), "Medium-High Engagement", OR(AND(R377&gt;4, R377&lt;=32), AND(S377&gt;6, S377&lt;=19)),"Medium Engagement", TRUE, "Low Engagement"
)</f>
        <v>High Engagement</v>
      </c>
      <c r="AA377">
        <f t="shared" si="29"/>
        <v>0.29180764892853484</v>
      </c>
    </row>
    <row r="378" spans="1:27" x14ac:dyDescent="0.35">
      <c r="A378" s="2">
        <v>2873212765</v>
      </c>
      <c r="B378" s="2" t="s">
        <v>78</v>
      </c>
      <c r="C378" s="2">
        <f>VLOOKUP(user_activity!A9,users_details!$A$1:$G$34,5,0)</f>
        <v>18</v>
      </c>
      <c r="D378" s="2" t="str" cm="1">
        <f t="array" ref="D378">_xlfn.IFS( AND(C378&gt;=18, C378&lt;=25), "Emerging Adults",  AND(C378&gt;=26, C378&lt;=35),  "Young Adults",  AND(C378&gt;=36, C378&lt;=45),  "Midlife Adults",  AND(C378&gt;=46, C378&lt;=55), "Mature Adults", C378&gt;=56,  "Older Adults", TRUE, "Age Not Mentioned")</f>
        <v>Emerging Adults</v>
      </c>
      <c r="E378" s="2" t="str">
        <f>VLOOKUP(user_activity!A9,users_details!$A$1:$G$34,6,0)</f>
        <v>Upper West Side, Manhattan</v>
      </c>
      <c r="F378" s="2" t="str">
        <f>VLOOKUP(user_activity!A9,users_details!$A$1:$G$34,7,0)</f>
        <v>Upper West Side</v>
      </c>
      <c r="G378" s="2" t="s">
        <v>71</v>
      </c>
      <c r="H378" s="7">
        <v>42434</v>
      </c>
      <c r="I378" s="9" t="str">
        <f t="shared" si="25"/>
        <v>Saturday</v>
      </c>
      <c r="J378" s="9" t="str">
        <f t="shared" si="26"/>
        <v>March</v>
      </c>
      <c r="K378" s="2">
        <v>4.9800000190000002</v>
      </c>
      <c r="L378" s="2">
        <v>4.9800000190000002</v>
      </c>
      <c r="M378" s="2">
        <v>0</v>
      </c>
      <c r="N378" s="2">
        <v>5.9999998999999998E-2</v>
      </c>
      <c r="O378" s="2">
        <v>0.25</v>
      </c>
      <c r="P378" s="2">
        <v>4.6599998469999999</v>
      </c>
      <c r="Q378" s="2">
        <v>0.01</v>
      </c>
      <c r="R378" s="2">
        <v>1</v>
      </c>
      <c r="S378" s="2">
        <v>6</v>
      </c>
      <c r="T378" s="2">
        <v>363</v>
      </c>
      <c r="U378" s="2">
        <f t="shared" si="27"/>
        <v>370</v>
      </c>
      <c r="V378" s="2">
        <v>1070</v>
      </c>
      <c r="W378" s="2">
        <v>7412</v>
      </c>
      <c r="X378" s="2">
        <f t="shared" si="28"/>
        <v>7412</v>
      </c>
      <c r="Y378" s="2">
        <v>1906</v>
      </c>
      <c r="Z378" t="str" cm="1">
        <f t="array" ref="Z378">_xlfn.IFS(OR(R378&gt;66, S378&gt;38), "High Engagement", OR(AND(R378&gt;32, R378&lt;=66), AND(S378&gt;19, S378&lt;=38)), "Medium-High Engagement", OR(AND(R378&gt;4, R378&lt;=32), AND(S378&gt;6, S378&lt;=19)),"Medium Engagement", TRUE, "Low Engagement"
)</f>
        <v>Low Engagement</v>
      </c>
      <c r="AA378">
        <f t="shared" si="29"/>
        <v>0.2571505666486778</v>
      </c>
    </row>
    <row r="379" spans="1:27" x14ac:dyDescent="0.35">
      <c r="A379" s="2">
        <v>8378563200</v>
      </c>
      <c r="B379" s="2" t="s">
        <v>90</v>
      </c>
      <c r="C379" s="2">
        <f>VLOOKUP(user_activity!A37,users_details!$A$1:$G$34,5,0)</f>
        <v>18</v>
      </c>
      <c r="D379" s="2" t="str" cm="1">
        <f t="array" ref="D379">_xlfn.IFS( AND(C379&gt;=18, C379&lt;=25), "Emerging Adults",  AND(C379&gt;=26, C379&lt;=35),  "Young Adults",  AND(C379&gt;=36, C379&lt;=45),  "Midlife Adults",  AND(C379&gt;=46, C379&lt;=55), "Mature Adults", C379&gt;=56,  "Older Adults", TRUE, "Age Not Mentioned")</f>
        <v>Emerging Adults</v>
      </c>
      <c r="E379" s="2" t="str">
        <f>VLOOKUP(user_activity!A37,users_details!$A$1:$G$34,6,0)</f>
        <v>Hell's Kitchen, Manhattan</v>
      </c>
      <c r="F379" s="2" t="str">
        <f>VLOOKUP(user_activity!A37,users_details!$A$1:$G$34,7,0)</f>
        <v>Hell's Kitchen</v>
      </c>
      <c r="G379" s="2" t="s">
        <v>72</v>
      </c>
      <c r="H379" s="7">
        <v>42556</v>
      </c>
      <c r="I379" s="9" t="str">
        <f t="shared" si="25"/>
        <v>Tuesday</v>
      </c>
      <c r="J379" s="9" t="str">
        <f t="shared" si="26"/>
        <v>July</v>
      </c>
      <c r="K379" s="2">
        <v>3.539999962</v>
      </c>
      <c r="L379" s="2">
        <v>3.539999962</v>
      </c>
      <c r="M379" s="2">
        <v>0</v>
      </c>
      <c r="N379" s="2">
        <v>0</v>
      </c>
      <c r="O379" s="2">
        <v>0</v>
      </c>
      <c r="P379" s="2">
        <v>3.539999962</v>
      </c>
      <c r="Q379" s="2">
        <v>0</v>
      </c>
      <c r="R379" s="2">
        <v>0</v>
      </c>
      <c r="S379" s="2">
        <v>0</v>
      </c>
      <c r="T379" s="2">
        <v>158</v>
      </c>
      <c r="U379" s="2">
        <f t="shared" si="27"/>
        <v>158</v>
      </c>
      <c r="V379" s="2">
        <v>851</v>
      </c>
      <c r="W379" s="2">
        <v>4468</v>
      </c>
      <c r="X379" s="2">
        <f t="shared" si="28"/>
        <v>4468</v>
      </c>
      <c r="Y379" s="2">
        <v>2799</v>
      </c>
      <c r="Z379" t="str" cm="1">
        <f t="array" ref="Z379">_xlfn.IFS(OR(R379&gt;66, S379&gt;38), "High Engagement", OR(AND(R379&gt;32, R379&lt;=66), AND(S379&gt;19, S379&lt;=38)), "Medium-High Engagement", OR(AND(R379&gt;4, R379&lt;=32), AND(S379&gt;6, S379&lt;=19)),"Medium Engagement", TRUE, "Low Engagement"
)</f>
        <v>Low Engagement</v>
      </c>
      <c r="AA379">
        <f t="shared" si="29"/>
        <v>0.62645478961504031</v>
      </c>
    </row>
    <row r="380" spans="1:27" x14ac:dyDescent="0.35">
      <c r="A380" s="2">
        <v>2873212765</v>
      </c>
      <c r="B380" s="2" t="s">
        <v>78</v>
      </c>
      <c r="C380" s="2">
        <f>VLOOKUP(user_activity!A74,users_details!$A$1:$G$34,5,0)</f>
        <v>21</v>
      </c>
      <c r="D380" s="2" t="str" cm="1">
        <f t="array" ref="D380">_xlfn.IFS( AND(C380&gt;=18, C380&lt;=25), "Emerging Adults",  AND(C380&gt;=26, C380&lt;=35),  "Young Adults",  AND(C380&gt;=36, C380&lt;=45),  "Midlife Adults",  AND(C380&gt;=46, C380&lt;=55), "Mature Adults", C380&gt;=56,  "Older Adults", TRUE, "Age Not Mentioned")</f>
        <v>Emerging Adults</v>
      </c>
      <c r="E380" s="2" t="str">
        <f>VLOOKUP(user_activity!A74,users_details!$A$1:$G$34,6,0)</f>
        <v>Bushwick, Brooklyn</v>
      </c>
      <c r="F380" s="2" t="str">
        <f>VLOOKUP(user_activity!A74,users_details!$A$1:$G$34,7,0)</f>
        <v>Bushwick</v>
      </c>
      <c r="G380" s="2" t="s">
        <v>71</v>
      </c>
      <c r="H380" s="7">
        <v>42556</v>
      </c>
      <c r="I380" s="9" t="str">
        <f t="shared" si="25"/>
        <v>Tuesday</v>
      </c>
      <c r="J380" s="9" t="str">
        <f t="shared" si="26"/>
        <v>July</v>
      </c>
      <c r="K380" s="2">
        <v>3.380000114</v>
      </c>
      <c r="L380" s="2">
        <v>3.380000114</v>
      </c>
      <c r="M380" s="2">
        <v>0</v>
      </c>
      <c r="N380" s="2">
        <v>2.2799999710000001</v>
      </c>
      <c r="O380" s="2">
        <v>0.55000001200000004</v>
      </c>
      <c r="P380" s="2">
        <v>0.55000001200000004</v>
      </c>
      <c r="Q380" s="2">
        <v>0</v>
      </c>
      <c r="R380" s="2">
        <v>75</v>
      </c>
      <c r="S380" s="2">
        <v>11</v>
      </c>
      <c r="T380" s="2">
        <v>52</v>
      </c>
      <c r="U380" s="2">
        <f t="shared" si="27"/>
        <v>138</v>
      </c>
      <c r="V380" s="2">
        <v>1302</v>
      </c>
      <c r="W380" s="2">
        <v>4940</v>
      </c>
      <c r="X380" s="2">
        <f t="shared" si="28"/>
        <v>4940</v>
      </c>
      <c r="Y380" s="2">
        <v>1897</v>
      </c>
      <c r="Z380" t="str" cm="1">
        <f t="array" ref="Z380">_xlfn.IFS(OR(R380&gt;66, S380&gt;38), "High Engagement", OR(AND(R380&gt;32, R380&lt;=66), AND(S380&gt;19, S380&lt;=38)), "Medium-High Engagement", OR(AND(R380&gt;4, R380&lt;=32), AND(S380&gt;6, S380&lt;=19)),"Medium Engagement", TRUE, "Low Engagement"
)</f>
        <v>High Engagement</v>
      </c>
      <c r="AA380">
        <f t="shared" si="29"/>
        <v>0.38400809716599188</v>
      </c>
    </row>
    <row r="381" spans="1:27" x14ac:dyDescent="0.35">
      <c r="A381" s="2">
        <v>2873212765</v>
      </c>
      <c r="B381" s="2" t="s">
        <v>78</v>
      </c>
      <c r="C381" s="2">
        <f>VLOOKUP(user_activity!A99,users_details!$A$1:$G$34,5,0)</f>
        <v>22</v>
      </c>
      <c r="D381" s="2" t="str" cm="1">
        <f t="array" ref="D381">_xlfn.IFS( AND(C381&gt;=18, C381&lt;=25), "Emerging Adults",  AND(C381&gt;=26, C381&lt;=35),  "Young Adults",  AND(C381&gt;=36, C381&lt;=45),  "Midlife Adults",  AND(C381&gt;=46, C381&lt;=55), "Mature Adults", C381&gt;=56,  "Older Adults", TRUE, "Age Not Mentioned")</f>
        <v>Emerging Adults</v>
      </c>
      <c r="E381" s="2" t="str">
        <f>VLOOKUP(user_activity!A99,users_details!$A$1:$G$34,6,0)</f>
        <v>Washington Heights, Manhattan</v>
      </c>
      <c r="F381" s="2" t="str">
        <f>VLOOKUP(user_activity!A99,users_details!$A$1:$G$34,7,0)</f>
        <v>Washington Heights</v>
      </c>
      <c r="G381" s="2" t="s">
        <v>71</v>
      </c>
      <c r="H381" s="7">
        <v>42488</v>
      </c>
      <c r="I381" s="9" t="str">
        <f t="shared" si="25"/>
        <v>Thursday</v>
      </c>
      <c r="J381" s="9" t="str">
        <f t="shared" si="26"/>
        <v>April</v>
      </c>
      <c r="K381" s="2">
        <v>5.4099998469999999</v>
      </c>
      <c r="L381" s="2">
        <v>5.4099998469999999</v>
      </c>
      <c r="M381" s="2">
        <v>0</v>
      </c>
      <c r="N381" s="2">
        <v>2.1600000860000002</v>
      </c>
      <c r="O381" s="2">
        <v>0.34000000400000002</v>
      </c>
      <c r="P381" s="2">
        <v>2.9100000860000002</v>
      </c>
      <c r="Q381" s="2">
        <v>0</v>
      </c>
      <c r="R381" s="2">
        <v>28</v>
      </c>
      <c r="S381" s="2">
        <v>7</v>
      </c>
      <c r="T381" s="2">
        <v>213</v>
      </c>
      <c r="U381" s="2">
        <f t="shared" si="27"/>
        <v>248</v>
      </c>
      <c r="V381" s="2">
        <v>1192</v>
      </c>
      <c r="W381" s="2">
        <v>7913</v>
      </c>
      <c r="X381" s="2">
        <f t="shared" si="28"/>
        <v>7913</v>
      </c>
      <c r="Y381" s="2">
        <v>1835</v>
      </c>
      <c r="Z381" t="str" cm="1">
        <f t="array" ref="Z381">_xlfn.IFS(OR(R381&gt;66, S381&gt;38), "High Engagement", OR(AND(R381&gt;32, R381&lt;=66), AND(S381&gt;19, S381&lt;=38)), "Medium-High Engagement", OR(AND(R381&gt;4, R381&lt;=32), AND(S381&gt;6, S381&lt;=19)),"Medium Engagement", TRUE, "Low Engagement"
)</f>
        <v>Medium Engagement</v>
      </c>
      <c r="AA381">
        <f t="shared" si="29"/>
        <v>0.23189687855427776</v>
      </c>
    </row>
    <row r="382" spans="1:27" x14ac:dyDescent="0.35">
      <c r="A382" s="2">
        <v>2873212765</v>
      </c>
      <c r="B382" s="2" t="s">
        <v>78</v>
      </c>
      <c r="C382" s="2">
        <f>VLOOKUP(user_activity!A103,users_details!$A$1:$G$34,5,0)</f>
        <v>22</v>
      </c>
      <c r="D382" s="2" t="str" cm="1">
        <f t="array" ref="D382">_xlfn.IFS( AND(C382&gt;=18, C382&lt;=25), "Emerging Adults",  AND(C382&gt;=26, C382&lt;=35),  "Young Adults",  AND(C382&gt;=36, C382&lt;=45),  "Midlife Adults",  AND(C382&gt;=46, C382&lt;=55), "Mature Adults", C382&gt;=56,  "Older Adults", TRUE, "Age Not Mentioned")</f>
        <v>Emerging Adults</v>
      </c>
      <c r="E382" s="2" t="str">
        <f>VLOOKUP(user_activity!A103,users_details!$A$1:$G$34,6,0)</f>
        <v>Washington Heights, Manhattan</v>
      </c>
      <c r="F382" s="2" t="str">
        <f>VLOOKUP(user_activity!A103,users_details!$A$1:$G$34,7,0)</f>
        <v>Washington Heights</v>
      </c>
      <c r="G382" s="2" t="s">
        <v>71</v>
      </c>
      <c r="H382" s="7">
        <v>42473</v>
      </c>
      <c r="I382" s="9" t="str">
        <f t="shared" si="25"/>
        <v>Wednesday</v>
      </c>
      <c r="J382" s="9" t="str">
        <f t="shared" si="26"/>
        <v>April</v>
      </c>
      <c r="K382" s="2">
        <v>5.1199998860000004</v>
      </c>
      <c r="L382" s="2">
        <v>5.1199998860000004</v>
      </c>
      <c r="M382" s="2">
        <v>0</v>
      </c>
      <c r="N382" s="2">
        <v>0</v>
      </c>
      <c r="O382" s="2">
        <v>0.219999999</v>
      </c>
      <c r="P382" s="2">
        <v>4.8800001139999996</v>
      </c>
      <c r="Q382" s="2">
        <v>0.02</v>
      </c>
      <c r="R382" s="2">
        <v>0</v>
      </c>
      <c r="S382" s="2">
        <v>8</v>
      </c>
      <c r="T382" s="2">
        <v>404</v>
      </c>
      <c r="U382" s="2">
        <f t="shared" si="27"/>
        <v>412</v>
      </c>
      <c r="V382" s="2">
        <v>1028</v>
      </c>
      <c r="W382" s="2">
        <v>7618</v>
      </c>
      <c r="X382" s="2">
        <f t="shared" si="28"/>
        <v>7618</v>
      </c>
      <c r="Y382" s="2">
        <v>2004</v>
      </c>
      <c r="Z382" t="str" cm="1">
        <f t="array" ref="Z382">_xlfn.IFS(OR(R382&gt;66, S382&gt;38), "High Engagement", OR(AND(R382&gt;32, R382&lt;=66), AND(S382&gt;19, S382&lt;=38)), "Medium-High Engagement", OR(AND(R382&gt;4, R382&lt;=32), AND(S382&gt;6, S382&lt;=19)),"Medium Engagement", TRUE, "Low Engagement"
)</f>
        <v>Medium Engagement</v>
      </c>
      <c r="AA382">
        <f t="shared" si="29"/>
        <v>0.26306117091100029</v>
      </c>
    </row>
    <row r="383" spans="1:27" x14ac:dyDescent="0.35">
      <c r="A383" s="2">
        <v>8378563200</v>
      </c>
      <c r="B383" s="2" t="s">
        <v>90</v>
      </c>
      <c r="C383" s="2">
        <f>VLOOKUP(user_activity!A122,users_details!$A$1:$G$34,5,0)</f>
        <v>22</v>
      </c>
      <c r="D383" s="2" t="str" cm="1">
        <f t="array" ref="D383">_xlfn.IFS( AND(C383&gt;=18, C383&lt;=25), "Emerging Adults",  AND(C383&gt;=26, C383&lt;=35),  "Young Adults",  AND(C383&gt;=36, C383&lt;=45),  "Midlife Adults",  AND(C383&gt;=46, C383&lt;=55), "Mature Adults", C383&gt;=56,  "Older Adults", TRUE, "Age Not Mentioned")</f>
        <v>Emerging Adults</v>
      </c>
      <c r="E383" s="2" t="str">
        <f>VLOOKUP(user_activity!A122,users_details!$A$1:$G$34,6,0)</f>
        <v>Upper East Side, Manhattan</v>
      </c>
      <c r="F383" s="2" t="str">
        <f>VLOOKUP(user_activity!A122,users_details!$A$1:$G$34,7,0)</f>
        <v>Upper East Side</v>
      </c>
      <c r="G383" s="2" t="s">
        <v>72</v>
      </c>
      <c r="H383" s="7">
        <v>42489</v>
      </c>
      <c r="I383" s="9" t="str">
        <f t="shared" si="25"/>
        <v>Friday</v>
      </c>
      <c r="J383" s="9" t="str">
        <f t="shared" si="26"/>
        <v>April</v>
      </c>
      <c r="K383" s="2">
        <v>4.9000000950000002</v>
      </c>
      <c r="L383" s="2">
        <v>4.9000000950000002</v>
      </c>
      <c r="M383" s="2">
        <v>0</v>
      </c>
      <c r="N383" s="2">
        <v>0.25</v>
      </c>
      <c r="O383" s="2">
        <v>0.36000001399999998</v>
      </c>
      <c r="P383" s="2">
        <v>4.2699999809999998</v>
      </c>
      <c r="Q383" s="2">
        <v>0</v>
      </c>
      <c r="R383" s="2">
        <v>3</v>
      </c>
      <c r="S383" s="2">
        <v>7</v>
      </c>
      <c r="T383" s="2">
        <v>172</v>
      </c>
      <c r="U383" s="2">
        <f t="shared" si="27"/>
        <v>182</v>
      </c>
      <c r="V383" s="2">
        <v>767</v>
      </c>
      <c r="W383" s="2">
        <v>6175</v>
      </c>
      <c r="X383" s="2">
        <f t="shared" si="28"/>
        <v>6175</v>
      </c>
      <c r="Y383" s="2">
        <v>2982</v>
      </c>
      <c r="Z383" t="str" cm="1">
        <f t="array" ref="Z383">_xlfn.IFS(OR(R383&gt;66, S383&gt;38), "High Engagement", OR(AND(R383&gt;32, R383&lt;=66), AND(S383&gt;19, S383&lt;=38)), "Medium-High Engagement", OR(AND(R383&gt;4, R383&lt;=32), AND(S383&gt;6, S383&lt;=19)),"Medium Engagement", TRUE, "Low Engagement"
)</f>
        <v>Medium Engagement</v>
      </c>
      <c r="AA383">
        <f t="shared" si="29"/>
        <v>0.48291497975708503</v>
      </c>
    </row>
    <row r="384" spans="1:27" x14ac:dyDescent="0.35">
      <c r="A384" s="2">
        <v>2873212765</v>
      </c>
      <c r="B384" s="2" t="s">
        <v>78</v>
      </c>
      <c r="C384" s="2">
        <f>VLOOKUP(user_activity!A131,users_details!$A$1:$G$34,5,0)</f>
        <v>22</v>
      </c>
      <c r="D384" s="2" t="str" cm="1">
        <f t="array" ref="D384">_xlfn.IFS( AND(C384&gt;=18, C384&lt;=25), "Emerging Adults",  AND(C384&gt;=26, C384&lt;=35),  "Young Adults",  AND(C384&gt;=36, C384&lt;=45),  "Midlife Adults",  AND(C384&gt;=46, C384&lt;=55), "Mature Adults", C384&gt;=56,  "Older Adults", TRUE, "Age Not Mentioned")</f>
        <v>Emerging Adults</v>
      </c>
      <c r="E384" s="2" t="str">
        <f>VLOOKUP(user_activity!A131,users_details!$A$1:$G$34,6,0)</f>
        <v>Washington Heights, Manhattan</v>
      </c>
      <c r="F384" s="2" t="str">
        <f>VLOOKUP(user_activity!A131,users_details!$A$1:$G$34,7,0)</f>
        <v>Washington Heights</v>
      </c>
      <c r="G384" s="2" t="s">
        <v>71</v>
      </c>
      <c r="H384" s="7">
        <v>42618</v>
      </c>
      <c r="I384" s="9" t="str">
        <f t="shared" si="25"/>
        <v>Monday</v>
      </c>
      <c r="J384" s="9" t="str">
        <f t="shared" si="26"/>
        <v>September</v>
      </c>
      <c r="K384" s="2">
        <v>5.1900000569999998</v>
      </c>
      <c r="L384" s="2">
        <v>5.1900000569999998</v>
      </c>
      <c r="M384" s="2">
        <v>0</v>
      </c>
      <c r="N384" s="2">
        <v>0</v>
      </c>
      <c r="O384" s="2">
        <v>0</v>
      </c>
      <c r="P384" s="2">
        <v>5.1900000569999998</v>
      </c>
      <c r="Q384" s="2">
        <v>0</v>
      </c>
      <c r="R384" s="2">
        <v>0</v>
      </c>
      <c r="S384" s="2">
        <v>0</v>
      </c>
      <c r="T384" s="2">
        <v>345</v>
      </c>
      <c r="U384" s="2">
        <f t="shared" si="27"/>
        <v>345</v>
      </c>
      <c r="V384" s="2">
        <v>1095</v>
      </c>
      <c r="W384" s="2">
        <v>7726</v>
      </c>
      <c r="X384" s="2">
        <f t="shared" si="28"/>
        <v>7726</v>
      </c>
      <c r="Y384" s="2">
        <v>1906</v>
      </c>
      <c r="Z384" t="str" cm="1">
        <f t="array" ref="Z384">_xlfn.IFS(OR(R384&gt;66, S384&gt;38), "High Engagement", OR(AND(R384&gt;32, R384&lt;=66), AND(S384&gt;19, S384&lt;=38)), "Medium-High Engagement", OR(AND(R384&gt;4, R384&lt;=32), AND(S384&gt;6, S384&lt;=19)),"Medium Engagement", TRUE, "Low Engagement"
)</f>
        <v>Low Engagement</v>
      </c>
      <c r="AA384">
        <f t="shared" si="29"/>
        <v>0.24669945638105101</v>
      </c>
    </row>
    <row r="385" spans="1:27" x14ac:dyDescent="0.35">
      <c r="A385" s="2">
        <v>2873212765</v>
      </c>
      <c r="B385" s="2" t="s">
        <v>78</v>
      </c>
      <c r="C385" s="2">
        <f>VLOOKUP(user_activity!A134,users_details!$A$1:$G$34,5,0)</f>
        <v>22</v>
      </c>
      <c r="D385" s="2" t="str" cm="1">
        <f t="array" ref="D385">_xlfn.IFS( AND(C385&gt;=18, C385&lt;=25), "Emerging Adults",  AND(C385&gt;=26, C385&lt;=35),  "Young Adults",  AND(C385&gt;=36, C385&lt;=45),  "Midlife Adults",  AND(C385&gt;=46, C385&lt;=55), "Mature Adults", C385&gt;=56,  "Older Adults", TRUE, "Age Not Mentioned")</f>
        <v>Emerging Adults</v>
      </c>
      <c r="E385" s="2" t="str">
        <f>VLOOKUP(user_activity!A134,users_details!$A$1:$G$34,6,0)</f>
        <v>Washington Heights, Manhattan</v>
      </c>
      <c r="F385" s="2" t="str">
        <f>VLOOKUP(user_activity!A134,users_details!$A$1:$G$34,7,0)</f>
        <v>Washington Heights</v>
      </c>
      <c r="G385" s="2" t="s">
        <v>71</v>
      </c>
      <c r="H385" s="7">
        <v>42482</v>
      </c>
      <c r="I385" s="9" t="str">
        <f t="shared" si="25"/>
        <v>Friday</v>
      </c>
      <c r="J385" s="9" t="str">
        <f t="shared" si="26"/>
        <v>April</v>
      </c>
      <c r="K385" s="2">
        <v>4.9000000950000002</v>
      </c>
      <c r="L385" s="2">
        <v>4.9000000950000002</v>
      </c>
      <c r="M385" s="2">
        <v>0</v>
      </c>
      <c r="N385" s="2">
        <v>0.46000000800000002</v>
      </c>
      <c r="O385" s="2">
        <v>0</v>
      </c>
      <c r="P385" s="2">
        <v>4.420000076</v>
      </c>
      <c r="Q385" s="2">
        <v>0.02</v>
      </c>
      <c r="R385" s="2">
        <v>46</v>
      </c>
      <c r="S385" s="2">
        <v>0</v>
      </c>
      <c r="T385" s="2">
        <v>366</v>
      </c>
      <c r="U385" s="2">
        <f t="shared" si="27"/>
        <v>412</v>
      </c>
      <c r="V385" s="2">
        <v>1028</v>
      </c>
      <c r="W385" s="2">
        <v>7286</v>
      </c>
      <c r="X385" s="2">
        <f t="shared" si="28"/>
        <v>7286</v>
      </c>
      <c r="Y385" s="2">
        <v>2241</v>
      </c>
      <c r="Z385" t="str" cm="1">
        <f t="array" ref="Z385">_xlfn.IFS(OR(R385&gt;66, S385&gt;38), "High Engagement", OR(AND(R385&gt;32, R385&lt;=66), AND(S385&gt;19, S385&lt;=38)), "Medium-High Engagement", OR(AND(R385&gt;4, R385&lt;=32), AND(S385&gt;6, S385&lt;=19)),"Medium Engagement", TRUE, "Low Engagement"
)</f>
        <v>Medium-High Engagement</v>
      </c>
      <c r="AA385">
        <f t="shared" si="29"/>
        <v>0.30757617348339283</v>
      </c>
    </row>
    <row r="386" spans="1:27" x14ac:dyDescent="0.35">
      <c r="A386" s="2">
        <v>2873212765</v>
      </c>
      <c r="B386" s="2" t="s">
        <v>78</v>
      </c>
      <c r="C386" s="2">
        <f>VLOOKUP(user_activity!A147,users_details!$A$1:$G$34,5,0)</f>
        <v>23</v>
      </c>
      <c r="D386" s="2" t="str" cm="1">
        <f t="array" ref="D386">_xlfn.IFS( AND(C386&gt;=18, C386&lt;=25), "Emerging Adults",  AND(C386&gt;=26, C386&lt;=35),  "Young Adults",  AND(C386&gt;=36, C386&lt;=45),  "Midlife Adults",  AND(C386&gt;=46, C386&lt;=55), "Mature Adults", C386&gt;=56,  "Older Adults", TRUE, "Age Not Mentioned")</f>
        <v>Emerging Adults</v>
      </c>
      <c r="E386" s="2" t="str">
        <f>VLOOKUP(user_activity!A147,users_details!$A$1:$G$34,6,0)</f>
        <v>Crown Heights, Brooklyn</v>
      </c>
      <c r="F386" s="2" t="str">
        <f>VLOOKUP(user_activity!A147,users_details!$A$1:$G$34,7,0)</f>
        <v>Crown Heights</v>
      </c>
      <c r="G386" s="2" t="s">
        <v>71</v>
      </c>
      <c r="H386" s="7">
        <v>42679</v>
      </c>
      <c r="I386" s="9" t="str">
        <f t="shared" ref="I386:I449" si="30">TEXT(H386, "dddd")</f>
        <v>Saturday</v>
      </c>
      <c r="J386" s="9" t="str">
        <f t="shared" ref="J386:J449" si="31">TEXT(H386, "mmmm")</f>
        <v>November</v>
      </c>
      <c r="K386" s="2">
        <v>4.329999924</v>
      </c>
      <c r="L386" s="2">
        <v>4.329999924</v>
      </c>
      <c r="M386" s="2">
        <v>0</v>
      </c>
      <c r="N386" s="2">
        <v>0</v>
      </c>
      <c r="O386" s="2">
        <v>0</v>
      </c>
      <c r="P386" s="2">
        <v>4.3200001720000003</v>
      </c>
      <c r="Q386" s="2">
        <v>0.01</v>
      </c>
      <c r="R386" s="2">
        <v>0</v>
      </c>
      <c r="S386" s="2">
        <v>0</v>
      </c>
      <c r="T386" s="2">
        <v>319</v>
      </c>
      <c r="U386" s="2">
        <f t="shared" ref="U386:U449" si="32">R386+S386+T386</f>
        <v>319</v>
      </c>
      <c r="V386" s="2">
        <v>1121</v>
      </c>
      <c r="W386" s="2">
        <v>6440</v>
      </c>
      <c r="X386" s="2">
        <f t="shared" ref="X386:X449" si="33">IF(W386=0,MEDIAN($W$2:$W$941),W386)</f>
        <v>6440</v>
      </c>
      <c r="Y386" s="2">
        <v>1826</v>
      </c>
      <c r="Z386" t="str" cm="1">
        <f t="array" ref="Z386">_xlfn.IFS(OR(R386&gt;66, S386&gt;38), "High Engagement", OR(AND(R386&gt;32, R386&lt;=66), AND(S386&gt;19, S386&lt;=38)), "Medium-High Engagement", OR(AND(R386&gt;4, R386&lt;=32), AND(S386&gt;6, S386&lt;=19)),"Medium Engagement", TRUE, "Low Engagement"
)</f>
        <v>Low Engagement</v>
      </c>
      <c r="AA386">
        <f t="shared" si="29"/>
        <v>0.28354037267080745</v>
      </c>
    </row>
    <row r="387" spans="1:27" x14ac:dyDescent="0.35">
      <c r="A387" s="2">
        <v>8378563200</v>
      </c>
      <c r="B387" s="2" t="s">
        <v>90</v>
      </c>
      <c r="C387" s="2">
        <f>VLOOKUP(user_activity!A164,users_details!$A$1:$G$34,5,0)</f>
        <v>23</v>
      </c>
      <c r="D387" s="2" t="str" cm="1">
        <f t="array" ref="D387">_xlfn.IFS( AND(C387&gt;=18, C387&lt;=25), "Emerging Adults",  AND(C387&gt;=26, C387&lt;=35),  "Young Adults",  AND(C387&gt;=36, C387&lt;=45),  "Midlife Adults",  AND(C387&gt;=46, C387&lt;=55), "Mature Adults", C387&gt;=56,  "Older Adults", TRUE, "Age Not Mentioned")</f>
        <v>Emerging Adults</v>
      </c>
      <c r="E387" s="2" t="str">
        <f>VLOOKUP(user_activity!A164,users_details!$A$1:$G$34,6,0)</f>
        <v>Washington Heights, Manhattan</v>
      </c>
      <c r="F387" s="2" t="str">
        <f>VLOOKUP(user_activity!A164,users_details!$A$1:$G$34,7,0)</f>
        <v>Washington Heights</v>
      </c>
      <c r="G387" s="2" t="s">
        <v>72</v>
      </c>
      <c r="H387" s="7">
        <v>42482</v>
      </c>
      <c r="I387" s="9" t="str">
        <f t="shared" si="30"/>
        <v>Friday</v>
      </c>
      <c r="J387" s="9" t="str">
        <f t="shared" si="31"/>
        <v>April</v>
      </c>
      <c r="K387" s="2">
        <v>9.6700000760000009</v>
      </c>
      <c r="L387" s="2">
        <v>9.6700000760000009</v>
      </c>
      <c r="M387" s="2">
        <v>2.0921471120000001</v>
      </c>
      <c r="N387" s="2">
        <v>4.9099998469999999</v>
      </c>
      <c r="O387" s="2">
        <v>0.58999997400000004</v>
      </c>
      <c r="P387" s="2">
        <v>4.1799998279999997</v>
      </c>
      <c r="Q387" s="2">
        <v>0</v>
      </c>
      <c r="R387" s="2">
        <v>113</v>
      </c>
      <c r="S387" s="2">
        <v>12</v>
      </c>
      <c r="T387" s="2">
        <v>159</v>
      </c>
      <c r="U387" s="2">
        <f t="shared" si="32"/>
        <v>284</v>
      </c>
      <c r="V387" s="2">
        <v>769</v>
      </c>
      <c r="W387" s="2">
        <v>12200</v>
      </c>
      <c r="X387" s="2">
        <f t="shared" si="33"/>
        <v>12200</v>
      </c>
      <c r="Y387" s="2">
        <v>4044</v>
      </c>
      <c r="Z387" t="str" cm="1">
        <f t="array" ref="Z387">_xlfn.IFS(OR(R387&gt;66, S387&gt;38), "High Engagement", OR(AND(R387&gt;32, R387&lt;=66), AND(S387&gt;19, S387&lt;=38)), "Medium-High Engagement", OR(AND(R387&gt;4, R387&lt;=32), AND(S387&gt;6, S387&lt;=19)),"Medium Engagement", TRUE, "Low Engagement"
)</f>
        <v>High Engagement</v>
      </c>
      <c r="AA387">
        <f t="shared" ref="AA387:AA450" si="34">IF(W387&gt;0, Y387/W387, 0)</f>
        <v>0.33147540983606555</v>
      </c>
    </row>
    <row r="388" spans="1:27" x14ac:dyDescent="0.35">
      <c r="A388" s="2">
        <v>8378563200</v>
      </c>
      <c r="B388" s="2" t="s">
        <v>90</v>
      </c>
      <c r="C388" s="2">
        <f>VLOOKUP(user_activity!A173,users_details!$A$1:$G$34,5,0)</f>
        <v>23</v>
      </c>
      <c r="D388" s="2" t="str" cm="1">
        <f t="array" ref="D388">_xlfn.IFS( AND(C388&gt;=18, C388&lt;=25), "Emerging Adults",  AND(C388&gt;=26, C388&lt;=35),  "Young Adults",  AND(C388&gt;=36, C388&lt;=45),  "Midlife Adults",  AND(C388&gt;=46, C388&lt;=55), "Mature Adults", C388&gt;=56,  "Older Adults", TRUE, "Age Not Mentioned")</f>
        <v>Emerging Adults</v>
      </c>
      <c r="E388" s="2" t="str">
        <f>VLOOKUP(user_activity!A173,users_details!$A$1:$G$34,6,0)</f>
        <v>Crown Heights, Brooklyn</v>
      </c>
      <c r="F388" s="2" t="str">
        <f>VLOOKUP(user_activity!A173,users_details!$A$1:$G$34,7,0)</f>
        <v>Crown Heights</v>
      </c>
      <c r="G388" s="2" t="s">
        <v>72</v>
      </c>
      <c r="H388" s="7">
        <v>42679</v>
      </c>
      <c r="I388" s="9" t="str">
        <f t="shared" si="30"/>
        <v>Saturday</v>
      </c>
      <c r="J388" s="9" t="str">
        <f t="shared" si="31"/>
        <v>November</v>
      </c>
      <c r="K388" s="2">
        <v>7.25</v>
      </c>
      <c r="L388" s="2">
        <v>7.25</v>
      </c>
      <c r="M388" s="2">
        <v>2.0921471120000001</v>
      </c>
      <c r="N388" s="2">
        <v>1.3899999860000001</v>
      </c>
      <c r="O388" s="2">
        <v>0.58999997400000004</v>
      </c>
      <c r="P388" s="2">
        <v>5.2699999809999998</v>
      </c>
      <c r="Q388" s="2">
        <v>0</v>
      </c>
      <c r="R388" s="2">
        <v>72</v>
      </c>
      <c r="S388" s="2">
        <v>10</v>
      </c>
      <c r="T388" s="2">
        <v>184</v>
      </c>
      <c r="U388" s="2">
        <f t="shared" si="32"/>
        <v>266</v>
      </c>
      <c r="V388" s="2">
        <v>763</v>
      </c>
      <c r="W388" s="2">
        <v>9143</v>
      </c>
      <c r="X388" s="2">
        <f t="shared" si="33"/>
        <v>9143</v>
      </c>
      <c r="Y388" s="2">
        <v>3788</v>
      </c>
      <c r="Z388" t="str" cm="1">
        <f t="array" ref="Z388">_xlfn.IFS(OR(R388&gt;66, S388&gt;38), "High Engagement", OR(AND(R388&gt;32, R388&lt;=66), AND(S388&gt;19, S388&lt;=38)), "Medium-High Engagement", OR(AND(R388&gt;4, R388&lt;=32), AND(S388&gt;6, S388&lt;=19)),"Medium Engagement", TRUE, "Low Engagement"
)</f>
        <v>High Engagement</v>
      </c>
      <c r="AA388">
        <f t="shared" si="34"/>
        <v>0.41430602646833642</v>
      </c>
    </row>
    <row r="389" spans="1:27" x14ac:dyDescent="0.35">
      <c r="A389" s="2">
        <v>2873212765</v>
      </c>
      <c r="B389" s="2" t="s">
        <v>78</v>
      </c>
      <c r="C389" s="2">
        <f>VLOOKUP(user_activity!A183,users_details!$A$1:$G$34,5,0)</f>
        <v>23</v>
      </c>
      <c r="D389" s="2" t="str" cm="1">
        <f t="array" ref="D389">_xlfn.IFS( AND(C389&gt;=18, C389&lt;=25), "Emerging Adults",  AND(C389&gt;=26, C389&lt;=35),  "Young Adults",  AND(C389&gt;=36, C389&lt;=45),  "Midlife Adults",  AND(C389&gt;=46, C389&lt;=55), "Mature Adults", C389&gt;=56,  "Older Adults", TRUE, "Age Not Mentioned")</f>
        <v>Emerging Adults</v>
      </c>
      <c r="E389" s="2" t="str">
        <f>VLOOKUP(user_activity!A183,users_details!$A$1:$G$34,6,0)</f>
        <v>Crown Heights, Brooklyn</v>
      </c>
      <c r="F389" s="2" t="str">
        <f>VLOOKUP(user_activity!A183,users_details!$A$1:$G$34,7,0)</f>
        <v>Crown Heights</v>
      </c>
      <c r="G389" s="2" t="s">
        <v>71</v>
      </c>
      <c r="H389" s="7">
        <v>42487</v>
      </c>
      <c r="I389" s="9" t="str">
        <f t="shared" si="30"/>
        <v>Wednesday</v>
      </c>
      <c r="J389" s="9" t="str">
        <f t="shared" si="31"/>
        <v>April</v>
      </c>
      <c r="K389" s="2">
        <v>2.3599998950000001</v>
      </c>
      <c r="L389" s="2">
        <v>2.3599998950000001</v>
      </c>
      <c r="M389" s="2">
        <v>0</v>
      </c>
      <c r="N389" s="2">
        <v>0</v>
      </c>
      <c r="O389" s="2">
        <v>0</v>
      </c>
      <c r="P389" s="2">
        <v>2.3599998950000001</v>
      </c>
      <c r="Q389" s="2">
        <v>0</v>
      </c>
      <c r="R389" s="2">
        <v>46</v>
      </c>
      <c r="S389" s="2">
        <v>0</v>
      </c>
      <c r="T389" s="2">
        <v>197</v>
      </c>
      <c r="U389" s="2">
        <f t="shared" si="32"/>
        <v>243</v>
      </c>
      <c r="V389" s="2">
        <v>1197</v>
      </c>
      <c r="W389" s="2">
        <v>3516</v>
      </c>
      <c r="X389" s="2">
        <f t="shared" si="33"/>
        <v>3516</v>
      </c>
      <c r="Y389" s="2">
        <v>1966</v>
      </c>
      <c r="Z389" t="str" cm="1">
        <f t="array" ref="Z389">_xlfn.IFS(OR(R389&gt;66, S389&gt;38), "High Engagement", OR(AND(R389&gt;32, R389&lt;=66), AND(S389&gt;19, S389&lt;=38)), "Medium-High Engagement", OR(AND(R389&gt;4, R389&lt;=32), AND(S389&gt;6, S389&lt;=19)),"Medium Engagement", TRUE, "Low Engagement"
)</f>
        <v>Medium-High Engagement</v>
      </c>
      <c r="AA389">
        <f t="shared" si="34"/>
        <v>0.5591581342434585</v>
      </c>
    </row>
    <row r="390" spans="1:27" x14ac:dyDescent="0.35">
      <c r="A390" s="2">
        <v>2873212765</v>
      </c>
      <c r="B390" s="2" t="s">
        <v>78</v>
      </c>
      <c r="C390" s="2">
        <f>VLOOKUP(user_activity!A185,users_details!$A$1:$G$34,5,0)</f>
        <v>23</v>
      </c>
      <c r="D390" s="2" t="str" cm="1">
        <f t="array" ref="D390">_xlfn.IFS( AND(C390&gt;=18, C390&lt;=25), "Emerging Adults",  AND(C390&gt;=26, C390&lt;=35),  "Young Adults",  AND(C390&gt;=36, C390&lt;=45),  "Midlife Adults",  AND(C390&gt;=46, C390&lt;=55), "Mature Adults", C390&gt;=56,  "Older Adults", TRUE, "Age Not Mentioned")</f>
        <v>Emerging Adults</v>
      </c>
      <c r="E390" s="2" t="str">
        <f>VLOOKUP(user_activity!A185,users_details!$A$1:$G$34,6,0)</f>
        <v>Crown Heights, Brooklyn</v>
      </c>
      <c r="F390" s="2" t="str">
        <f>VLOOKUP(user_activity!A185,users_details!$A$1:$G$34,7,0)</f>
        <v>Crown Heights</v>
      </c>
      <c r="G390" s="2" t="s">
        <v>71</v>
      </c>
      <c r="H390" s="7">
        <v>42708</v>
      </c>
      <c r="I390" s="9" t="str">
        <f t="shared" si="30"/>
        <v>Sunday</v>
      </c>
      <c r="J390" s="9" t="str">
        <f t="shared" si="31"/>
        <v>December</v>
      </c>
      <c r="K390" s="2">
        <v>5.9099998469999999</v>
      </c>
      <c r="L390" s="2">
        <v>5.9099998469999999</v>
      </c>
      <c r="M390" s="2">
        <v>0</v>
      </c>
      <c r="N390" s="2">
        <v>0.109999999</v>
      </c>
      <c r="O390" s="2">
        <v>0.93000000699999996</v>
      </c>
      <c r="P390" s="2">
        <v>4.8800001139999996</v>
      </c>
      <c r="Q390" s="2">
        <v>0</v>
      </c>
      <c r="R390" s="2">
        <v>2</v>
      </c>
      <c r="S390" s="2">
        <v>21</v>
      </c>
      <c r="T390" s="2">
        <v>356</v>
      </c>
      <c r="U390" s="2">
        <f t="shared" si="32"/>
        <v>379</v>
      </c>
      <c r="V390" s="2">
        <v>1061</v>
      </c>
      <c r="W390" s="2">
        <v>8796</v>
      </c>
      <c r="X390" s="2">
        <f t="shared" si="33"/>
        <v>8796</v>
      </c>
      <c r="Y390" s="2">
        <v>1982</v>
      </c>
      <c r="Z390" t="str" cm="1">
        <f t="array" ref="Z390">_xlfn.IFS(OR(R390&gt;66, S390&gt;38), "High Engagement", OR(AND(R390&gt;32, R390&lt;=66), AND(S390&gt;19, S390&lt;=38)), "Medium-High Engagement", OR(AND(R390&gt;4, R390&lt;=32), AND(S390&gt;6, S390&lt;=19)),"Medium Engagement", TRUE, "Low Engagement"
)</f>
        <v>Medium-High Engagement</v>
      </c>
      <c r="AA390">
        <f t="shared" si="34"/>
        <v>0.22532969531605276</v>
      </c>
    </row>
    <row r="391" spans="1:27" x14ac:dyDescent="0.35">
      <c r="A391" s="2">
        <v>8378563200</v>
      </c>
      <c r="B391" s="2" t="s">
        <v>90</v>
      </c>
      <c r="C391" s="2">
        <f>VLOOKUP(user_activity!A212,users_details!$A$1:$G$34,5,0)</f>
        <v>24</v>
      </c>
      <c r="D391" s="2" t="str" cm="1">
        <f t="array" ref="D391">_xlfn.IFS( AND(C391&gt;=18, C391&lt;=25), "Emerging Adults",  AND(C391&gt;=26, C391&lt;=35),  "Young Adults",  AND(C391&gt;=36, C391&lt;=45),  "Midlife Adults",  AND(C391&gt;=46, C391&lt;=55), "Mature Adults", C391&gt;=56,  "Older Adults", TRUE, "Age Not Mentioned")</f>
        <v>Emerging Adults</v>
      </c>
      <c r="E391" s="2" t="str">
        <f>VLOOKUP(user_activity!A212,users_details!$A$1:$G$34,6,0)</f>
        <v>East Village, Manhattan</v>
      </c>
      <c r="F391" s="2" t="str">
        <f>VLOOKUP(user_activity!A212,users_details!$A$1:$G$34,7,0)</f>
        <v>East Village</v>
      </c>
      <c r="G391" s="2" t="s">
        <v>72</v>
      </c>
      <c r="H391" s="7">
        <v>42476</v>
      </c>
      <c r="I391" s="9" t="str">
        <f t="shared" si="30"/>
        <v>Saturday</v>
      </c>
      <c r="J391" s="9" t="str">
        <f t="shared" si="31"/>
        <v>April</v>
      </c>
      <c r="K391" s="2">
        <v>8.8900003430000005</v>
      </c>
      <c r="L391" s="2">
        <v>8.8900003430000005</v>
      </c>
      <c r="M391" s="2">
        <v>0</v>
      </c>
      <c r="N391" s="2">
        <v>5.3699998860000004</v>
      </c>
      <c r="O391" s="2">
        <v>1.0700000519999999</v>
      </c>
      <c r="P391" s="2">
        <v>2.4400000569999998</v>
      </c>
      <c r="Q391" s="2">
        <v>0</v>
      </c>
      <c r="R391" s="2">
        <v>64</v>
      </c>
      <c r="S391" s="2">
        <v>21</v>
      </c>
      <c r="T391" s="2">
        <v>142</v>
      </c>
      <c r="U391" s="2">
        <f t="shared" si="32"/>
        <v>227</v>
      </c>
      <c r="V391" s="2">
        <v>563</v>
      </c>
      <c r="W391" s="2">
        <v>11207</v>
      </c>
      <c r="X391" s="2">
        <f t="shared" si="33"/>
        <v>11207</v>
      </c>
      <c r="Y391" s="2">
        <v>3363</v>
      </c>
      <c r="Z391" t="str" cm="1">
        <f t="array" ref="Z391">_xlfn.IFS(OR(R391&gt;66, S391&gt;38), "High Engagement", OR(AND(R391&gt;32, R391&lt;=66), AND(S391&gt;19, S391&lt;=38)), "Medium-High Engagement", OR(AND(R391&gt;4, R391&lt;=32), AND(S391&gt;6, S391&lt;=19)),"Medium Engagement", TRUE, "Low Engagement"
)</f>
        <v>Medium-High Engagement</v>
      </c>
      <c r="AA391">
        <f t="shared" si="34"/>
        <v>0.30008030695101279</v>
      </c>
    </row>
    <row r="392" spans="1:27" x14ac:dyDescent="0.35">
      <c r="A392" s="2">
        <v>8378563200</v>
      </c>
      <c r="B392" s="2" t="s">
        <v>90</v>
      </c>
      <c r="C392" s="2">
        <f>VLOOKUP(user_activity!A213,users_details!$A$1:$G$34,5,0)</f>
        <v>24</v>
      </c>
      <c r="D392" s="2" t="str" cm="1">
        <f t="array" ref="D392">_xlfn.IFS( AND(C392&gt;=18, C392&lt;=25), "Emerging Adults",  AND(C392&gt;=26, C392&lt;=35),  "Young Adults",  AND(C392&gt;=36, C392&lt;=45),  "Midlife Adults",  AND(C392&gt;=46, C392&lt;=55), "Mature Adults", C392&gt;=56,  "Older Adults", TRUE, "Age Not Mentioned")</f>
        <v>Emerging Adults</v>
      </c>
      <c r="E392" s="2" t="str">
        <f>VLOOKUP(user_activity!A213,users_details!$A$1:$G$34,6,0)</f>
        <v>East Village, Manhattan</v>
      </c>
      <c r="F392" s="2" t="str">
        <f>VLOOKUP(user_activity!A213,users_details!$A$1:$G$34,7,0)</f>
        <v>East Village</v>
      </c>
      <c r="G392" s="2" t="s">
        <v>72</v>
      </c>
      <c r="H392" s="7">
        <v>42587</v>
      </c>
      <c r="I392" s="9" t="str">
        <f t="shared" si="30"/>
        <v>Friday</v>
      </c>
      <c r="J392" s="9" t="str">
        <f t="shared" si="31"/>
        <v>August</v>
      </c>
      <c r="K392" s="2">
        <v>2.329999924</v>
      </c>
      <c r="L392" s="2">
        <v>2.329999924</v>
      </c>
      <c r="M392" s="2">
        <v>0</v>
      </c>
      <c r="N392" s="2">
        <v>0</v>
      </c>
      <c r="O392" s="2">
        <v>0</v>
      </c>
      <c r="P392" s="2">
        <v>2.329999924</v>
      </c>
      <c r="Q392" s="2">
        <v>0</v>
      </c>
      <c r="R392" s="2">
        <v>0</v>
      </c>
      <c r="S392" s="2">
        <v>0</v>
      </c>
      <c r="T392" s="2">
        <v>139</v>
      </c>
      <c r="U392" s="2">
        <f t="shared" si="32"/>
        <v>139</v>
      </c>
      <c r="V392" s="2">
        <v>621</v>
      </c>
      <c r="W392" s="2">
        <v>2943</v>
      </c>
      <c r="X392" s="2">
        <f t="shared" si="33"/>
        <v>2943</v>
      </c>
      <c r="Y392" s="2">
        <v>2685</v>
      </c>
      <c r="Z392" t="str" cm="1">
        <f t="array" ref="Z392">_xlfn.IFS(OR(R392&gt;66, S392&gt;38), "High Engagement", OR(AND(R392&gt;32, R392&lt;=66), AND(S392&gt;19, S392&lt;=38)), "Medium-High Engagement", OR(AND(R392&gt;4, R392&lt;=32), AND(S392&gt;6, S392&lt;=19)),"Medium Engagement", TRUE, "Low Engagement"
)</f>
        <v>Low Engagement</v>
      </c>
      <c r="AA392">
        <f t="shared" si="34"/>
        <v>0.91233435270132512</v>
      </c>
    </row>
    <row r="393" spans="1:27" x14ac:dyDescent="0.35">
      <c r="A393" s="2">
        <v>8378563200</v>
      </c>
      <c r="B393" s="2" t="s">
        <v>90</v>
      </c>
      <c r="C393" s="2">
        <f>VLOOKUP(user_activity!A230,users_details!$A$1:$G$34,5,0)</f>
        <v>24</v>
      </c>
      <c r="D393" s="2" t="str" cm="1">
        <f t="array" ref="D393">_xlfn.IFS( AND(C393&gt;=18, C393&lt;=25), "Emerging Adults",  AND(C393&gt;=26, C393&lt;=35),  "Young Adults",  AND(C393&gt;=36, C393&lt;=45),  "Midlife Adults",  AND(C393&gt;=46, C393&lt;=55), "Mature Adults", C393&gt;=56,  "Older Adults", TRUE, "Age Not Mentioned")</f>
        <v>Emerging Adults</v>
      </c>
      <c r="E393" s="2" t="str">
        <f>VLOOKUP(user_activity!A230,users_details!$A$1:$G$34,6,0)</f>
        <v>East Village, Manhattan</v>
      </c>
      <c r="F393" s="2" t="str">
        <f>VLOOKUP(user_activity!A230,users_details!$A$1:$G$34,7,0)</f>
        <v>East Village</v>
      </c>
      <c r="G393" s="2" t="s">
        <v>72</v>
      </c>
      <c r="H393" s="7">
        <v>42618</v>
      </c>
      <c r="I393" s="9" t="str">
        <f t="shared" si="30"/>
        <v>Monday</v>
      </c>
      <c r="J393" s="9" t="str">
        <f t="shared" si="31"/>
        <v>September</v>
      </c>
      <c r="K393" s="2">
        <v>6.6500000950000002</v>
      </c>
      <c r="L393" s="2">
        <v>6.6500000950000002</v>
      </c>
      <c r="M393" s="2">
        <v>2.0921471120000001</v>
      </c>
      <c r="N393" s="2">
        <v>1.269999981</v>
      </c>
      <c r="O393" s="2">
        <v>0.66000002599999996</v>
      </c>
      <c r="P393" s="2">
        <v>4.7199997900000001</v>
      </c>
      <c r="Q393" s="2">
        <v>0</v>
      </c>
      <c r="R393" s="2">
        <v>71</v>
      </c>
      <c r="S393" s="2">
        <v>13</v>
      </c>
      <c r="T393" s="2">
        <v>171</v>
      </c>
      <c r="U393" s="2">
        <f t="shared" si="32"/>
        <v>255</v>
      </c>
      <c r="V393" s="2">
        <v>772</v>
      </c>
      <c r="W393" s="2">
        <v>8382</v>
      </c>
      <c r="X393" s="2">
        <f t="shared" si="33"/>
        <v>8382</v>
      </c>
      <c r="Y393" s="2">
        <v>3721</v>
      </c>
      <c r="Z393" t="str" cm="1">
        <f t="array" ref="Z393">_xlfn.IFS(OR(R393&gt;66, S393&gt;38), "High Engagement", OR(AND(R393&gt;32, R393&lt;=66), AND(S393&gt;19, S393&lt;=38)), "Medium-High Engagement", OR(AND(R393&gt;4, R393&lt;=32), AND(S393&gt;6, S393&lt;=19)),"Medium Engagement", TRUE, "Low Engagement"
)</f>
        <v>High Engagement</v>
      </c>
      <c r="AA393">
        <f t="shared" si="34"/>
        <v>0.44392746361250296</v>
      </c>
    </row>
    <row r="394" spans="1:27" x14ac:dyDescent="0.35">
      <c r="A394" s="2">
        <v>8378563200</v>
      </c>
      <c r="B394" s="2" t="s">
        <v>90</v>
      </c>
      <c r="C394" s="2">
        <f>VLOOKUP(user_activity!A234,users_details!$A$1:$G$34,5,0)</f>
        <v>24</v>
      </c>
      <c r="D394" s="2" t="str" cm="1">
        <f t="array" ref="D394">_xlfn.IFS( AND(C394&gt;=18, C394&lt;=25), "Emerging Adults",  AND(C394&gt;=26, C394&lt;=35),  "Young Adults",  AND(C394&gt;=36, C394&lt;=45),  "Midlife Adults",  AND(C394&gt;=46, C394&lt;=55), "Mature Adults", C394&gt;=56,  "Older Adults", TRUE, "Age Not Mentioned")</f>
        <v>Emerging Adults</v>
      </c>
      <c r="E394" s="2" t="str">
        <f>VLOOKUP(user_activity!A234,users_details!$A$1:$G$34,6,0)</f>
        <v>East Village, Manhattan</v>
      </c>
      <c r="F394" s="2" t="str">
        <f>VLOOKUP(user_activity!A234,users_details!$A$1:$G$34,7,0)</f>
        <v>East Village</v>
      </c>
      <c r="G394" s="2" t="s">
        <v>72</v>
      </c>
      <c r="H394" s="7">
        <v>42474</v>
      </c>
      <c r="I394" s="9" t="str">
        <f t="shared" si="30"/>
        <v>Thursday</v>
      </c>
      <c r="J394" s="9" t="str">
        <f t="shared" si="31"/>
        <v>April</v>
      </c>
      <c r="K394" s="2">
        <v>10.56000042</v>
      </c>
      <c r="L394" s="2">
        <v>10.56000042</v>
      </c>
      <c r="M394" s="2">
        <v>2.2530810830000001</v>
      </c>
      <c r="N394" s="2">
        <v>5.6199998860000004</v>
      </c>
      <c r="O394" s="2">
        <v>1.0299999710000001</v>
      </c>
      <c r="P394" s="2">
        <v>3.9100000860000002</v>
      </c>
      <c r="Q394" s="2">
        <v>0</v>
      </c>
      <c r="R394" s="2">
        <v>123</v>
      </c>
      <c r="S394" s="2">
        <v>21</v>
      </c>
      <c r="T394" s="2">
        <v>174</v>
      </c>
      <c r="U394" s="2">
        <f t="shared" si="32"/>
        <v>318</v>
      </c>
      <c r="V394" s="2">
        <v>699</v>
      </c>
      <c r="W394" s="2">
        <v>13318</v>
      </c>
      <c r="X394" s="2">
        <f t="shared" si="33"/>
        <v>13318</v>
      </c>
      <c r="Y394" s="2">
        <v>4163</v>
      </c>
      <c r="Z394" t="str" cm="1">
        <f t="array" ref="Z394">_xlfn.IFS(OR(R394&gt;66, S394&gt;38), "High Engagement", OR(AND(R394&gt;32, R394&lt;=66), AND(S394&gt;19, S394&lt;=38)), "Medium-High Engagement", OR(AND(R394&gt;4, R394&lt;=32), AND(S394&gt;6, S394&lt;=19)),"Medium Engagement", TRUE, "Low Engagement"
)</f>
        <v>High Engagement</v>
      </c>
      <c r="AA394">
        <f t="shared" si="34"/>
        <v>0.31258447214296442</v>
      </c>
    </row>
    <row r="395" spans="1:27" x14ac:dyDescent="0.35">
      <c r="A395" s="2">
        <v>8378563200</v>
      </c>
      <c r="B395" s="2" t="s">
        <v>90</v>
      </c>
      <c r="C395" s="2">
        <f>VLOOKUP(user_activity!A237,users_details!$A$1:$G$34,5,0)</f>
        <v>24</v>
      </c>
      <c r="D395" s="2" t="str" cm="1">
        <f t="array" ref="D395">_xlfn.IFS( AND(C395&gt;=18, C395&lt;=25), "Emerging Adults",  AND(C395&gt;=26, C395&lt;=35),  "Young Adults",  AND(C395&gt;=36, C395&lt;=45),  "Midlife Adults",  AND(C395&gt;=46, C395&lt;=55), "Mature Adults", C395&gt;=56,  "Older Adults", TRUE, "Age Not Mentioned")</f>
        <v>Emerging Adults</v>
      </c>
      <c r="E395" s="2" t="str">
        <f>VLOOKUP(user_activity!A237,users_details!$A$1:$G$34,6,0)</f>
        <v>East Village, Manhattan</v>
      </c>
      <c r="F395" s="2" t="str">
        <f>VLOOKUP(user_activity!A237,users_details!$A$1:$G$34,7,0)</f>
        <v>East Village</v>
      </c>
      <c r="G395" s="2" t="s">
        <v>72</v>
      </c>
      <c r="H395" s="7">
        <v>42374</v>
      </c>
      <c r="I395" s="9" t="str">
        <f t="shared" si="30"/>
        <v>Tuesday</v>
      </c>
      <c r="J395" s="9" t="str">
        <f t="shared" si="31"/>
        <v>January</v>
      </c>
      <c r="K395" s="2">
        <v>9.0600004199999997</v>
      </c>
      <c r="L395" s="2">
        <v>9.0600004199999997</v>
      </c>
      <c r="M395" s="2">
        <v>0</v>
      </c>
      <c r="N395" s="2">
        <v>6.0300002099999999</v>
      </c>
      <c r="O395" s="2">
        <v>0.560000002</v>
      </c>
      <c r="P395" s="2">
        <v>2.4700000289999999</v>
      </c>
      <c r="Q395" s="2">
        <v>0</v>
      </c>
      <c r="R395" s="2">
        <v>71</v>
      </c>
      <c r="S395" s="2">
        <v>10</v>
      </c>
      <c r="T395" s="2">
        <v>127</v>
      </c>
      <c r="U395" s="2">
        <f t="shared" si="32"/>
        <v>208</v>
      </c>
      <c r="V395" s="2">
        <v>669</v>
      </c>
      <c r="W395" s="2">
        <v>11419</v>
      </c>
      <c r="X395" s="2">
        <f t="shared" si="33"/>
        <v>11419</v>
      </c>
      <c r="Y395" s="2">
        <v>3369</v>
      </c>
      <c r="Z395" t="str" cm="1">
        <f t="array" ref="Z395">_xlfn.IFS(OR(R395&gt;66, S395&gt;38), "High Engagement", OR(AND(R395&gt;32, R395&lt;=66), AND(S395&gt;19, S395&lt;=38)), "Medium-High Engagement", OR(AND(R395&gt;4, R395&lt;=32), AND(S395&gt;6, S395&lt;=19)),"Medium Engagement", TRUE, "Low Engagement"
)</f>
        <v>High Engagement</v>
      </c>
      <c r="AA395">
        <f t="shared" si="34"/>
        <v>0.29503459147035643</v>
      </c>
    </row>
    <row r="396" spans="1:27" x14ac:dyDescent="0.35">
      <c r="A396" s="2">
        <v>8378563200</v>
      </c>
      <c r="B396" s="2" t="s">
        <v>90</v>
      </c>
      <c r="C396" s="2">
        <f>VLOOKUP(user_activity!A238,users_details!$A$1:$G$34,5,0)</f>
        <v>29</v>
      </c>
      <c r="D396" s="2" t="str" cm="1">
        <f t="array" ref="D396">_xlfn.IFS( AND(C396&gt;=18, C396&lt;=25), "Emerging Adults",  AND(C396&gt;=26, C396&lt;=35),  "Young Adults",  AND(C396&gt;=36, C396&lt;=45),  "Midlife Adults",  AND(C396&gt;=46, C396&lt;=55), "Mature Adults", C396&gt;=56,  "Older Adults", TRUE, "Age Not Mentioned")</f>
        <v>Young Adults</v>
      </c>
      <c r="E396" s="2" t="str">
        <f>VLOOKUP(user_activity!A238,users_details!$A$1:$G$34,6,0)</f>
        <v>Crown Heights, Brooklyn</v>
      </c>
      <c r="F396" s="2" t="str">
        <f>VLOOKUP(user_activity!A238,users_details!$A$1:$G$34,7,0)</f>
        <v>Crown Heights</v>
      </c>
      <c r="G396" s="2" t="s">
        <v>72</v>
      </c>
      <c r="H396" s="7">
        <v>42478</v>
      </c>
      <c r="I396" s="9" t="str">
        <f t="shared" si="30"/>
        <v>Monday</v>
      </c>
      <c r="J396" s="9" t="str">
        <f t="shared" si="31"/>
        <v>April</v>
      </c>
      <c r="K396" s="2">
        <v>10.81000042</v>
      </c>
      <c r="L396" s="2">
        <v>10.81000042</v>
      </c>
      <c r="M396" s="2">
        <v>2.0921471120000001</v>
      </c>
      <c r="N396" s="2">
        <v>5.0500001909999996</v>
      </c>
      <c r="O396" s="2">
        <v>0.560000002</v>
      </c>
      <c r="P396" s="2">
        <v>5.1999998090000004</v>
      </c>
      <c r="Q396" s="2">
        <v>0</v>
      </c>
      <c r="R396" s="2">
        <v>117</v>
      </c>
      <c r="S396" s="2">
        <v>10</v>
      </c>
      <c r="T396" s="2">
        <v>174</v>
      </c>
      <c r="U396" s="2">
        <f t="shared" si="32"/>
        <v>301</v>
      </c>
      <c r="V396" s="2">
        <v>720</v>
      </c>
      <c r="W396" s="2">
        <v>13630</v>
      </c>
      <c r="X396" s="2">
        <f t="shared" si="33"/>
        <v>13630</v>
      </c>
      <c r="Y396" s="2">
        <v>4157</v>
      </c>
      <c r="Z396" t="str" cm="1">
        <f t="array" ref="Z396">_xlfn.IFS(OR(R396&gt;66, S396&gt;38), "High Engagement", OR(AND(R396&gt;32, R396&lt;=66), AND(S396&gt;19, S396&lt;=38)), "Medium-High Engagement", OR(AND(R396&gt;4, R396&lt;=32), AND(S396&gt;6, S396&lt;=19)),"Medium Engagement", TRUE, "Low Engagement"
)</f>
        <v>High Engagement</v>
      </c>
      <c r="AA396">
        <f t="shared" si="34"/>
        <v>0.30498899486427</v>
      </c>
    </row>
    <row r="397" spans="1:27" x14ac:dyDescent="0.35">
      <c r="A397" s="2">
        <v>8378563200</v>
      </c>
      <c r="B397" s="2" t="s">
        <v>90</v>
      </c>
      <c r="C397" s="2">
        <f>VLOOKUP(user_activity!A252,users_details!$A$1:$G$34,5,0)</f>
        <v>29</v>
      </c>
      <c r="D397" s="2" t="str" cm="1">
        <f t="array" ref="D397">_xlfn.IFS( AND(C397&gt;=18, C397&lt;=25), "Emerging Adults",  AND(C397&gt;=26, C397&lt;=35),  "Young Adults",  AND(C397&gt;=36, C397&lt;=45),  "Midlife Adults",  AND(C397&gt;=46, C397&lt;=55), "Mature Adults", C397&gt;=56,  "Older Adults", TRUE, "Age Not Mentioned")</f>
        <v>Young Adults</v>
      </c>
      <c r="E397" s="2" t="str">
        <f>VLOOKUP(user_activity!A252,users_details!$A$1:$G$34,6,0)</f>
        <v>East Village, Manhattan</v>
      </c>
      <c r="F397" s="2" t="str">
        <f>VLOOKUP(user_activity!A252,users_details!$A$1:$G$34,7,0)</f>
        <v>East Village</v>
      </c>
      <c r="G397" s="2" t="s">
        <v>72</v>
      </c>
      <c r="H397" s="7">
        <v>42483</v>
      </c>
      <c r="I397" s="9" t="str">
        <f t="shared" si="30"/>
        <v>Saturday</v>
      </c>
      <c r="J397" s="9" t="str">
        <f t="shared" si="31"/>
        <v>April</v>
      </c>
      <c r="K397" s="2">
        <v>4.5300002099999999</v>
      </c>
      <c r="L397" s="2">
        <v>4.5300002099999999</v>
      </c>
      <c r="M397" s="2">
        <v>0</v>
      </c>
      <c r="N397" s="2">
        <v>1.519999981</v>
      </c>
      <c r="O397" s="2">
        <v>0.519999981</v>
      </c>
      <c r="P397" s="2">
        <v>2.4800000190000002</v>
      </c>
      <c r="Q397" s="2">
        <v>0</v>
      </c>
      <c r="R397" s="2">
        <v>19</v>
      </c>
      <c r="S397" s="2">
        <v>10</v>
      </c>
      <c r="T397" s="2">
        <v>136</v>
      </c>
      <c r="U397" s="2">
        <f t="shared" si="32"/>
        <v>165</v>
      </c>
      <c r="V397" s="2">
        <v>740</v>
      </c>
      <c r="W397" s="2">
        <v>5709</v>
      </c>
      <c r="X397" s="2">
        <f t="shared" si="33"/>
        <v>5709</v>
      </c>
      <c r="Y397" s="2">
        <v>2908</v>
      </c>
      <c r="Z397" t="str" cm="1">
        <f t="array" ref="Z397">_xlfn.IFS(OR(R397&gt;66, S397&gt;38), "High Engagement", OR(AND(R397&gt;32, R397&lt;=66), AND(S397&gt;19, S397&lt;=38)), "Medium-High Engagement", OR(AND(R397&gt;4, R397&lt;=32), AND(S397&gt;6, S397&lt;=19)),"Medium Engagement", TRUE, "Low Engagement"
)</f>
        <v>Medium Engagement</v>
      </c>
      <c r="AA397">
        <f t="shared" si="34"/>
        <v>0.50937116833070595</v>
      </c>
    </row>
    <row r="398" spans="1:27" x14ac:dyDescent="0.35">
      <c r="A398" s="2">
        <v>8378563200</v>
      </c>
      <c r="B398" s="2" t="s">
        <v>90</v>
      </c>
      <c r="C398" s="2">
        <f>VLOOKUP(user_activity!A300,users_details!$A$1:$G$34,5,0)</f>
        <v>30</v>
      </c>
      <c r="D398" s="2" t="str" cm="1">
        <f t="array" ref="D398">_xlfn.IFS( AND(C398&gt;=18, C398&lt;=25), "Emerging Adults",  AND(C398&gt;=26, C398&lt;=35),  "Young Adults",  AND(C398&gt;=36, C398&lt;=45),  "Midlife Adults",  AND(C398&gt;=46, C398&lt;=55), "Mature Adults", C398&gt;=56,  "Older Adults", TRUE, "Age Not Mentioned")</f>
        <v>Young Adults</v>
      </c>
      <c r="E398" s="2" t="str">
        <f>VLOOKUP(user_activity!A300,users_details!$A$1:$G$34,6,0)</f>
        <v>Midtown, Manhattan</v>
      </c>
      <c r="F398" s="2" t="str">
        <f>VLOOKUP(user_activity!A300,users_details!$A$1:$G$34,7,0)</f>
        <v>Midtown</v>
      </c>
      <c r="G398" s="2" t="s">
        <v>72</v>
      </c>
      <c r="H398" s="7">
        <v>42473</v>
      </c>
      <c r="I398" s="9" t="str">
        <f t="shared" si="30"/>
        <v>Wednesday</v>
      </c>
      <c r="J398" s="9" t="str">
        <f t="shared" si="31"/>
        <v>April</v>
      </c>
      <c r="K398" s="2">
        <v>9.8199996949999999</v>
      </c>
      <c r="L398" s="2">
        <v>9.8199996949999999</v>
      </c>
      <c r="M398" s="2">
        <v>2.0921471120000001</v>
      </c>
      <c r="N398" s="2">
        <v>4.9600000380000004</v>
      </c>
      <c r="O398" s="2">
        <v>0.64999997600000003</v>
      </c>
      <c r="P398" s="2">
        <v>4.2100000380000004</v>
      </c>
      <c r="Q398" s="2">
        <v>0</v>
      </c>
      <c r="R398" s="2">
        <v>116</v>
      </c>
      <c r="S398" s="2">
        <v>14</v>
      </c>
      <c r="T398" s="2">
        <v>169</v>
      </c>
      <c r="U398" s="2">
        <f t="shared" si="32"/>
        <v>299</v>
      </c>
      <c r="V398" s="2">
        <v>680</v>
      </c>
      <c r="W398" s="2">
        <v>12386</v>
      </c>
      <c r="X398" s="2">
        <f t="shared" si="33"/>
        <v>12386</v>
      </c>
      <c r="Y398" s="2">
        <v>4079</v>
      </c>
      <c r="Z398" t="str" cm="1">
        <f t="array" ref="Z398">_xlfn.IFS(OR(R398&gt;66, S398&gt;38), "High Engagement", OR(AND(R398&gt;32, R398&lt;=66), AND(S398&gt;19, S398&lt;=38)), "Medium-High Engagement", OR(AND(R398&gt;4, R398&lt;=32), AND(S398&gt;6, S398&lt;=19)),"Medium Engagement", TRUE, "Low Engagement"
)</f>
        <v>High Engagement</v>
      </c>
      <c r="AA398">
        <f t="shared" si="34"/>
        <v>0.32932342967866945</v>
      </c>
    </row>
    <row r="399" spans="1:27" x14ac:dyDescent="0.35">
      <c r="A399" s="2">
        <v>8378563200</v>
      </c>
      <c r="B399" s="2" t="s">
        <v>90</v>
      </c>
      <c r="C399" s="2">
        <f>VLOOKUP(user_activity!A302,users_details!$A$1:$G$34,5,0)</f>
        <v>30</v>
      </c>
      <c r="D399" s="2" t="str" cm="1">
        <f t="array" ref="D399">_xlfn.IFS( AND(C399&gt;=18, C399&lt;=25), "Emerging Adults",  AND(C399&gt;=26, C399&lt;=35),  "Young Adults",  AND(C399&gt;=36, C399&lt;=45),  "Midlife Adults",  AND(C399&gt;=46, C399&lt;=55), "Mature Adults", C399&gt;=56,  "Older Adults", TRUE, "Age Not Mentioned")</f>
        <v>Young Adults</v>
      </c>
      <c r="E399" s="2" t="str">
        <f>VLOOKUP(user_activity!A302,users_details!$A$1:$G$34,6,0)</f>
        <v>Midtown, Manhattan</v>
      </c>
      <c r="F399" s="2" t="str">
        <f>VLOOKUP(user_activity!A302,users_details!$A$1:$G$34,7,0)</f>
        <v>Midtown</v>
      </c>
      <c r="G399" s="2" t="s">
        <v>72</v>
      </c>
      <c r="H399" s="7">
        <v>42648</v>
      </c>
      <c r="I399" s="9" t="str">
        <f t="shared" si="30"/>
        <v>Wednesday</v>
      </c>
      <c r="J399" s="9" t="str">
        <f t="shared" si="31"/>
        <v>October</v>
      </c>
      <c r="K399" s="2">
        <v>5.2199997900000001</v>
      </c>
      <c r="L399" s="2">
        <v>5.2199997900000001</v>
      </c>
      <c r="M399" s="2">
        <v>2.2530810830000001</v>
      </c>
      <c r="N399" s="2">
        <v>0.66000002599999996</v>
      </c>
      <c r="O399" s="2">
        <v>0.63999998599999997</v>
      </c>
      <c r="P399" s="2">
        <v>3.920000076</v>
      </c>
      <c r="Q399" s="2">
        <v>0</v>
      </c>
      <c r="R399" s="2">
        <v>63</v>
      </c>
      <c r="S399" s="2">
        <v>13</v>
      </c>
      <c r="T399" s="2">
        <v>152</v>
      </c>
      <c r="U399" s="2">
        <f t="shared" si="32"/>
        <v>228</v>
      </c>
      <c r="V399" s="2">
        <v>840</v>
      </c>
      <c r="W399" s="2">
        <v>6582</v>
      </c>
      <c r="X399" s="2">
        <f t="shared" si="33"/>
        <v>6582</v>
      </c>
      <c r="Y399" s="2">
        <v>3586</v>
      </c>
      <c r="Z399" t="str" cm="1">
        <f t="array" ref="Z399">_xlfn.IFS(OR(R399&gt;66, S399&gt;38), "High Engagement", OR(AND(R399&gt;32, R399&lt;=66), AND(S399&gt;19, S399&lt;=38)), "Medium-High Engagement", OR(AND(R399&gt;4, R399&lt;=32), AND(S399&gt;6, S399&lt;=19)),"Medium Engagement", TRUE, "Low Engagement"
)</f>
        <v>Medium-High Engagement</v>
      </c>
      <c r="AA399">
        <f t="shared" si="34"/>
        <v>0.54481920388939531</v>
      </c>
    </row>
    <row r="400" spans="1:27" x14ac:dyDescent="0.35">
      <c r="A400" s="2">
        <v>2873212765</v>
      </c>
      <c r="B400" s="2" t="s">
        <v>78</v>
      </c>
      <c r="C400" s="2">
        <f>VLOOKUP(user_activity!A306,users_details!$A$1:$G$34,5,0)</f>
        <v>30</v>
      </c>
      <c r="D400" s="2" t="str" cm="1">
        <f t="array" ref="D400">_xlfn.IFS( AND(C400&gt;=18, C400&lt;=25), "Emerging Adults",  AND(C400&gt;=26, C400&lt;=35),  "Young Adults",  AND(C400&gt;=36, C400&lt;=45),  "Midlife Adults",  AND(C400&gt;=46, C400&lt;=55), "Mature Adults", C400&gt;=56,  "Older Adults", TRUE, "Age Not Mentioned")</f>
        <v>Young Adults</v>
      </c>
      <c r="E400" s="2" t="str">
        <f>VLOOKUP(user_activity!A306,users_details!$A$1:$G$34,6,0)</f>
        <v>Clinton Hill, Brooklyn</v>
      </c>
      <c r="F400" s="2" t="str">
        <f>VLOOKUP(user_activity!A306,users_details!$A$1:$G$34,7,0)</f>
        <v>Clinton Hill</v>
      </c>
      <c r="G400" s="2" t="s">
        <v>71</v>
      </c>
      <c r="H400" s="7">
        <v>42481</v>
      </c>
      <c r="I400" s="9" t="str">
        <f t="shared" si="30"/>
        <v>Thursday</v>
      </c>
      <c r="J400" s="9" t="str">
        <f t="shared" si="31"/>
        <v>April</v>
      </c>
      <c r="K400" s="2">
        <v>5.9800000190000002</v>
      </c>
      <c r="L400" s="2">
        <v>5.9800000190000002</v>
      </c>
      <c r="M400" s="2">
        <v>0</v>
      </c>
      <c r="N400" s="2">
        <v>0.12999999500000001</v>
      </c>
      <c r="O400" s="2">
        <v>0.37000000500000002</v>
      </c>
      <c r="P400" s="2">
        <v>5.4699997900000001</v>
      </c>
      <c r="Q400" s="2">
        <v>0.01</v>
      </c>
      <c r="R400" s="2">
        <v>2</v>
      </c>
      <c r="S400" s="2">
        <v>10</v>
      </c>
      <c r="T400" s="2">
        <v>371</v>
      </c>
      <c r="U400" s="2">
        <f t="shared" si="32"/>
        <v>383</v>
      </c>
      <c r="V400" s="2">
        <v>1057</v>
      </c>
      <c r="W400" s="2">
        <v>8859</v>
      </c>
      <c r="X400" s="2">
        <f t="shared" si="33"/>
        <v>8859</v>
      </c>
      <c r="Y400" s="2">
        <v>1970</v>
      </c>
      <c r="Z400" t="str" cm="1">
        <f t="array" ref="Z400">_xlfn.IFS(OR(R400&gt;66, S400&gt;38), "High Engagement", OR(AND(R400&gt;32, R400&lt;=66), AND(S400&gt;19, S400&lt;=38)), "Medium-High Engagement", OR(AND(R400&gt;4, R400&lt;=32), AND(S400&gt;6, S400&lt;=19)),"Medium Engagement", TRUE, "Low Engagement"
)</f>
        <v>Medium Engagement</v>
      </c>
      <c r="AA400">
        <f t="shared" si="34"/>
        <v>0.22237272829890506</v>
      </c>
    </row>
    <row r="401" spans="1:27" x14ac:dyDescent="0.35">
      <c r="A401" s="2">
        <v>8378563200</v>
      </c>
      <c r="B401" s="2" t="s">
        <v>90</v>
      </c>
      <c r="C401" s="2">
        <f>VLOOKUP(user_activity!A307,users_details!$A$1:$G$34,5,0)</f>
        <v>30</v>
      </c>
      <c r="D401" s="2" t="str" cm="1">
        <f t="array" ref="D401">_xlfn.IFS( AND(C401&gt;=18, C401&lt;=25), "Emerging Adults",  AND(C401&gt;=26, C401&lt;=35),  "Young Adults",  AND(C401&gt;=36, C401&lt;=45),  "Midlife Adults",  AND(C401&gt;=46, C401&lt;=55), "Mature Adults", C401&gt;=56,  "Older Adults", TRUE, "Age Not Mentioned")</f>
        <v>Young Adults</v>
      </c>
      <c r="E401" s="2" t="str">
        <f>VLOOKUP(user_activity!A307,users_details!$A$1:$G$34,6,0)</f>
        <v>Midtown, Manhattan</v>
      </c>
      <c r="F401" s="2" t="str">
        <f>VLOOKUP(user_activity!A307,users_details!$A$1:$G$34,7,0)</f>
        <v>Midtown</v>
      </c>
      <c r="G401" s="2" t="s">
        <v>72</v>
      </c>
      <c r="H401" s="7">
        <v>42434</v>
      </c>
      <c r="I401" s="9" t="str">
        <f t="shared" si="30"/>
        <v>Saturday</v>
      </c>
      <c r="J401" s="9" t="str">
        <f t="shared" si="31"/>
        <v>March</v>
      </c>
      <c r="K401" s="2">
        <v>6.9099998469999999</v>
      </c>
      <c r="L401" s="2">
        <v>6.9099998469999999</v>
      </c>
      <c r="M401" s="2">
        <v>2.2530810830000001</v>
      </c>
      <c r="N401" s="2">
        <v>1.3400000329999999</v>
      </c>
      <c r="O401" s="2">
        <v>1.059999943</v>
      </c>
      <c r="P401" s="2">
        <v>4.5</v>
      </c>
      <c r="Q401" s="2">
        <v>0</v>
      </c>
      <c r="R401" s="2">
        <v>71</v>
      </c>
      <c r="S401" s="2">
        <v>20</v>
      </c>
      <c r="T401" s="2">
        <v>195</v>
      </c>
      <c r="U401" s="2">
        <f t="shared" si="32"/>
        <v>286</v>
      </c>
      <c r="V401" s="2">
        <v>822</v>
      </c>
      <c r="W401" s="2">
        <v>8712</v>
      </c>
      <c r="X401" s="2">
        <f t="shared" si="33"/>
        <v>8712</v>
      </c>
      <c r="Y401" s="2">
        <v>3784</v>
      </c>
      <c r="Z401" t="str" cm="1">
        <f t="array" ref="Z401">_xlfn.IFS(OR(R401&gt;66, S401&gt;38), "High Engagement", OR(AND(R401&gt;32, R401&lt;=66), AND(S401&gt;19, S401&lt;=38)), "Medium-High Engagement", OR(AND(R401&gt;4, R401&lt;=32), AND(S401&gt;6, S401&lt;=19)),"Medium Engagement", TRUE, "Low Engagement"
)</f>
        <v>High Engagement</v>
      </c>
      <c r="AA401">
        <f t="shared" si="34"/>
        <v>0.43434343434343436</v>
      </c>
    </row>
    <row r="402" spans="1:27" x14ac:dyDescent="0.35">
      <c r="A402" s="2">
        <v>2873212765</v>
      </c>
      <c r="B402" s="2" t="s">
        <v>78</v>
      </c>
      <c r="C402" s="2">
        <f>VLOOKUP(user_activity!A309,users_details!$A$1:$G$34,5,0)</f>
        <v>30</v>
      </c>
      <c r="D402" s="2" t="str" cm="1">
        <f t="array" ref="D402">_xlfn.IFS( AND(C402&gt;=18, C402&lt;=25), "Emerging Adults",  AND(C402&gt;=26, C402&lt;=35),  "Young Adults",  AND(C402&gt;=36, C402&lt;=45),  "Midlife Adults",  AND(C402&gt;=46, C402&lt;=55), "Mature Adults", C402&gt;=56,  "Older Adults", TRUE, "Age Not Mentioned")</f>
        <v>Young Adults</v>
      </c>
      <c r="E402" s="2" t="str">
        <f>VLOOKUP(user_activity!A309,users_details!$A$1:$G$34,6,0)</f>
        <v>Clinton Hill, Brooklyn</v>
      </c>
      <c r="F402" s="2" t="str">
        <f>VLOOKUP(user_activity!A309,users_details!$A$1:$G$34,7,0)</f>
        <v>Clinton Hill</v>
      </c>
      <c r="G402" s="2" t="s">
        <v>71</v>
      </c>
      <c r="H402" s="7">
        <v>42587</v>
      </c>
      <c r="I402" s="9" t="str">
        <f t="shared" si="30"/>
        <v>Friday</v>
      </c>
      <c r="J402" s="9" t="str">
        <f t="shared" si="31"/>
        <v>August</v>
      </c>
      <c r="K402" s="2">
        <v>5.5399999619999996</v>
      </c>
      <c r="L402" s="2">
        <v>5.5399999619999996</v>
      </c>
      <c r="M402" s="2">
        <v>0</v>
      </c>
      <c r="N402" s="2">
        <v>2.9000000950000002</v>
      </c>
      <c r="O402" s="2">
        <v>0</v>
      </c>
      <c r="P402" s="2">
        <v>2.6400001049999999</v>
      </c>
      <c r="Q402" s="2">
        <v>0</v>
      </c>
      <c r="R402" s="2">
        <v>46</v>
      </c>
      <c r="S402" s="2">
        <v>0</v>
      </c>
      <c r="T402" s="2">
        <v>326</v>
      </c>
      <c r="U402" s="2">
        <f t="shared" si="32"/>
        <v>372</v>
      </c>
      <c r="V402" s="2">
        <v>1068</v>
      </c>
      <c r="W402" s="2">
        <v>8168</v>
      </c>
      <c r="X402" s="2">
        <f t="shared" si="33"/>
        <v>8168</v>
      </c>
      <c r="Y402" s="2">
        <v>2096</v>
      </c>
      <c r="Z402" t="str" cm="1">
        <f t="array" ref="Z402">_xlfn.IFS(OR(R402&gt;66, S402&gt;38), "High Engagement", OR(AND(R402&gt;32, R402&lt;=66), AND(S402&gt;19, S402&lt;=38)), "Medium-High Engagement", OR(AND(R402&gt;4, R402&lt;=32), AND(S402&gt;6, S402&lt;=19)),"Medium Engagement", TRUE, "Low Engagement"
)</f>
        <v>Medium-High Engagement</v>
      </c>
      <c r="AA402">
        <f t="shared" si="34"/>
        <v>0.2566111655239961</v>
      </c>
    </row>
    <row r="403" spans="1:27" x14ac:dyDescent="0.35">
      <c r="A403" s="2">
        <v>2873212765</v>
      </c>
      <c r="B403" s="2" t="s">
        <v>78</v>
      </c>
      <c r="C403" s="2">
        <f>VLOOKUP(user_activity!A370,users_details!$A$1:$G$34,5,0)</f>
        <v>31</v>
      </c>
      <c r="D403" s="2" t="str" cm="1">
        <f t="array" ref="D403">_xlfn.IFS( AND(C403&gt;=18, C403&lt;=25), "Emerging Adults",  AND(C403&gt;=26, C403&lt;=35),  "Young Adults",  AND(C403&gt;=36, C403&lt;=45),  "Midlife Adults",  AND(C403&gt;=46, C403&lt;=55), "Mature Adults", C403&gt;=56,  "Older Adults", TRUE, "Age Not Mentioned")</f>
        <v>Young Adults</v>
      </c>
      <c r="E403" s="2" t="str">
        <f>VLOOKUP(user_activity!A370,users_details!$A$1:$G$34,6,0)</f>
        <v>Midtown, Manhattan</v>
      </c>
      <c r="F403" s="2" t="str">
        <f>VLOOKUP(user_activity!A370,users_details!$A$1:$G$34,7,0)</f>
        <v>Midtown</v>
      </c>
      <c r="G403" s="2" t="s">
        <v>71</v>
      </c>
      <c r="H403" s="7">
        <v>42479</v>
      </c>
      <c r="I403" s="9" t="str">
        <f t="shared" si="30"/>
        <v>Tuesday</v>
      </c>
      <c r="J403" s="9" t="str">
        <f t="shared" si="31"/>
        <v>April</v>
      </c>
      <c r="K403" s="2">
        <v>5.3699998860000004</v>
      </c>
      <c r="L403" s="2">
        <v>5.3699998860000004</v>
      </c>
      <c r="M403" s="2">
        <v>0</v>
      </c>
      <c r="N403" s="2">
        <v>0</v>
      </c>
      <c r="O403" s="2">
        <v>0</v>
      </c>
      <c r="P403" s="2">
        <v>5.3600001339999999</v>
      </c>
      <c r="Q403" s="2">
        <v>0</v>
      </c>
      <c r="R403" s="2">
        <v>0</v>
      </c>
      <c r="S403" s="2">
        <v>0</v>
      </c>
      <c r="T403" s="2">
        <v>389</v>
      </c>
      <c r="U403" s="2">
        <f t="shared" si="32"/>
        <v>389</v>
      </c>
      <c r="V403" s="2">
        <v>1051</v>
      </c>
      <c r="W403" s="2">
        <v>7948</v>
      </c>
      <c r="X403" s="2">
        <f t="shared" si="33"/>
        <v>7948</v>
      </c>
      <c r="Y403" s="2">
        <v>1956</v>
      </c>
      <c r="Z403" t="str" cm="1">
        <f t="array" ref="Z403">_xlfn.IFS(OR(R403&gt;66, S403&gt;38), "High Engagement", OR(AND(R403&gt;32, R403&lt;=66), AND(S403&gt;19, S403&lt;=38)), "Medium-High Engagement", OR(AND(R403&gt;4, R403&lt;=32), AND(S403&gt;6, S403&lt;=19)),"Medium Engagement", TRUE, "Low Engagement"
)</f>
        <v>Low Engagement</v>
      </c>
      <c r="AA403">
        <f t="shared" si="34"/>
        <v>0.24609964771011575</v>
      </c>
    </row>
    <row r="404" spans="1:27" x14ac:dyDescent="0.35">
      <c r="A404" s="2">
        <v>2873212765</v>
      </c>
      <c r="B404" s="2" t="s">
        <v>78</v>
      </c>
      <c r="C404" s="2">
        <f>VLOOKUP(user_activity!A371,users_details!$A$1:$G$34,5,0)</f>
        <v>31</v>
      </c>
      <c r="D404" s="2" t="str" cm="1">
        <f t="array" ref="D404">_xlfn.IFS( AND(C404&gt;=18, C404&lt;=25), "Emerging Adults",  AND(C404&gt;=26, C404&lt;=35),  "Young Adults",  AND(C404&gt;=36, C404&lt;=45),  "Midlife Adults",  AND(C404&gt;=46, C404&lt;=55), "Mature Adults", C404&gt;=56,  "Older Adults", TRUE, "Age Not Mentioned")</f>
        <v>Young Adults</v>
      </c>
      <c r="E404" s="2" t="str">
        <f>VLOOKUP(user_activity!A371,users_details!$A$1:$G$34,6,0)</f>
        <v>Midtown, Manhattan</v>
      </c>
      <c r="F404" s="2" t="str">
        <f>VLOOKUP(user_activity!A371,users_details!$A$1:$G$34,7,0)</f>
        <v>Midtown</v>
      </c>
      <c r="G404" s="2" t="s">
        <v>71</v>
      </c>
      <c r="H404" s="7">
        <v>42405</v>
      </c>
      <c r="I404" s="9" t="str">
        <f t="shared" si="30"/>
        <v>Friday</v>
      </c>
      <c r="J404" s="9" t="str">
        <f t="shared" si="31"/>
        <v>February</v>
      </c>
      <c r="K404" s="2">
        <v>5.0599999430000002</v>
      </c>
      <c r="L404" s="2">
        <v>5.0599999430000002</v>
      </c>
      <c r="M404" s="2">
        <v>0</v>
      </c>
      <c r="N404" s="2">
        <v>0</v>
      </c>
      <c r="O404" s="2">
        <v>0.209999993</v>
      </c>
      <c r="P404" s="2">
        <v>4.829999924</v>
      </c>
      <c r="Q404" s="2">
        <v>0.02</v>
      </c>
      <c r="R404" s="2">
        <v>0</v>
      </c>
      <c r="S404" s="2">
        <v>7</v>
      </c>
      <c r="T404" s="2">
        <v>334</v>
      </c>
      <c r="U404" s="2">
        <f t="shared" si="32"/>
        <v>341</v>
      </c>
      <c r="V404" s="2">
        <v>1099</v>
      </c>
      <c r="W404" s="2">
        <v>7525</v>
      </c>
      <c r="X404" s="2">
        <f t="shared" si="33"/>
        <v>7525</v>
      </c>
      <c r="Y404" s="2">
        <v>1878</v>
      </c>
      <c r="Z404" t="str" cm="1">
        <f t="array" ref="Z404">_xlfn.IFS(OR(R404&gt;66, S404&gt;38), "High Engagement", OR(AND(R404&gt;32, R404&lt;=66), AND(S404&gt;19, S404&lt;=38)), "Medium-High Engagement", OR(AND(R404&gt;4, R404&lt;=32), AND(S404&gt;6, S404&lt;=19)),"Medium Engagement", TRUE, "Low Engagement"
)</f>
        <v>Medium Engagement</v>
      </c>
      <c r="AA404">
        <f t="shared" si="34"/>
        <v>0.24956810631229237</v>
      </c>
    </row>
    <row r="405" spans="1:27" x14ac:dyDescent="0.35">
      <c r="A405" s="2">
        <v>2873212765</v>
      </c>
      <c r="B405" s="2" t="s">
        <v>78</v>
      </c>
      <c r="C405" s="2">
        <f>VLOOKUP(user_activity!A375,users_details!$A$1:$G$34,5,0)</f>
        <v>31</v>
      </c>
      <c r="D405" s="2" t="str" cm="1">
        <f t="array" ref="D405">_xlfn.IFS( AND(C405&gt;=18, C405&lt;=25), "Emerging Adults",  AND(C405&gt;=26, C405&lt;=35),  "Young Adults",  AND(C405&gt;=36, C405&lt;=45),  "Midlife Adults",  AND(C405&gt;=46, C405&lt;=55), "Mature Adults", C405&gt;=56,  "Older Adults", TRUE, "Age Not Mentioned")</f>
        <v>Young Adults</v>
      </c>
      <c r="E405" s="2" t="str">
        <f>VLOOKUP(user_activity!A375,users_details!$A$1:$G$34,6,0)</f>
        <v>Midtown, Manhattan</v>
      </c>
      <c r="F405" s="2" t="str">
        <f>VLOOKUP(user_activity!A375,users_details!$A$1:$G$34,7,0)</f>
        <v>Midtown</v>
      </c>
      <c r="G405" s="2" t="s">
        <v>71</v>
      </c>
      <c r="H405" s="7">
        <v>42485</v>
      </c>
      <c r="I405" s="9" t="str">
        <f t="shared" si="30"/>
        <v>Monday</v>
      </c>
      <c r="J405" s="9" t="str">
        <f t="shared" si="31"/>
        <v>April</v>
      </c>
      <c r="K405" s="2">
        <v>4.9499998090000004</v>
      </c>
      <c r="L405" s="2">
        <v>4.9499998090000004</v>
      </c>
      <c r="M405" s="2">
        <v>0</v>
      </c>
      <c r="N405" s="2">
        <v>0</v>
      </c>
      <c r="O405" s="2">
        <v>0</v>
      </c>
      <c r="P405" s="2">
        <v>4.9499998090000004</v>
      </c>
      <c r="Q405" s="2">
        <v>0</v>
      </c>
      <c r="R405" s="2">
        <v>0</v>
      </c>
      <c r="S405" s="2">
        <v>0</v>
      </c>
      <c r="T405" s="2">
        <v>359</v>
      </c>
      <c r="U405" s="2">
        <f t="shared" si="32"/>
        <v>359</v>
      </c>
      <c r="V405" s="2">
        <v>1081</v>
      </c>
      <c r="W405" s="2">
        <v>7373</v>
      </c>
      <c r="X405" s="2">
        <f t="shared" si="33"/>
        <v>7373</v>
      </c>
      <c r="Y405" s="2">
        <v>1907</v>
      </c>
      <c r="Z405" t="str" cm="1">
        <f t="array" ref="Z405">_xlfn.IFS(OR(R405&gt;66, S405&gt;38), "High Engagement", OR(AND(R405&gt;32, R405&lt;=66), AND(S405&gt;19, S405&lt;=38)), "Medium-High Engagement", OR(AND(R405&gt;4, R405&lt;=32), AND(S405&gt;6, S405&lt;=19)),"Medium Engagement", TRUE, "Low Engagement"
)</f>
        <v>Low Engagement</v>
      </c>
      <c r="AA405">
        <f t="shared" si="34"/>
        <v>0.25864641258646415</v>
      </c>
    </row>
    <row r="406" spans="1:27" x14ac:dyDescent="0.35">
      <c r="A406" s="2">
        <v>8378563200</v>
      </c>
      <c r="B406" s="2" t="s">
        <v>90</v>
      </c>
      <c r="C406" s="2">
        <f>VLOOKUP(user_activity!A395,users_details!$A$1:$G$34,5,0)</f>
        <v>32</v>
      </c>
      <c r="D406" s="2" t="str" cm="1">
        <f t="array" ref="D406">_xlfn.IFS( AND(C406&gt;=18, C406&lt;=25), "Emerging Adults",  AND(C406&gt;=26, C406&lt;=35),  "Young Adults",  AND(C406&gt;=36, C406&lt;=45),  "Midlife Adults",  AND(C406&gt;=46, C406&lt;=55), "Mature Adults", C406&gt;=56,  "Older Adults", TRUE, "Age Not Mentioned")</f>
        <v>Young Adults</v>
      </c>
      <c r="E406" s="2" t="str">
        <f>VLOOKUP(user_activity!A395,users_details!$A$1:$G$34,6,0)</f>
        <v>East Harlem, Manhattan</v>
      </c>
      <c r="F406" s="2" t="str">
        <f>VLOOKUP(user_activity!A395,users_details!$A$1:$G$34,7,0)</f>
        <v>East Harlem</v>
      </c>
      <c r="G406" s="2" t="s">
        <v>72</v>
      </c>
      <c r="H406" s="7">
        <v>42484</v>
      </c>
      <c r="I406" s="9" t="str">
        <f t="shared" si="30"/>
        <v>Sunday</v>
      </c>
      <c r="J406" s="9" t="str">
        <f t="shared" si="31"/>
        <v>April</v>
      </c>
      <c r="K406" s="2">
        <v>2.9400000569999998</v>
      </c>
      <c r="L406" s="2">
        <v>2.9400000569999998</v>
      </c>
      <c r="M406" s="2">
        <v>0</v>
      </c>
      <c r="N406" s="2">
        <v>0</v>
      </c>
      <c r="O406" s="2">
        <v>0</v>
      </c>
      <c r="P406" s="2">
        <v>2.9400000569999998</v>
      </c>
      <c r="Q406" s="2">
        <v>0</v>
      </c>
      <c r="R406" s="2">
        <v>0</v>
      </c>
      <c r="S406" s="2">
        <v>0</v>
      </c>
      <c r="T406" s="2">
        <v>135</v>
      </c>
      <c r="U406" s="2">
        <f t="shared" si="32"/>
        <v>135</v>
      </c>
      <c r="V406" s="2">
        <v>734</v>
      </c>
      <c r="W406" s="2">
        <v>3703</v>
      </c>
      <c r="X406" s="2">
        <f t="shared" si="33"/>
        <v>3703</v>
      </c>
      <c r="Y406" s="2">
        <v>2741</v>
      </c>
      <c r="Z406" t="str" cm="1">
        <f t="array" ref="Z406">_xlfn.IFS(OR(R406&gt;66, S406&gt;38), "High Engagement", OR(AND(R406&gt;32, R406&lt;=66), AND(S406&gt;19, S406&lt;=38)), "Medium-High Engagement", OR(AND(R406&gt;4, R406&lt;=32), AND(S406&gt;6, S406&lt;=19)),"Medium Engagement", TRUE, "Low Engagement"
)</f>
        <v>Low Engagement</v>
      </c>
      <c r="AA406">
        <f t="shared" si="34"/>
        <v>0.74021064002160408</v>
      </c>
    </row>
    <row r="407" spans="1:27" x14ac:dyDescent="0.35">
      <c r="A407" s="2">
        <v>8378563200</v>
      </c>
      <c r="B407" s="2" t="s">
        <v>90</v>
      </c>
      <c r="C407" s="2">
        <f>VLOOKUP(user_activity!A431,users_details!$A$1:$G$34,5,0)</f>
        <v>32</v>
      </c>
      <c r="D407" s="2" t="str" cm="1">
        <f t="array" ref="D407">_xlfn.IFS( AND(C407&gt;=18, C407&lt;=25), "Emerging Adults",  AND(C407&gt;=26, C407&lt;=35),  "Young Adults",  AND(C407&gt;=36, C407&lt;=45),  "Midlife Adults",  AND(C407&gt;=46, C407&lt;=55), "Mature Adults", C407&gt;=56,  "Older Adults", TRUE, "Age Not Mentioned")</f>
        <v>Young Adults</v>
      </c>
      <c r="E407" s="2" t="str">
        <f>VLOOKUP(user_activity!A431,users_details!$A$1:$G$34,6,0)</f>
        <v>Greenpoint, Brooklyn</v>
      </c>
      <c r="F407" s="2" t="str">
        <f>VLOOKUP(user_activity!A431,users_details!$A$1:$G$34,7,0)</f>
        <v>Greenpoint</v>
      </c>
      <c r="G407" s="2" t="s">
        <v>72</v>
      </c>
      <c r="H407" s="7">
        <v>42481</v>
      </c>
      <c r="I407" s="9" t="str">
        <f t="shared" si="30"/>
        <v>Thursday</v>
      </c>
      <c r="J407" s="9" t="str">
        <f t="shared" si="31"/>
        <v>April</v>
      </c>
      <c r="K407" s="2">
        <v>12.010000229999999</v>
      </c>
      <c r="L407" s="2">
        <v>12.010000229999999</v>
      </c>
      <c r="M407" s="2">
        <v>2.2530810830000001</v>
      </c>
      <c r="N407" s="2">
        <v>6.9000000950000002</v>
      </c>
      <c r="O407" s="2">
        <v>0.81999999300000004</v>
      </c>
      <c r="P407" s="2">
        <v>4.2899999619999996</v>
      </c>
      <c r="Q407" s="2">
        <v>0</v>
      </c>
      <c r="R407" s="2">
        <v>137</v>
      </c>
      <c r="S407" s="2">
        <v>16</v>
      </c>
      <c r="T407" s="2">
        <v>145</v>
      </c>
      <c r="U407" s="2">
        <f t="shared" si="32"/>
        <v>298</v>
      </c>
      <c r="V407" s="2">
        <v>677</v>
      </c>
      <c r="W407" s="2">
        <v>15148</v>
      </c>
      <c r="X407" s="2">
        <f t="shared" si="33"/>
        <v>15148</v>
      </c>
      <c r="Y407" s="2">
        <v>4236</v>
      </c>
      <c r="Z407" t="str" cm="1">
        <f t="array" ref="Z407">_xlfn.IFS(OR(R407&gt;66, S407&gt;38), "High Engagement", OR(AND(R407&gt;32, R407&lt;=66), AND(S407&gt;19, S407&lt;=38)), "Medium-High Engagement", OR(AND(R407&gt;4, R407&lt;=32), AND(S407&gt;6, S407&lt;=19)),"Medium Engagement", TRUE, "Low Engagement"
)</f>
        <v>High Engagement</v>
      </c>
      <c r="AA407">
        <f t="shared" si="34"/>
        <v>0.27964087668339055</v>
      </c>
    </row>
    <row r="408" spans="1:27" x14ac:dyDescent="0.35">
      <c r="A408" s="2">
        <v>8378563200</v>
      </c>
      <c r="B408" s="2" t="s">
        <v>90</v>
      </c>
      <c r="C408" s="2">
        <f>VLOOKUP(user_activity!A437,users_details!$A$1:$G$34,5,0)</f>
        <v>32</v>
      </c>
      <c r="D408" s="2" t="str" cm="1">
        <f t="array" ref="D408">_xlfn.IFS( AND(C408&gt;=18, C408&lt;=25), "Emerging Adults",  AND(C408&gt;=26, C408&lt;=35),  "Young Adults",  AND(C408&gt;=36, C408&lt;=45),  "Midlife Adults",  AND(C408&gt;=46, C408&lt;=55), "Mature Adults", C408&gt;=56,  "Older Adults", TRUE, "Age Not Mentioned")</f>
        <v>Young Adults</v>
      </c>
      <c r="E408" s="2" t="str">
        <f>VLOOKUP(user_activity!A437,users_details!$A$1:$G$34,6,0)</f>
        <v>East Harlem, Manhattan</v>
      </c>
      <c r="F408" s="2" t="str">
        <f>VLOOKUP(user_activity!A437,users_details!$A$1:$G$34,7,0)</f>
        <v>East Harlem</v>
      </c>
      <c r="G408" s="2" t="s">
        <v>72</v>
      </c>
      <c r="H408" s="7">
        <v>42405</v>
      </c>
      <c r="I408" s="9" t="str">
        <f t="shared" si="30"/>
        <v>Friday</v>
      </c>
      <c r="J408" s="9" t="str">
        <f t="shared" si="31"/>
        <v>February</v>
      </c>
      <c r="K408" s="2">
        <v>4.8099999430000002</v>
      </c>
      <c r="L408" s="2">
        <v>4.8099999430000002</v>
      </c>
      <c r="M408" s="2">
        <v>2.0921471120000001</v>
      </c>
      <c r="N408" s="2">
        <v>0.62999999500000003</v>
      </c>
      <c r="O408" s="2">
        <v>0.17000000200000001</v>
      </c>
      <c r="P408" s="2">
        <v>4.0100002290000001</v>
      </c>
      <c r="Q408" s="2">
        <v>0</v>
      </c>
      <c r="R408" s="2">
        <v>63</v>
      </c>
      <c r="S408" s="2">
        <v>4</v>
      </c>
      <c r="T408" s="2">
        <v>142</v>
      </c>
      <c r="U408" s="2">
        <f t="shared" si="32"/>
        <v>209</v>
      </c>
      <c r="V408" s="2">
        <v>802</v>
      </c>
      <c r="W408" s="2">
        <v>6064</v>
      </c>
      <c r="X408" s="2">
        <f t="shared" si="33"/>
        <v>6064</v>
      </c>
      <c r="Y408" s="2">
        <v>3491</v>
      </c>
      <c r="Z408" t="str" cm="1">
        <f t="array" ref="Z408">_xlfn.IFS(OR(R408&gt;66, S408&gt;38), "High Engagement", OR(AND(R408&gt;32, R408&lt;=66), AND(S408&gt;19, S408&lt;=38)), "Medium-High Engagement", OR(AND(R408&gt;4, R408&lt;=32), AND(S408&gt;6, S408&lt;=19)),"Medium Engagement", TRUE, "Low Engagement"
)</f>
        <v>Medium-High Engagement</v>
      </c>
      <c r="AA408">
        <f t="shared" si="34"/>
        <v>0.57569261213720313</v>
      </c>
    </row>
    <row r="409" spans="1:27" x14ac:dyDescent="0.35">
      <c r="A409" s="2">
        <v>8378563200</v>
      </c>
      <c r="B409" s="2" t="s">
        <v>90</v>
      </c>
      <c r="C409" s="2">
        <f>VLOOKUP(user_activity!A440,users_details!$A$1:$G$34,5,0)</f>
        <v>33</v>
      </c>
      <c r="D409" s="2" t="str" cm="1">
        <f t="array" ref="D409">_xlfn.IFS( AND(C409&gt;=18, C409&lt;=25), "Emerging Adults",  AND(C409&gt;=26, C409&lt;=35),  "Young Adults",  AND(C409&gt;=36, C409&lt;=45),  "Midlife Adults",  AND(C409&gt;=46, C409&lt;=55), "Mature Adults", C409&gt;=56,  "Older Adults", TRUE, "Age Not Mentioned")</f>
        <v>Young Adults</v>
      </c>
      <c r="E409" s="2" t="str">
        <f>VLOOKUP(user_activity!A440,users_details!$A$1:$G$34,6,0)</f>
        <v>Harlem, Manhattan</v>
      </c>
      <c r="F409" s="2" t="str">
        <f>VLOOKUP(user_activity!A440,users_details!$A$1:$G$34,7,0)</f>
        <v>Harlem</v>
      </c>
      <c r="G409" s="2" t="s">
        <v>72</v>
      </c>
      <c r="H409" s="7">
        <v>42480</v>
      </c>
      <c r="I409" s="9" t="str">
        <f t="shared" si="30"/>
        <v>Wednesday</v>
      </c>
      <c r="J409" s="9" t="str">
        <f t="shared" si="31"/>
        <v>April</v>
      </c>
      <c r="K409" s="2">
        <v>7.4400000569999998</v>
      </c>
      <c r="L409" s="2">
        <v>7.4400000569999998</v>
      </c>
      <c r="M409" s="2">
        <v>2.0921471120000001</v>
      </c>
      <c r="N409" s="2">
        <v>2.2300000190000002</v>
      </c>
      <c r="O409" s="2">
        <v>0.439999998</v>
      </c>
      <c r="P409" s="2">
        <v>4.7800002099999999</v>
      </c>
      <c r="Q409" s="2">
        <v>0</v>
      </c>
      <c r="R409" s="2">
        <v>82</v>
      </c>
      <c r="S409" s="2">
        <v>8</v>
      </c>
      <c r="T409" s="2">
        <v>169</v>
      </c>
      <c r="U409" s="2">
        <f t="shared" si="32"/>
        <v>259</v>
      </c>
      <c r="V409" s="2">
        <v>763</v>
      </c>
      <c r="W409" s="2">
        <v>9388</v>
      </c>
      <c r="X409" s="2">
        <f t="shared" si="33"/>
        <v>9388</v>
      </c>
      <c r="Y409" s="2">
        <v>3787</v>
      </c>
      <c r="Z409" t="str" cm="1">
        <f t="array" ref="Z409">_xlfn.IFS(OR(R409&gt;66, S409&gt;38), "High Engagement", OR(AND(R409&gt;32, R409&lt;=66), AND(S409&gt;19, S409&lt;=38)), "Medium-High Engagement", OR(AND(R409&gt;4, R409&lt;=32), AND(S409&gt;6, S409&lt;=19)),"Medium Engagement", TRUE, "Low Engagement"
)</f>
        <v>High Engagement</v>
      </c>
      <c r="AA409">
        <f t="shared" si="34"/>
        <v>0.40338730293992331</v>
      </c>
    </row>
    <row r="410" spans="1:27" x14ac:dyDescent="0.35">
      <c r="A410" s="2">
        <v>2873212765</v>
      </c>
      <c r="B410" s="2" t="s">
        <v>78</v>
      </c>
      <c r="C410" s="2">
        <f>VLOOKUP(user_activity!A480,users_details!$A$1:$G$34,5,0)</f>
        <v>33</v>
      </c>
      <c r="D410" s="2" t="str" cm="1">
        <f t="array" ref="D410">_xlfn.IFS( AND(C410&gt;=18, C410&lt;=25), "Emerging Adults",  AND(C410&gt;=26, C410&lt;=35),  "Young Adults",  AND(C410&gt;=36, C410&lt;=45),  "Midlife Adults",  AND(C410&gt;=46, C410&lt;=55), "Mature Adults", C410&gt;=56,  "Older Adults", TRUE, "Age Not Mentioned")</f>
        <v>Young Adults</v>
      </c>
      <c r="E410" s="2" t="str">
        <f>VLOOKUP(user_activity!A480,users_details!$A$1:$G$34,6,0)</f>
        <v>Greenpoint, Brooklyn</v>
      </c>
      <c r="F410" s="2" t="str">
        <f>VLOOKUP(user_activity!A480,users_details!$A$1:$G$34,7,0)</f>
        <v>Greenpoint</v>
      </c>
      <c r="G410" s="2" t="s">
        <v>71</v>
      </c>
      <c r="H410" s="7">
        <v>42374</v>
      </c>
      <c r="I410" s="9" t="str">
        <f t="shared" si="30"/>
        <v>Tuesday</v>
      </c>
      <c r="J410" s="9" t="str">
        <f t="shared" si="31"/>
        <v>January</v>
      </c>
      <c r="K410" s="2">
        <v>4.9699997900000001</v>
      </c>
      <c r="L410" s="2">
        <v>4.9699997900000001</v>
      </c>
      <c r="M410" s="2">
        <v>0</v>
      </c>
      <c r="N410" s="2">
        <v>0.49000000999999999</v>
      </c>
      <c r="O410" s="2">
        <v>1.039999962</v>
      </c>
      <c r="P410" s="2">
        <v>3.4400000569999998</v>
      </c>
      <c r="Q410" s="2">
        <v>0</v>
      </c>
      <c r="R410" s="2">
        <v>7</v>
      </c>
      <c r="S410" s="2">
        <v>18</v>
      </c>
      <c r="T410" s="2">
        <v>196</v>
      </c>
      <c r="U410" s="2">
        <f t="shared" si="32"/>
        <v>221</v>
      </c>
      <c r="V410" s="2">
        <v>1219</v>
      </c>
      <c r="W410" s="2">
        <v>7399</v>
      </c>
      <c r="X410" s="2">
        <f t="shared" si="33"/>
        <v>7399</v>
      </c>
      <c r="Y410" s="2">
        <v>1739</v>
      </c>
      <c r="Z410" t="str" cm="1">
        <f t="array" ref="Z410">_xlfn.IFS(OR(R410&gt;66, S410&gt;38), "High Engagement", OR(AND(R410&gt;32, R410&lt;=66), AND(S410&gt;19, S410&lt;=38)), "Medium-High Engagement", OR(AND(R410&gt;4, R410&lt;=32), AND(S410&gt;6, S410&lt;=19)),"Medium Engagement", TRUE, "Low Engagement"
)</f>
        <v>Medium Engagement</v>
      </c>
      <c r="AA410">
        <f t="shared" si="34"/>
        <v>0.23503176104879037</v>
      </c>
    </row>
    <row r="411" spans="1:27" x14ac:dyDescent="0.35">
      <c r="A411" s="2">
        <v>2873212765</v>
      </c>
      <c r="B411" s="2" t="s">
        <v>78</v>
      </c>
      <c r="C411" s="2">
        <f>VLOOKUP(user_activity!A490,users_details!$A$1:$G$34,5,0)</f>
        <v>33</v>
      </c>
      <c r="D411" s="2" t="str" cm="1">
        <f t="array" ref="D411">_xlfn.IFS( AND(C411&gt;=18, C411&lt;=25), "Emerging Adults",  AND(C411&gt;=26, C411&lt;=35),  "Young Adults",  AND(C411&gt;=36, C411&lt;=45),  "Midlife Adults",  AND(C411&gt;=46, C411&lt;=55), "Mature Adults", C411&gt;=56,  "Older Adults", TRUE, "Age Not Mentioned")</f>
        <v>Young Adults</v>
      </c>
      <c r="E411" s="2" t="str">
        <f>VLOOKUP(user_activity!A490,users_details!$A$1:$G$34,6,0)</f>
        <v>Harlem, Manhattan</v>
      </c>
      <c r="F411" s="2" t="str">
        <f>VLOOKUP(user_activity!A490,users_details!$A$1:$G$34,7,0)</f>
        <v>Harlem</v>
      </c>
      <c r="G411" s="2" t="s">
        <v>71</v>
      </c>
      <c r="H411" s="7">
        <v>42484</v>
      </c>
      <c r="I411" s="9" t="str">
        <f t="shared" si="30"/>
        <v>Sunday</v>
      </c>
      <c r="J411" s="9" t="str">
        <f t="shared" si="31"/>
        <v>April</v>
      </c>
      <c r="K411" s="2">
        <v>4.6799998279999997</v>
      </c>
      <c r="L411" s="2">
        <v>4.6799998279999997</v>
      </c>
      <c r="M411" s="2">
        <v>0</v>
      </c>
      <c r="N411" s="2">
        <v>3</v>
      </c>
      <c r="O411" s="2">
        <v>5.9999998999999998E-2</v>
      </c>
      <c r="P411" s="2">
        <v>1.6200000050000001</v>
      </c>
      <c r="Q411" s="2">
        <v>0</v>
      </c>
      <c r="R411" s="2">
        <v>46</v>
      </c>
      <c r="S411" s="2">
        <v>1</v>
      </c>
      <c r="T411" s="2">
        <v>190</v>
      </c>
      <c r="U411" s="2">
        <f t="shared" si="32"/>
        <v>237</v>
      </c>
      <c r="V411" s="2">
        <v>1203</v>
      </c>
      <c r="W411" s="2">
        <v>6873</v>
      </c>
      <c r="X411" s="2">
        <f t="shared" si="33"/>
        <v>6873</v>
      </c>
      <c r="Y411" s="2">
        <v>1898</v>
      </c>
      <c r="Z411" t="str" cm="1">
        <f t="array" ref="Z411">_xlfn.IFS(OR(R411&gt;66, S411&gt;38), "High Engagement", OR(AND(R411&gt;32, R411&lt;=66), AND(S411&gt;19, S411&lt;=38)), "Medium-High Engagement", OR(AND(R411&gt;4, R411&lt;=32), AND(S411&gt;6, S411&lt;=19)),"Medium Engagement", TRUE, "Low Engagement"
)</f>
        <v>Medium-High Engagement</v>
      </c>
      <c r="AA411">
        <f t="shared" si="34"/>
        <v>0.27615306270915174</v>
      </c>
    </row>
    <row r="412" spans="1:27" x14ac:dyDescent="0.35">
      <c r="A412" s="2">
        <v>2873212765</v>
      </c>
      <c r="B412" s="2" t="s">
        <v>78</v>
      </c>
      <c r="C412" s="2">
        <f>VLOOKUP(user_activity!A496,users_details!$A$1:$G$34,5,0)</f>
        <v>36</v>
      </c>
      <c r="D412" s="2" t="str" cm="1">
        <f t="array" ref="D412">_xlfn.IFS( AND(C412&gt;=18, C412&lt;=25), "Emerging Adults",  AND(C412&gt;=26, C412&lt;=35),  "Young Adults",  AND(C412&gt;=36, C412&lt;=45),  "Midlife Adults",  AND(C412&gt;=46, C412&lt;=55), "Mature Adults", C412&gt;=56,  "Older Adults", TRUE, "Age Not Mentioned")</f>
        <v>Midlife Adults</v>
      </c>
      <c r="E412" s="2" t="str">
        <f>VLOOKUP(user_activity!A496,users_details!$A$1:$G$34,6,0)</f>
        <v>Williamsburg, Brooklyn</v>
      </c>
      <c r="F412" s="2" t="str">
        <f>VLOOKUP(user_activity!A496,users_details!$A$1:$G$34,7,0)</f>
        <v>Williamsburg</v>
      </c>
      <c r="G412" s="2" t="s">
        <v>71</v>
      </c>
      <c r="H412" s="7">
        <v>42478</v>
      </c>
      <c r="I412" s="9" t="str">
        <f t="shared" si="30"/>
        <v>Monday</v>
      </c>
      <c r="J412" s="9" t="str">
        <f t="shared" si="31"/>
        <v>April</v>
      </c>
      <c r="K412" s="2">
        <v>5.2399997709999999</v>
      </c>
      <c r="L412" s="2">
        <v>5.2399997709999999</v>
      </c>
      <c r="M412" s="2">
        <v>0</v>
      </c>
      <c r="N412" s="2">
        <v>7.0000000000000007E-2</v>
      </c>
      <c r="O412" s="2">
        <v>0.280000001</v>
      </c>
      <c r="P412" s="2">
        <v>4.8899998660000001</v>
      </c>
      <c r="Q412" s="2">
        <v>0</v>
      </c>
      <c r="R412" s="2">
        <v>1</v>
      </c>
      <c r="S412" s="2">
        <v>6</v>
      </c>
      <c r="T412" s="2">
        <v>311</v>
      </c>
      <c r="U412" s="2">
        <f t="shared" si="32"/>
        <v>318</v>
      </c>
      <c r="V412" s="2">
        <v>1122</v>
      </c>
      <c r="W412" s="2">
        <v>7762</v>
      </c>
      <c r="X412" s="2">
        <f t="shared" si="33"/>
        <v>7762</v>
      </c>
      <c r="Y412" s="2">
        <v>1890</v>
      </c>
      <c r="Z412" t="str" cm="1">
        <f t="array" ref="Z412">_xlfn.IFS(OR(R412&gt;66, S412&gt;38), "High Engagement", OR(AND(R412&gt;32, R412&lt;=66), AND(S412&gt;19, S412&lt;=38)), "Medium-High Engagement", OR(AND(R412&gt;4, R412&lt;=32), AND(S412&gt;6, S412&lt;=19)),"Medium Engagement", TRUE, "Low Engagement"
)</f>
        <v>Low Engagement</v>
      </c>
      <c r="AA412">
        <f t="shared" si="34"/>
        <v>0.24349394485957226</v>
      </c>
    </row>
    <row r="413" spans="1:27" x14ac:dyDescent="0.35">
      <c r="A413" s="2">
        <v>2873212765</v>
      </c>
      <c r="B413" s="2" t="s">
        <v>78</v>
      </c>
      <c r="C413" s="2">
        <f>VLOOKUP(user_activity!A506,users_details!$A$1:$G$34,5,0)</f>
        <v>36</v>
      </c>
      <c r="D413" s="2" t="str" cm="1">
        <f t="array" ref="D413">_xlfn.IFS( AND(C413&gt;=18, C413&lt;=25), "Emerging Adults",  AND(C413&gt;=26, C413&lt;=35),  "Young Adults",  AND(C413&gt;=36, C413&lt;=45),  "Midlife Adults",  AND(C413&gt;=46, C413&lt;=55), "Mature Adults", C413&gt;=56,  "Older Adults", TRUE, "Age Not Mentioned")</f>
        <v>Midlife Adults</v>
      </c>
      <c r="E413" s="2" t="str">
        <f>VLOOKUP(user_activity!A506,users_details!$A$1:$G$34,6,0)</f>
        <v>Williamsburg, Brooklyn</v>
      </c>
      <c r="F413" s="2" t="str">
        <f>VLOOKUP(user_activity!A506,users_details!$A$1:$G$34,7,0)</f>
        <v>Williamsburg</v>
      </c>
      <c r="G413" s="2" t="s">
        <v>71</v>
      </c>
      <c r="H413" s="7">
        <v>42526</v>
      </c>
      <c r="I413" s="9" t="str">
        <f t="shared" si="30"/>
        <v>Sunday</v>
      </c>
      <c r="J413" s="9" t="str">
        <f t="shared" si="31"/>
        <v>June</v>
      </c>
      <c r="K413" s="2">
        <v>4.75</v>
      </c>
      <c r="L413" s="2">
        <v>4.75</v>
      </c>
      <c r="M413" s="2">
        <v>0</v>
      </c>
      <c r="N413" s="2">
        <v>0</v>
      </c>
      <c r="O413" s="2">
        <v>0.119999997</v>
      </c>
      <c r="P413" s="2">
        <v>4.6100001339999999</v>
      </c>
      <c r="Q413" s="2">
        <v>0.01</v>
      </c>
      <c r="R413" s="2">
        <v>0</v>
      </c>
      <c r="S413" s="2">
        <v>5</v>
      </c>
      <c r="T413" s="2">
        <v>370</v>
      </c>
      <c r="U413" s="2">
        <f t="shared" si="32"/>
        <v>375</v>
      </c>
      <c r="V413" s="2">
        <v>1065</v>
      </c>
      <c r="W413" s="2">
        <v>7063</v>
      </c>
      <c r="X413" s="2">
        <f t="shared" si="33"/>
        <v>7063</v>
      </c>
      <c r="Y413" s="2">
        <v>1910</v>
      </c>
      <c r="Z413" t="str" cm="1">
        <f t="array" ref="Z413">_xlfn.IFS(OR(R413&gt;66, S413&gt;38), "High Engagement", OR(AND(R413&gt;32, R413&lt;=66), AND(S413&gt;19, S413&lt;=38)), "Medium-High Engagement", OR(AND(R413&gt;4, R413&lt;=32), AND(S413&gt;6, S413&lt;=19)),"Medium Engagement", TRUE, "Low Engagement"
)</f>
        <v>Low Engagement</v>
      </c>
      <c r="AA413">
        <f t="shared" si="34"/>
        <v>0.27042333286139036</v>
      </c>
    </row>
    <row r="414" spans="1:27" x14ac:dyDescent="0.35">
      <c r="A414" s="2">
        <v>2873212765</v>
      </c>
      <c r="B414" s="2" t="s">
        <v>78</v>
      </c>
      <c r="C414" s="2">
        <f>VLOOKUP(user_activity!A523,users_details!$A$1:$G$34,5,0)</f>
        <v>36</v>
      </c>
      <c r="D414" s="2" t="str" cm="1">
        <f t="array" ref="D414">_xlfn.IFS( AND(C414&gt;=18, C414&lt;=25), "Emerging Adults",  AND(C414&gt;=26, C414&lt;=35),  "Young Adults",  AND(C414&gt;=36, C414&lt;=45),  "Midlife Adults",  AND(C414&gt;=46, C414&lt;=55), "Mature Adults", C414&gt;=56,  "Older Adults", TRUE, "Age Not Mentioned")</f>
        <v>Midlife Adults</v>
      </c>
      <c r="E414" s="2" t="str">
        <f>VLOOKUP(user_activity!A523,users_details!$A$1:$G$34,6,0)</f>
        <v>Williamsburg, Brooklyn</v>
      </c>
      <c r="F414" s="2" t="str">
        <f>VLOOKUP(user_activity!A523,users_details!$A$1:$G$34,7,0)</f>
        <v>Williamsburg</v>
      </c>
      <c r="G414" s="2" t="s">
        <v>71</v>
      </c>
      <c r="H414" s="7">
        <v>42475</v>
      </c>
      <c r="I414" s="9" t="str">
        <f t="shared" si="30"/>
        <v>Friday</v>
      </c>
      <c r="J414" s="9" t="str">
        <f t="shared" si="31"/>
        <v>April</v>
      </c>
      <c r="K414" s="2">
        <v>5.6999998090000004</v>
      </c>
      <c r="L414" s="2">
        <v>5.6999998090000004</v>
      </c>
      <c r="M414" s="2">
        <v>0</v>
      </c>
      <c r="N414" s="2">
        <v>0</v>
      </c>
      <c r="O414" s="2">
        <v>0</v>
      </c>
      <c r="P414" s="2">
        <v>5.6900000569999998</v>
      </c>
      <c r="Q414" s="2">
        <v>0.01</v>
      </c>
      <c r="R414" s="2">
        <v>0</v>
      </c>
      <c r="S414" s="2">
        <v>0</v>
      </c>
      <c r="T414" s="2">
        <v>448</v>
      </c>
      <c r="U414" s="2">
        <f t="shared" si="32"/>
        <v>448</v>
      </c>
      <c r="V414" s="2">
        <v>992</v>
      </c>
      <c r="W414" s="2">
        <v>8482</v>
      </c>
      <c r="X414" s="2">
        <f t="shared" si="33"/>
        <v>8482</v>
      </c>
      <c r="Y414" s="2">
        <v>2063</v>
      </c>
      <c r="Z414" t="str" cm="1">
        <f t="array" ref="Z414">_xlfn.IFS(OR(R414&gt;66, S414&gt;38), "High Engagement", OR(AND(R414&gt;32, R414&lt;=66), AND(S414&gt;19, S414&lt;=38)), "Medium-High Engagement", OR(AND(R414&gt;4, R414&lt;=32), AND(S414&gt;6, S414&lt;=19)),"Medium Engagement", TRUE, "Low Engagement"
)</f>
        <v>Low Engagement</v>
      </c>
      <c r="AA414">
        <f t="shared" si="34"/>
        <v>0.24322093845791087</v>
      </c>
    </row>
    <row r="415" spans="1:27" x14ac:dyDescent="0.35">
      <c r="A415" s="2">
        <v>2873212765</v>
      </c>
      <c r="B415" s="2" t="s">
        <v>78</v>
      </c>
      <c r="C415" s="2">
        <f>VLOOKUP(user_activity!A562,users_details!$A$1:$G$34,5,0)</f>
        <v>38</v>
      </c>
      <c r="D415" s="2" t="str" cm="1">
        <f t="array" ref="D415">_xlfn.IFS( AND(C415&gt;=18, C415&lt;=25), "Emerging Adults",  AND(C415&gt;=26, C415&lt;=35),  "Young Adults",  AND(C415&gt;=36, C415&lt;=45),  "Midlife Adults",  AND(C415&gt;=46, C415&lt;=55), "Mature Adults", C415&gt;=56,  "Older Adults", TRUE, "Age Not Mentioned")</f>
        <v>Midlife Adults</v>
      </c>
      <c r="E415" s="2" t="str">
        <f>VLOOKUP(user_activity!A562,users_details!$A$1:$G$34,6,0)</f>
        <v>East Harlem, Manhattan</v>
      </c>
      <c r="F415" s="2" t="str">
        <f>VLOOKUP(user_activity!A562,users_details!$A$1:$G$34,7,0)</f>
        <v>East Harlem</v>
      </c>
      <c r="G415" s="2" t="s">
        <v>71</v>
      </c>
      <c r="H415" s="7">
        <v>42465</v>
      </c>
      <c r="I415" s="9" t="str">
        <f t="shared" si="30"/>
        <v>Tuesday</v>
      </c>
      <c r="J415" s="9" t="str">
        <f t="shared" si="31"/>
        <v>April</v>
      </c>
      <c r="K415" s="2">
        <v>5.5599999430000002</v>
      </c>
      <c r="L415" s="2">
        <v>5.5599999430000002</v>
      </c>
      <c r="M415" s="2">
        <v>0</v>
      </c>
      <c r="N415" s="2">
        <v>0</v>
      </c>
      <c r="O415" s="2">
        <v>0</v>
      </c>
      <c r="P415" s="2">
        <v>5.5599999430000002</v>
      </c>
      <c r="Q415" s="2">
        <v>0</v>
      </c>
      <c r="R415" s="2">
        <v>0</v>
      </c>
      <c r="S415" s="2">
        <v>0</v>
      </c>
      <c r="T415" s="2">
        <v>420</v>
      </c>
      <c r="U415" s="2">
        <f t="shared" si="32"/>
        <v>420</v>
      </c>
      <c r="V415" s="2">
        <v>1020</v>
      </c>
      <c r="W415" s="2">
        <v>8278</v>
      </c>
      <c r="X415" s="2">
        <f t="shared" si="33"/>
        <v>8278</v>
      </c>
      <c r="Y415" s="2">
        <v>2015</v>
      </c>
      <c r="Z415" t="str" cm="1">
        <f t="array" ref="Z415">_xlfn.IFS(OR(R415&gt;66, S415&gt;38), "High Engagement", OR(AND(R415&gt;32, R415&lt;=66), AND(S415&gt;19, S415&lt;=38)), "Medium-High Engagement", OR(AND(R415&gt;4, R415&lt;=32), AND(S415&gt;6, S415&lt;=19)),"Medium Engagement", TRUE, "Low Engagement"
)</f>
        <v>Low Engagement</v>
      </c>
      <c r="AA415">
        <f t="shared" si="34"/>
        <v>0.24341628412660063</v>
      </c>
    </row>
    <row r="416" spans="1:27" x14ac:dyDescent="0.35">
      <c r="A416" s="2">
        <v>2873212765</v>
      </c>
      <c r="B416" s="2" t="s">
        <v>78</v>
      </c>
      <c r="C416" s="2">
        <f>VLOOKUP(user_activity!A595,users_details!$A$1:$G$34,5,0)</f>
        <v>39</v>
      </c>
      <c r="D416" s="2" t="str" cm="1">
        <f t="array" ref="D416">_xlfn.IFS( AND(C416&gt;=18, C416&lt;=25), "Emerging Adults",  AND(C416&gt;=26, C416&lt;=35),  "Young Adults",  AND(C416&gt;=36, C416&lt;=45),  "Midlife Adults",  AND(C416&gt;=46, C416&lt;=55), "Mature Adults", C416&gt;=56,  "Older Adults", TRUE, "Age Not Mentioned")</f>
        <v>Midlife Adults</v>
      </c>
      <c r="E416" s="2" t="str">
        <f>VLOOKUP(user_activity!A595,users_details!$A$1:$G$34,6,0)</f>
        <v>East Village, Manhattan</v>
      </c>
      <c r="F416" s="2" t="str">
        <f>VLOOKUP(user_activity!A595,users_details!$A$1:$G$34,7,0)</f>
        <v>East Village</v>
      </c>
      <c r="G416" s="2" t="s">
        <v>71</v>
      </c>
      <c r="H416" s="7">
        <v>42490</v>
      </c>
      <c r="I416" s="9" t="str">
        <f t="shared" si="30"/>
        <v>Saturday</v>
      </c>
      <c r="J416" s="9" t="str">
        <f t="shared" si="31"/>
        <v>April</v>
      </c>
      <c r="K416" s="2">
        <v>5.6799998279999997</v>
      </c>
      <c r="L416" s="2">
        <v>5.6799998279999997</v>
      </c>
      <c r="M416" s="2">
        <v>0</v>
      </c>
      <c r="N416" s="2">
        <v>0.33000001299999998</v>
      </c>
      <c r="O416" s="2">
        <v>1.0800000430000001</v>
      </c>
      <c r="P416" s="2">
        <v>4.2600002290000001</v>
      </c>
      <c r="Q416" s="2">
        <v>0.01</v>
      </c>
      <c r="R416" s="2">
        <v>5</v>
      </c>
      <c r="S416" s="2">
        <v>20</v>
      </c>
      <c r="T416" s="2">
        <v>248</v>
      </c>
      <c r="U416" s="2">
        <f t="shared" si="32"/>
        <v>273</v>
      </c>
      <c r="V416" s="2">
        <v>1167</v>
      </c>
      <c r="W416" s="2">
        <v>8452</v>
      </c>
      <c r="X416" s="2">
        <f t="shared" si="33"/>
        <v>8452</v>
      </c>
      <c r="Y416" s="2">
        <v>1830</v>
      </c>
      <c r="Z416" t="str" cm="1">
        <f t="array" ref="Z416">_xlfn.IFS(OR(R416&gt;66, S416&gt;38), "High Engagement", OR(AND(R416&gt;32, R416&lt;=66), AND(S416&gt;19, S416&lt;=38)), "Medium-High Engagement", OR(AND(R416&gt;4, R416&lt;=32), AND(S416&gt;6, S416&lt;=19)),"Medium Engagement", TRUE, "Low Engagement"
)</f>
        <v>Medium-High Engagement</v>
      </c>
      <c r="AA416">
        <f t="shared" si="34"/>
        <v>0.21651680075721721</v>
      </c>
    </row>
    <row r="417" spans="1:27" x14ac:dyDescent="0.35">
      <c r="A417" s="2">
        <v>8378563200</v>
      </c>
      <c r="B417" s="2" t="s">
        <v>90</v>
      </c>
      <c r="C417" s="2">
        <f>VLOOKUP(user_activity!A660,users_details!$A$1:$G$34,5,0)</f>
        <v>45</v>
      </c>
      <c r="D417" s="2" t="str" cm="1">
        <f t="array" ref="D417">_xlfn.IFS( AND(C417&gt;=18, C417&lt;=25), "Emerging Adults",  AND(C417&gt;=26, C417&lt;=35),  "Young Adults",  AND(C417&gt;=36, C417&lt;=45),  "Midlife Adults",  AND(C417&gt;=46, C417&lt;=55), "Mature Adults", C417&gt;=56,  "Older Adults", TRUE, "Age Not Mentioned")</f>
        <v>Midlife Adults</v>
      </c>
      <c r="E417" s="2" t="str">
        <f>VLOOKUP(user_activity!A660,users_details!$A$1:$G$34,6,0)</f>
        <v>Harlem, Manhattan</v>
      </c>
      <c r="F417" s="2" t="str">
        <f>VLOOKUP(user_activity!A660,users_details!$A$1:$G$34,7,0)</f>
        <v>Harlem</v>
      </c>
      <c r="G417" s="2" t="s">
        <v>72</v>
      </c>
      <c r="H417" s="7">
        <v>42487</v>
      </c>
      <c r="I417" s="9" t="str">
        <f t="shared" si="30"/>
        <v>Wednesday</v>
      </c>
      <c r="J417" s="9" t="str">
        <f t="shared" si="31"/>
        <v>April</v>
      </c>
      <c r="K417" s="2">
        <v>5.8400001530000001</v>
      </c>
      <c r="L417" s="2">
        <v>5.8400001530000001</v>
      </c>
      <c r="M417" s="2">
        <v>0</v>
      </c>
      <c r="N417" s="2">
        <v>0.33000001299999998</v>
      </c>
      <c r="O417" s="2">
        <v>0.18000000699999999</v>
      </c>
      <c r="P417" s="2">
        <v>5.329999924</v>
      </c>
      <c r="Q417" s="2">
        <v>0</v>
      </c>
      <c r="R417" s="2">
        <v>4</v>
      </c>
      <c r="S417" s="2">
        <v>4</v>
      </c>
      <c r="T417" s="2">
        <v>192</v>
      </c>
      <c r="U417" s="2">
        <f t="shared" si="32"/>
        <v>200</v>
      </c>
      <c r="V417" s="2">
        <v>676</v>
      </c>
      <c r="W417" s="2">
        <v>7359</v>
      </c>
      <c r="X417" s="2">
        <f t="shared" si="33"/>
        <v>7359</v>
      </c>
      <c r="Y417" s="2">
        <v>3061</v>
      </c>
      <c r="Z417" t="str" cm="1">
        <f t="array" ref="Z417">_xlfn.IFS(OR(R417&gt;66, S417&gt;38), "High Engagement", OR(AND(R417&gt;32, R417&lt;=66), AND(S417&gt;19, S417&lt;=38)), "Medium-High Engagement", OR(AND(R417&gt;4, R417&lt;=32), AND(S417&gt;6, S417&lt;=19)),"Medium Engagement", TRUE, "Low Engagement"
)</f>
        <v>Low Engagement</v>
      </c>
      <c r="AA417">
        <f t="shared" si="34"/>
        <v>0.41595325451827692</v>
      </c>
    </row>
    <row r="418" spans="1:27" x14ac:dyDescent="0.35">
      <c r="A418" s="2">
        <v>8378563200</v>
      </c>
      <c r="B418" s="2" t="s">
        <v>90</v>
      </c>
      <c r="C418" s="2">
        <f>VLOOKUP(user_activity!A666,users_details!$A$1:$G$34,5,0)</f>
        <v>49</v>
      </c>
      <c r="D418" s="2" t="str" cm="1">
        <f t="array" ref="D418">_xlfn.IFS( AND(C418&gt;=18, C418&lt;=25), "Emerging Adults",  AND(C418&gt;=26, C418&lt;=35),  "Young Adults",  AND(C418&gt;=36, C418&lt;=45),  "Midlife Adults",  AND(C418&gt;=46, C418&lt;=55), "Mature Adults", C418&gt;=56,  "Older Adults", TRUE, "Age Not Mentioned")</f>
        <v>Mature Adults</v>
      </c>
      <c r="E418" s="2" t="str">
        <f>VLOOKUP(user_activity!A666,users_details!$A$1:$G$34,6,0)</f>
        <v>Upper West Side, Manhattan</v>
      </c>
      <c r="F418" s="2" t="str">
        <f>VLOOKUP(user_activity!A666,users_details!$A$1:$G$34,7,0)</f>
        <v>Upper West Side</v>
      </c>
      <c r="G418" s="2" t="s">
        <v>72</v>
      </c>
      <c r="H418" s="7">
        <v>42490</v>
      </c>
      <c r="I418" s="9" t="str">
        <f t="shared" si="30"/>
        <v>Saturday</v>
      </c>
      <c r="J418" s="9" t="str">
        <f t="shared" si="31"/>
        <v>April</v>
      </c>
      <c r="K418" s="2">
        <v>2.3399999139999998</v>
      </c>
      <c r="L418" s="2">
        <v>2.3399999139999998</v>
      </c>
      <c r="M418" s="2">
        <v>0</v>
      </c>
      <c r="N418" s="2">
        <v>0</v>
      </c>
      <c r="O418" s="2">
        <v>0</v>
      </c>
      <c r="P418" s="2">
        <v>2.3399999139999998</v>
      </c>
      <c r="Q418" s="2">
        <v>0</v>
      </c>
      <c r="R418" s="2">
        <v>0</v>
      </c>
      <c r="S418" s="2">
        <v>0</v>
      </c>
      <c r="T418" s="2">
        <v>121</v>
      </c>
      <c r="U418" s="2">
        <f t="shared" si="32"/>
        <v>121</v>
      </c>
      <c r="V418" s="2">
        <v>780</v>
      </c>
      <c r="W418" s="2">
        <v>2946</v>
      </c>
      <c r="X418" s="2">
        <f t="shared" si="33"/>
        <v>2946</v>
      </c>
      <c r="Y418" s="2">
        <v>2660</v>
      </c>
      <c r="Z418" t="str" cm="1">
        <f t="array" ref="Z418">_xlfn.IFS(OR(R418&gt;66, S418&gt;38), "High Engagement", OR(AND(R418&gt;32, R418&lt;=66), AND(S418&gt;19, S418&lt;=38)), "Medium-High Engagement", OR(AND(R418&gt;4, R418&lt;=32), AND(S418&gt;6, S418&lt;=19)),"Medium Engagement", TRUE, "Low Engagement"
)</f>
        <v>Low Engagement</v>
      </c>
      <c r="AA418">
        <f t="shared" si="34"/>
        <v>0.90291921249151397</v>
      </c>
    </row>
    <row r="419" spans="1:27" x14ac:dyDescent="0.35">
      <c r="A419" s="2">
        <v>2873212765</v>
      </c>
      <c r="B419" s="2" t="s">
        <v>78</v>
      </c>
      <c r="C419" s="2">
        <f>VLOOKUP(user_activity!A681,users_details!$A$1:$G$34,5,0)</f>
        <v>49</v>
      </c>
      <c r="D419" s="2" t="str" cm="1">
        <f t="array" ref="D419">_xlfn.IFS( AND(C419&gt;=18, C419&lt;=25), "Emerging Adults",  AND(C419&gt;=26, C419&lt;=35),  "Young Adults",  AND(C419&gt;=36, C419&lt;=45),  "Midlife Adults",  AND(C419&gt;=46, C419&lt;=55), "Mature Adults", C419&gt;=56,  "Older Adults", TRUE, "Age Not Mentioned")</f>
        <v>Mature Adults</v>
      </c>
      <c r="E419" s="2" t="str">
        <f>VLOOKUP(user_activity!A681,users_details!$A$1:$G$34,6,0)</f>
        <v>Upper West Side, Manhattan</v>
      </c>
      <c r="F419" s="2" t="str">
        <f>VLOOKUP(user_activity!A681,users_details!$A$1:$G$34,7,0)</f>
        <v>Upper West Side</v>
      </c>
      <c r="G419" s="2" t="s">
        <v>71</v>
      </c>
      <c r="H419" s="7">
        <v>42486</v>
      </c>
      <c r="I419" s="9" t="str">
        <f t="shared" si="30"/>
        <v>Tuesday</v>
      </c>
      <c r="J419" s="9" t="str">
        <f t="shared" si="31"/>
        <v>April</v>
      </c>
      <c r="K419" s="2">
        <v>5.5399999619999996</v>
      </c>
      <c r="L419" s="2">
        <v>5.5399999619999996</v>
      </c>
      <c r="M419" s="2">
        <v>0</v>
      </c>
      <c r="N419" s="2">
        <v>0.119999997</v>
      </c>
      <c r="O419" s="2">
        <v>0.18000000699999999</v>
      </c>
      <c r="P419" s="2">
        <v>5.2399997709999999</v>
      </c>
      <c r="Q419" s="2">
        <v>0</v>
      </c>
      <c r="R419" s="2">
        <v>2</v>
      </c>
      <c r="S419" s="2">
        <v>5</v>
      </c>
      <c r="T419" s="2">
        <v>309</v>
      </c>
      <c r="U419" s="2">
        <f t="shared" si="32"/>
        <v>316</v>
      </c>
      <c r="V419" s="2">
        <v>1124</v>
      </c>
      <c r="W419" s="2">
        <v>8242</v>
      </c>
      <c r="X419" s="2">
        <f t="shared" si="33"/>
        <v>8242</v>
      </c>
      <c r="Y419" s="2">
        <v>1882</v>
      </c>
      <c r="Z419" t="str" cm="1">
        <f t="array" ref="Z419">_xlfn.IFS(OR(R419&gt;66, S419&gt;38), "High Engagement", OR(AND(R419&gt;32, R419&lt;=66), AND(S419&gt;19, S419&lt;=38)), "Medium-High Engagement", OR(AND(R419&gt;4, R419&lt;=32), AND(S419&gt;6, S419&lt;=19)),"Medium Engagement", TRUE, "Low Engagement"
)</f>
        <v>Low Engagement</v>
      </c>
      <c r="AA419">
        <f t="shared" si="34"/>
        <v>0.22834263528269838</v>
      </c>
    </row>
    <row r="420" spans="1:27" x14ac:dyDescent="0.35">
      <c r="A420" s="2">
        <v>2873212765</v>
      </c>
      <c r="B420" s="2" t="s">
        <v>78</v>
      </c>
      <c r="C420" s="2">
        <f>VLOOKUP(user_activity!A682,users_details!$A$1:$G$34,5,0)</f>
        <v>49</v>
      </c>
      <c r="D420" s="2" t="str" cm="1">
        <f t="array" ref="D420">_xlfn.IFS( AND(C420&gt;=18, C420&lt;=25), "Emerging Adults",  AND(C420&gt;=26, C420&lt;=35),  "Young Adults",  AND(C420&gt;=36, C420&lt;=45),  "Midlife Adults",  AND(C420&gt;=46, C420&lt;=55), "Mature Adults", C420&gt;=56,  "Older Adults", TRUE, "Age Not Mentioned")</f>
        <v>Mature Adults</v>
      </c>
      <c r="E420" s="2" t="str">
        <f>VLOOKUP(user_activity!A682,users_details!$A$1:$G$34,6,0)</f>
        <v>Upper West Side, Manhattan</v>
      </c>
      <c r="F420" s="2" t="str">
        <f>VLOOKUP(user_activity!A682,users_details!$A$1:$G$34,7,0)</f>
        <v>Upper West Side</v>
      </c>
      <c r="G420" s="2" t="s">
        <v>71</v>
      </c>
      <c r="H420" s="7">
        <v>42648</v>
      </c>
      <c r="I420" s="9" t="str">
        <f t="shared" si="30"/>
        <v>Wednesday</v>
      </c>
      <c r="J420" s="9" t="str">
        <f t="shared" si="31"/>
        <v>October</v>
      </c>
      <c r="K420" s="2">
        <v>5.5599999430000002</v>
      </c>
      <c r="L420" s="2">
        <v>5.5599999430000002</v>
      </c>
      <c r="M420" s="2">
        <v>0</v>
      </c>
      <c r="N420" s="2">
        <v>0</v>
      </c>
      <c r="O420" s="2">
        <v>0</v>
      </c>
      <c r="P420" s="2">
        <v>5.5500001909999996</v>
      </c>
      <c r="Q420" s="2">
        <v>0.01</v>
      </c>
      <c r="R420" s="2">
        <v>0</v>
      </c>
      <c r="S420" s="2">
        <v>0</v>
      </c>
      <c r="T420" s="2">
        <v>373</v>
      </c>
      <c r="U420" s="2">
        <f t="shared" si="32"/>
        <v>373</v>
      </c>
      <c r="V420" s="2">
        <v>1067</v>
      </c>
      <c r="W420" s="2">
        <v>8275</v>
      </c>
      <c r="X420" s="2">
        <f t="shared" si="33"/>
        <v>8275</v>
      </c>
      <c r="Y420" s="2">
        <v>1962</v>
      </c>
      <c r="Z420" t="str" cm="1">
        <f t="array" ref="Z420">_xlfn.IFS(OR(R420&gt;66, S420&gt;38), "High Engagement", OR(AND(R420&gt;32, R420&lt;=66), AND(S420&gt;19, S420&lt;=38)), "Medium-High Engagement", OR(AND(R420&gt;4, R420&lt;=32), AND(S420&gt;6, S420&lt;=19)),"Medium Engagement", TRUE, "Low Engagement"
)</f>
        <v>Low Engagement</v>
      </c>
      <c r="AA420">
        <f t="shared" si="34"/>
        <v>0.23709969788519639</v>
      </c>
    </row>
    <row r="421" spans="1:27" x14ac:dyDescent="0.35">
      <c r="A421" s="2">
        <v>8378563200</v>
      </c>
      <c r="B421" s="2" t="s">
        <v>90</v>
      </c>
      <c r="C421" s="2">
        <f>VLOOKUP(user_activity!A692,users_details!$A$1:$G$34,5,0)</f>
        <v>49</v>
      </c>
      <c r="D421" s="2" t="str" cm="1">
        <f t="array" ref="D421">_xlfn.IFS( AND(C421&gt;=18, C421&lt;=25), "Emerging Adults",  AND(C421&gt;=26, C421&lt;=35),  "Young Adults",  AND(C421&gt;=36, C421&lt;=45),  "Midlife Adults",  AND(C421&gt;=46, C421&lt;=55), "Mature Adults", C421&gt;=56,  "Older Adults", TRUE, "Age Not Mentioned")</f>
        <v>Mature Adults</v>
      </c>
      <c r="E421" s="2" t="str">
        <f>VLOOKUP(user_activity!A692,users_details!$A$1:$G$34,6,0)</f>
        <v>Upper West Side, Manhattan</v>
      </c>
      <c r="F421" s="2" t="str">
        <f>VLOOKUP(user_activity!A692,users_details!$A$1:$G$34,7,0)</f>
        <v>Upper West Side</v>
      </c>
      <c r="G421" s="2" t="s">
        <v>72</v>
      </c>
      <c r="H421" s="7">
        <v>42486</v>
      </c>
      <c r="I421" s="9" t="str">
        <f t="shared" si="30"/>
        <v>Tuesday</v>
      </c>
      <c r="J421" s="9" t="str">
        <f t="shared" si="31"/>
        <v>April</v>
      </c>
      <c r="K421" s="2">
        <v>12.850000380000001</v>
      </c>
      <c r="L421" s="2">
        <v>12.850000380000001</v>
      </c>
      <c r="M421" s="2">
        <v>0</v>
      </c>
      <c r="N421" s="2">
        <v>7.5100002290000001</v>
      </c>
      <c r="O421" s="2">
        <v>0.920000017</v>
      </c>
      <c r="P421" s="2">
        <v>4.420000076</v>
      </c>
      <c r="Q421" s="2">
        <v>0</v>
      </c>
      <c r="R421" s="2">
        <v>90</v>
      </c>
      <c r="S421" s="2">
        <v>18</v>
      </c>
      <c r="T421" s="2">
        <v>161</v>
      </c>
      <c r="U421" s="2">
        <f t="shared" si="32"/>
        <v>269</v>
      </c>
      <c r="V421" s="2">
        <v>593</v>
      </c>
      <c r="W421" s="2">
        <v>16208</v>
      </c>
      <c r="X421" s="2">
        <f t="shared" si="33"/>
        <v>16208</v>
      </c>
      <c r="Y421" s="2">
        <v>3763</v>
      </c>
      <c r="Z421" t="str" cm="1">
        <f t="array" ref="Z421">_xlfn.IFS(OR(R421&gt;66, S421&gt;38), "High Engagement", OR(AND(R421&gt;32, R421&lt;=66), AND(S421&gt;19, S421&lt;=38)), "Medium-High Engagement", OR(AND(R421&gt;4, R421&lt;=32), AND(S421&gt;6, S421&lt;=19)),"Medium Engagement", TRUE, "Low Engagement"
)</f>
        <v>High Engagement</v>
      </c>
      <c r="AA421">
        <f t="shared" si="34"/>
        <v>0.23216929911154985</v>
      </c>
    </row>
    <row r="422" spans="1:27" x14ac:dyDescent="0.35">
      <c r="A422" s="2">
        <v>2873212765</v>
      </c>
      <c r="B422" s="2" t="s">
        <v>78</v>
      </c>
      <c r="C422" s="2">
        <f>VLOOKUP(user_activity!A711,users_details!$A$1:$G$34,5,0)</f>
        <v>53</v>
      </c>
      <c r="D422" s="2" t="str" cm="1">
        <f t="array" ref="D422">_xlfn.IFS( AND(C422&gt;=18, C422&lt;=25), "Emerging Adults",  AND(C422&gt;=26, C422&lt;=35),  "Young Adults",  AND(C422&gt;=36, C422&lt;=45),  "Midlife Adults",  AND(C422&gt;=46, C422&lt;=55), "Mature Adults", C422&gt;=56,  "Older Adults", TRUE, "Age Not Mentioned")</f>
        <v>Mature Adults</v>
      </c>
      <c r="E422" s="2" t="str">
        <f>VLOOKUP(user_activity!A711,users_details!$A$1:$G$34,6,0)</f>
        <v>Harlem, Manhattan</v>
      </c>
      <c r="F422" s="2" t="str">
        <f>VLOOKUP(user_activity!A711,users_details!$A$1:$G$34,7,0)</f>
        <v>Harlem</v>
      </c>
      <c r="G422" s="2" t="s">
        <v>71</v>
      </c>
      <c r="H422" s="7">
        <v>42474</v>
      </c>
      <c r="I422" s="9" t="str">
        <f t="shared" si="30"/>
        <v>Thursday</v>
      </c>
      <c r="J422" s="9" t="str">
        <f t="shared" si="31"/>
        <v>April</v>
      </c>
      <c r="K422" s="2">
        <v>5.3200001720000003</v>
      </c>
      <c r="L422" s="2">
        <v>5.3200001720000003</v>
      </c>
      <c r="M422" s="2">
        <v>0</v>
      </c>
      <c r="N422" s="2">
        <v>0</v>
      </c>
      <c r="O422" s="2">
        <v>0</v>
      </c>
      <c r="P422" s="2">
        <v>5.3200001720000003</v>
      </c>
      <c r="Q422" s="2">
        <v>0</v>
      </c>
      <c r="R422" s="2">
        <v>0</v>
      </c>
      <c r="S422" s="2">
        <v>0</v>
      </c>
      <c r="T422" s="2">
        <v>331</v>
      </c>
      <c r="U422" s="2">
        <f t="shared" si="32"/>
        <v>331</v>
      </c>
      <c r="V422" s="2">
        <v>1109</v>
      </c>
      <c r="W422" s="2">
        <v>7910</v>
      </c>
      <c r="X422" s="2">
        <f t="shared" si="33"/>
        <v>7910</v>
      </c>
      <c r="Y422" s="2">
        <v>1893</v>
      </c>
      <c r="Z422" t="str" cm="1">
        <f t="array" ref="Z422">_xlfn.IFS(OR(R422&gt;66, S422&gt;38), "High Engagement", OR(AND(R422&gt;32, R422&lt;=66), AND(S422&gt;19, S422&lt;=38)), "Medium-High Engagement", OR(AND(R422&gt;4, R422&lt;=32), AND(S422&gt;6, S422&lt;=19)),"Medium Engagement", TRUE, "Low Engagement"
)</f>
        <v>Low Engagement</v>
      </c>
      <c r="AA422">
        <f t="shared" si="34"/>
        <v>0.2393173198482933</v>
      </c>
    </row>
    <row r="423" spans="1:27" x14ac:dyDescent="0.35">
      <c r="A423" s="2">
        <v>8378563200</v>
      </c>
      <c r="B423" s="2" t="s">
        <v>90</v>
      </c>
      <c r="C423" s="2">
        <f>VLOOKUP(user_activity!A730,users_details!$A$1:$G$34,5,0)</f>
        <v>53</v>
      </c>
      <c r="D423" s="2" t="str" cm="1">
        <f t="array" ref="D423">_xlfn.IFS( AND(C423&gt;=18, C423&lt;=25), "Emerging Adults",  AND(C423&gt;=26, C423&lt;=35),  "Young Adults",  AND(C423&gt;=36, C423&lt;=45),  "Midlife Adults",  AND(C423&gt;=46, C423&lt;=55), "Mature Adults", C423&gt;=56,  "Older Adults", TRUE, "Age Not Mentioned")</f>
        <v>Mature Adults</v>
      </c>
      <c r="E423" s="2" t="str">
        <f>VLOOKUP(user_activity!A730,users_details!$A$1:$G$34,6,0)</f>
        <v>Harlem, Manhattan</v>
      </c>
      <c r="F423" s="2" t="str">
        <f>VLOOKUP(user_activity!A730,users_details!$A$1:$G$34,7,0)</f>
        <v>Harlem</v>
      </c>
      <c r="G423" s="2" t="s">
        <v>72</v>
      </c>
      <c r="H423" s="7">
        <v>42526</v>
      </c>
      <c r="I423" s="9" t="str">
        <f t="shared" si="30"/>
        <v>Sunday</v>
      </c>
      <c r="J423" s="9" t="str">
        <f t="shared" si="31"/>
        <v>June</v>
      </c>
      <c r="K423" s="2">
        <v>5.5900001530000001</v>
      </c>
      <c r="L423" s="2">
        <v>5.5900001530000001</v>
      </c>
      <c r="M423" s="2">
        <v>2.0921471120000001</v>
      </c>
      <c r="N423" s="2">
        <v>1.5499999520000001</v>
      </c>
      <c r="O423" s="2">
        <v>0.25</v>
      </c>
      <c r="P423" s="2">
        <v>3.7799999710000001</v>
      </c>
      <c r="Q423" s="2">
        <v>0</v>
      </c>
      <c r="R423" s="2">
        <v>74</v>
      </c>
      <c r="S423" s="2">
        <v>5</v>
      </c>
      <c r="T423" s="2">
        <v>166</v>
      </c>
      <c r="U423" s="2">
        <f t="shared" si="32"/>
        <v>245</v>
      </c>
      <c r="V423" s="2">
        <v>831</v>
      </c>
      <c r="W423" s="2">
        <v>7045</v>
      </c>
      <c r="X423" s="2">
        <f t="shared" si="33"/>
        <v>7045</v>
      </c>
      <c r="Y423" s="2">
        <v>3644</v>
      </c>
      <c r="Z423" t="str" cm="1">
        <f t="array" ref="Z423">_xlfn.IFS(OR(R423&gt;66, S423&gt;38), "High Engagement", OR(AND(R423&gt;32, R423&lt;=66), AND(S423&gt;19, S423&lt;=38)), "Medium-High Engagement", OR(AND(R423&gt;4, R423&lt;=32), AND(S423&gt;6, S423&lt;=19)),"Medium Engagement", TRUE, "Low Engagement"
)</f>
        <v>High Engagement</v>
      </c>
      <c r="AA423">
        <f t="shared" si="34"/>
        <v>0.51724627395315825</v>
      </c>
    </row>
    <row r="424" spans="1:27" x14ac:dyDescent="0.35">
      <c r="A424" s="2">
        <v>2873212765</v>
      </c>
      <c r="B424" s="2" t="s">
        <v>78</v>
      </c>
      <c r="C424" s="2">
        <f>VLOOKUP(user_activity!A736,users_details!$A$1:$G$34,5,0)</f>
        <v>53</v>
      </c>
      <c r="D424" s="2" t="str" cm="1">
        <f t="array" ref="D424">_xlfn.IFS( AND(C424&gt;=18, C424&lt;=25), "Emerging Adults",  AND(C424&gt;=26, C424&lt;=35),  "Young Adults",  AND(C424&gt;=36, C424&lt;=45),  "Midlife Adults",  AND(C424&gt;=46, C424&lt;=55), "Mature Adults", C424&gt;=56,  "Older Adults", TRUE, "Age Not Mentioned")</f>
        <v>Mature Adults</v>
      </c>
      <c r="E424" s="2" t="str">
        <f>VLOOKUP(user_activity!A736,users_details!$A$1:$G$34,6,0)</f>
        <v>Harlem, Manhattan</v>
      </c>
      <c r="F424" s="2" t="str">
        <f>VLOOKUP(user_activity!A736,users_details!$A$1:$G$34,7,0)</f>
        <v>Harlem</v>
      </c>
      <c r="G424" s="2" t="s">
        <v>71</v>
      </c>
      <c r="H424" s="7">
        <v>42489</v>
      </c>
      <c r="I424" s="9" t="str">
        <f t="shared" si="30"/>
        <v>Friday</v>
      </c>
      <c r="J424" s="9" t="str">
        <f t="shared" si="31"/>
        <v>April</v>
      </c>
      <c r="K424" s="2">
        <v>4.9499998090000004</v>
      </c>
      <c r="L424" s="2">
        <v>4.9499998090000004</v>
      </c>
      <c r="M424" s="2">
        <v>0</v>
      </c>
      <c r="N424" s="2">
        <v>1.3600000139999999</v>
      </c>
      <c r="O424" s="2">
        <v>1.4099999670000001</v>
      </c>
      <c r="P424" s="2">
        <v>2.1800000669999999</v>
      </c>
      <c r="Q424" s="2">
        <v>0</v>
      </c>
      <c r="R424" s="2">
        <v>20</v>
      </c>
      <c r="S424" s="2">
        <v>23</v>
      </c>
      <c r="T424" s="2">
        <v>206</v>
      </c>
      <c r="U424" s="2">
        <f t="shared" si="32"/>
        <v>249</v>
      </c>
      <c r="V424" s="2">
        <v>1191</v>
      </c>
      <c r="W424" s="2">
        <v>7365</v>
      </c>
      <c r="X424" s="2">
        <f t="shared" si="33"/>
        <v>7365</v>
      </c>
      <c r="Y424" s="2">
        <v>1780</v>
      </c>
      <c r="Z424" t="str" cm="1">
        <f t="array" ref="Z424">_xlfn.IFS(OR(R424&gt;66, S424&gt;38), "High Engagement", OR(AND(R424&gt;32, R424&lt;=66), AND(S424&gt;19, S424&lt;=38)), "Medium-High Engagement", OR(AND(R424&gt;4, R424&lt;=32), AND(S424&gt;6, S424&lt;=19)),"Medium Engagement", TRUE, "Low Engagement"
)</f>
        <v>Medium-High Engagement</v>
      </c>
      <c r="AA424">
        <f t="shared" si="34"/>
        <v>0.241683638832315</v>
      </c>
    </row>
    <row r="425" spans="1:27" x14ac:dyDescent="0.35">
      <c r="A425" s="2">
        <v>8378563200</v>
      </c>
      <c r="B425" s="2" t="s">
        <v>90</v>
      </c>
      <c r="C425" s="2">
        <f>VLOOKUP(user_activity!A748,users_details!$A$1:$G$34,5,0)</f>
        <v>53</v>
      </c>
      <c r="D425" s="2" t="str" cm="1">
        <f t="array" ref="D425">_xlfn.IFS( AND(C425&gt;=18, C425&lt;=25), "Emerging Adults",  AND(C425&gt;=26, C425&lt;=35),  "Young Adults",  AND(C425&gt;=36, C425&lt;=45),  "Midlife Adults",  AND(C425&gt;=46, C425&lt;=55), "Mature Adults", C425&gt;=56,  "Older Adults", TRUE, "Age Not Mentioned")</f>
        <v>Mature Adults</v>
      </c>
      <c r="E425" s="2" t="str">
        <f>VLOOKUP(user_activity!A748,users_details!$A$1:$G$34,6,0)</f>
        <v>Harlem, Manhattan</v>
      </c>
      <c r="F425" s="2" t="str">
        <f>VLOOKUP(user_activity!A748,users_details!$A$1:$G$34,7,0)</f>
        <v>Harlem</v>
      </c>
      <c r="G425" s="2" t="s">
        <v>72</v>
      </c>
      <c r="H425" s="7">
        <v>42709</v>
      </c>
      <c r="I425" s="9" t="str">
        <f t="shared" si="30"/>
        <v>Monday</v>
      </c>
      <c r="J425" s="9" t="str">
        <f t="shared" si="31"/>
        <v>December</v>
      </c>
      <c r="K425" s="2">
        <v>3.619999886</v>
      </c>
      <c r="L425" s="2">
        <v>3.619999886</v>
      </c>
      <c r="M425" s="2">
        <v>0</v>
      </c>
      <c r="N425" s="2">
        <v>0.64999997600000003</v>
      </c>
      <c r="O425" s="2">
        <v>0.27000001099999998</v>
      </c>
      <c r="P425" s="2">
        <v>2.6900000569999998</v>
      </c>
      <c r="Q425" s="2">
        <v>0</v>
      </c>
      <c r="R425" s="2">
        <v>8</v>
      </c>
      <c r="S425" s="2">
        <v>6</v>
      </c>
      <c r="T425" s="2">
        <v>102</v>
      </c>
      <c r="U425" s="2">
        <f t="shared" si="32"/>
        <v>116</v>
      </c>
      <c r="V425" s="2">
        <v>433</v>
      </c>
      <c r="W425" s="2">
        <v>4561</v>
      </c>
      <c r="X425" s="2">
        <f t="shared" si="33"/>
        <v>4561</v>
      </c>
      <c r="Y425" s="2">
        <v>1976</v>
      </c>
      <c r="Z425" t="str" cm="1">
        <f t="array" ref="Z425">_xlfn.IFS(OR(R425&gt;66, S425&gt;38), "High Engagement", OR(AND(R425&gt;32, R425&lt;=66), AND(S425&gt;19, S425&lt;=38)), "Medium-High Engagement", OR(AND(R425&gt;4, R425&lt;=32), AND(S425&gt;6, S425&lt;=19)),"Medium Engagement", TRUE, "Low Engagement"
)</f>
        <v>Medium Engagement</v>
      </c>
      <c r="AA425">
        <f t="shared" si="34"/>
        <v>0.4332383249287437</v>
      </c>
    </row>
    <row r="426" spans="1:27" x14ac:dyDescent="0.35">
      <c r="A426" s="2">
        <v>8378563200</v>
      </c>
      <c r="B426" s="2" t="s">
        <v>90</v>
      </c>
      <c r="C426" s="2">
        <f>VLOOKUP(user_activity!A765,users_details!$A$1:$G$34,5,0)</f>
        <v>53</v>
      </c>
      <c r="D426" s="2" t="str" cm="1">
        <f t="array" ref="D426">_xlfn.IFS( AND(C426&gt;=18, C426&lt;=25), "Emerging Adults",  AND(C426&gt;=26, C426&lt;=35),  "Young Adults",  AND(C426&gt;=36, C426&lt;=45),  "Midlife Adults",  AND(C426&gt;=46, C426&lt;=55), "Mature Adults", C426&gt;=56,  "Older Adults", TRUE, "Age Not Mentioned")</f>
        <v>Mature Adults</v>
      </c>
      <c r="E426" s="2" t="str">
        <f>VLOOKUP(user_activity!A765,users_details!$A$1:$G$34,6,0)</f>
        <v>Harlem, Manhattan</v>
      </c>
      <c r="F426" s="2" t="str">
        <f>VLOOKUP(user_activity!A765,users_details!$A$1:$G$34,7,0)</f>
        <v>Harlem</v>
      </c>
      <c r="G426" s="2" t="s">
        <v>72</v>
      </c>
      <c r="H426" s="7">
        <v>42488</v>
      </c>
      <c r="I426" s="9" t="str">
        <f t="shared" si="30"/>
        <v>Thursday</v>
      </c>
      <c r="J426" s="9" t="str">
        <f t="shared" si="31"/>
        <v>April</v>
      </c>
      <c r="K426" s="2">
        <v>4.3000001909999996</v>
      </c>
      <c r="L426" s="2">
        <v>4.3000001909999996</v>
      </c>
      <c r="M426" s="2">
        <v>0</v>
      </c>
      <c r="N426" s="2">
        <v>0.89999997600000003</v>
      </c>
      <c r="O426" s="2">
        <v>0.49000000999999999</v>
      </c>
      <c r="P426" s="2">
        <v>2.9100000860000002</v>
      </c>
      <c r="Q426" s="2">
        <v>0</v>
      </c>
      <c r="R426" s="2">
        <v>11</v>
      </c>
      <c r="S426" s="2">
        <v>10</v>
      </c>
      <c r="T426" s="2">
        <v>139</v>
      </c>
      <c r="U426" s="2">
        <f t="shared" si="32"/>
        <v>160</v>
      </c>
      <c r="V426" s="2">
        <v>711</v>
      </c>
      <c r="W426" s="2">
        <v>5417</v>
      </c>
      <c r="X426" s="2">
        <f t="shared" si="33"/>
        <v>5417</v>
      </c>
      <c r="Y426" s="2">
        <v>2884</v>
      </c>
      <c r="Z426" t="str" cm="1">
        <f t="array" ref="Z426">_xlfn.IFS(OR(R426&gt;66, S426&gt;38), "High Engagement", OR(AND(R426&gt;32, R426&lt;=66), AND(S426&gt;19, S426&lt;=38)), "Medium-High Engagement", OR(AND(R426&gt;4, R426&lt;=32), AND(S426&gt;6, S426&lt;=19)),"Medium Engagement", TRUE, "Low Engagement"
)</f>
        <v>Medium Engagement</v>
      </c>
      <c r="AA426">
        <f t="shared" si="34"/>
        <v>0.53239800627653688</v>
      </c>
    </row>
    <row r="427" spans="1:27" x14ac:dyDescent="0.35">
      <c r="A427" s="2">
        <v>8378563200</v>
      </c>
      <c r="B427" s="2" t="s">
        <v>90</v>
      </c>
      <c r="C427" s="2">
        <f>VLOOKUP(user_activity!A778,users_details!$A$1:$G$34,5,0)</f>
        <v>53</v>
      </c>
      <c r="D427" s="2" t="str" cm="1">
        <f t="array" ref="D427">_xlfn.IFS( AND(C427&gt;=18, C427&lt;=25), "Emerging Adults",  AND(C427&gt;=26, C427&lt;=35),  "Young Adults",  AND(C427&gt;=36, C427&lt;=45),  "Midlife Adults",  AND(C427&gt;=46, C427&lt;=55), "Mature Adults", C427&gt;=56,  "Older Adults", TRUE, "Age Not Mentioned")</f>
        <v>Mature Adults</v>
      </c>
      <c r="E427" s="2" t="str">
        <f>VLOOKUP(user_activity!A778,users_details!$A$1:$G$34,6,0)</f>
        <v>Harlem, Manhattan</v>
      </c>
      <c r="F427" s="2" t="str">
        <f>VLOOKUP(user_activity!A778,users_details!$A$1:$G$34,7,0)</f>
        <v>Harlem</v>
      </c>
      <c r="G427" s="2" t="s">
        <v>72</v>
      </c>
      <c r="H427" s="7">
        <v>42477</v>
      </c>
      <c r="I427" s="9" t="str">
        <f t="shared" si="30"/>
        <v>Sunday</v>
      </c>
      <c r="J427" s="9" t="str">
        <f t="shared" si="31"/>
        <v>April</v>
      </c>
      <c r="K427" s="2">
        <v>1.690000057</v>
      </c>
      <c r="L427" s="2">
        <v>1.690000057</v>
      </c>
      <c r="M427" s="2">
        <v>0</v>
      </c>
      <c r="N427" s="2">
        <v>0</v>
      </c>
      <c r="O427" s="2">
        <v>0</v>
      </c>
      <c r="P427" s="2">
        <v>1.690000057</v>
      </c>
      <c r="Q427" s="2">
        <v>0</v>
      </c>
      <c r="R427" s="2">
        <v>0</v>
      </c>
      <c r="S427" s="2">
        <v>0</v>
      </c>
      <c r="T427" s="2">
        <v>93</v>
      </c>
      <c r="U427" s="2">
        <f t="shared" si="32"/>
        <v>93</v>
      </c>
      <c r="V427" s="2">
        <v>599</v>
      </c>
      <c r="W427" s="2">
        <v>2132</v>
      </c>
      <c r="X427" s="2">
        <f t="shared" si="33"/>
        <v>2132</v>
      </c>
      <c r="Y427" s="2">
        <v>2572</v>
      </c>
      <c r="Z427" t="str" cm="1">
        <f t="array" ref="Z427">_xlfn.IFS(OR(R427&gt;66, S427&gt;38), "High Engagement", OR(AND(R427&gt;32, R427&lt;=66), AND(S427&gt;19, S427&lt;=38)), "Medium-High Engagement", OR(AND(R427&gt;4, R427&lt;=32), AND(S427&gt;6, S427&lt;=19)),"Medium Engagement", TRUE, "Low Engagement"
)</f>
        <v>Low Engagement</v>
      </c>
      <c r="AA427">
        <f t="shared" si="34"/>
        <v>1.2063789868667918</v>
      </c>
    </row>
    <row r="428" spans="1:27" x14ac:dyDescent="0.35">
      <c r="A428" s="2">
        <v>8378563200</v>
      </c>
      <c r="B428" s="2" t="s">
        <v>90</v>
      </c>
      <c r="C428" s="2">
        <f>VLOOKUP(user_activity!A788,users_details!$A$1:$G$34,5,0)</f>
        <v>53</v>
      </c>
      <c r="D428" s="2" t="str" cm="1">
        <f t="array" ref="D428">_xlfn.IFS( AND(C428&gt;=18, C428&lt;=25), "Emerging Adults",  AND(C428&gt;=26, C428&lt;=35),  "Young Adults",  AND(C428&gt;=36, C428&lt;=45),  "Midlife Adults",  AND(C428&gt;=46, C428&lt;=55), "Mature Adults", C428&gt;=56,  "Older Adults", TRUE, "Age Not Mentioned")</f>
        <v>Mature Adults</v>
      </c>
      <c r="E428" s="2" t="str">
        <f>VLOOKUP(user_activity!A788,users_details!$A$1:$G$34,6,0)</f>
        <v>Williamsburg, Brooklyn</v>
      </c>
      <c r="F428" s="2" t="str">
        <f>VLOOKUP(user_activity!A788,users_details!$A$1:$G$34,7,0)</f>
        <v>Williamsburg</v>
      </c>
      <c r="G428" s="2" t="s">
        <v>72</v>
      </c>
      <c r="H428" s="7">
        <v>42495</v>
      </c>
      <c r="I428" s="9" t="str">
        <f t="shared" si="30"/>
        <v>Thursday</v>
      </c>
      <c r="J428" s="9" t="str">
        <f t="shared" si="31"/>
        <v>May</v>
      </c>
      <c r="K428" s="2">
        <v>6.7899999619999996</v>
      </c>
      <c r="L428" s="2">
        <v>6.7899999619999996</v>
      </c>
      <c r="M428" s="2">
        <v>2.2530810830000001</v>
      </c>
      <c r="N428" s="2">
        <v>0.88999998599999997</v>
      </c>
      <c r="O428" s="2">
        <v>0.15999999600000001</v>
      </c>
      <c r="P428" s="2">
        <v>5.7399997709999999</v>
      </c>
      <c r="Q428" s="2">
        <v>0</v>
      </c>
      <c r="R428" s="2">
        <v>66</v>
      </c>
      <c r="S428" s="2">
        <v>3</v>
      </c>
      <c r="T428" s="2">
        <v>214</v>
      </c>
      <c r="U428" s="2">
        <f t="shared" si="32"/>
        <v>283</v>
      </c>
      <c r="V428" s="2">
        <v>764</v>
      </c>
      <c r="W428" s="2">
        <v>8567</v>
      </c>
      <c r="X428" s="2">
        <f t="shared" si="33"/>
        <v>8567</v>
      </c>
      <c r="Y428" s="2">
        <v>3783</v>
      </c>
      <c r="Z428" t="str" cm="1">
        <f t="array" ref="Z428">_xlfn.IFS(OR(R428&gt;66, S428&gt;38), "High Engagement", OR(AND(R428&gt;32, R428&lt;=66), AND(S428&gt;19, S428&lt;=38)), "Medium-High Engagement", OR(AND(R428&gt;4, R428&lt;=32), AND(S428&gt;6, S428&lt;=19)),"Medium Engagement", TRUE, "Low Engagement"
)</f>
        <v>Medium-High Engagement</v>
      </c>
      <c r="AA428">
        <f t="shared" si="34"/>
        <v>0.44157814871016693</v>
      </c>
    </row>
    <row r="429" spans="1:27" x14ac:dyDescent="0.35">
      <c r="A429" s="2">
        <v>8378563200</v>
      </c>
      <c r="B429" s="2" t="s">
        <v>90</v>
      </c>
      <c r="C429" s="2">
        <f>VLOOKUP(user_activity!A805,users_details!$A$1:$G$34,5,0)</f>
        <v>54</v>
      </c>
      <c r="D429" s="2" t="str" cm="1">
        <f t="array" ref="D429">_xlfn.IFS( AND(C429&gt;=18, C429&lt;=25), "Emerging Adults",  AND(C429&gt;=26, C429&lt;=35),  "Young Adults",  AND(C429&gt;=36, C429&lt;=45),  "Midlife Adults",  AND(C429&gt;=46, C429&lt;=55), "Mature Adults", C429&gt;=56,  "Older Adults", TRUE, "Age Not Mentioned")</f>
        <v>Mature Adults</v>
      </c>
      <c r="E429" s="2" t="str">
        <f>VLOOKUP(user_activity!A805,users_details!$A$1:$G$34,6,0)</f>
        <v>Crown Heights, Brooklyn</v>
      </c>
      <c r="F429" s="2" t="str">
        <f>VLOOKUP(user_activity!A805,users_details!$A$1:$G$34,7,0)</f>
        <v>Crown Heights</v>
      </c>
      <c r="G429" s="2" t="s">
        <v>72</v>
      </c>
      <c r="H429" s="7">
        <v>42479</v>
      </c>
      <c r="I429" s="9" t="str">
        <f t="shared" si="30"/>
        <v>Tuesday</v>
      </c>
      <c r="J429" s="9" t="str">
        <f t="shared" si="31"/>
        <v>April</v>
      </c>
      <c r="K429" s="2">
        <v>10.35999966</v>
      </c>
      <c r="L429" s="2">
        <v>10.35999966</v>
      </c>
      <c r="M429" s="2">
        <v>2.2530810830000001</v>
      </c>
      <c r="N429" s="2">
        <v>5.3000001909999996</v>
      </c>
      <c r="O429" s="2">
        <v>0.87999999500000003</v>
      </c>
      <c r="P429" s="2">
        <v>4.1799998279999997</v>
      </c>
      <c r="Q429" s="2">
        <v>0</v>
      </c>
      <c r="R429" s="2">
        <v>120</v>
      </c>
      <c r="S429" s="2">
        <v>19</v>
      </c>
      <c r="T429" s="2">
        <v>154</v>
      </c>
      <c r="U429" s="2">
        <f t="shared" si="32"/>
        <v>293</v>
      </c>
      <c r="V429" s="2">
        <v>737</v>
      </c>
      <c r="W429" s="2">
        <v>13070</v>
      </c>
      <c r="X429" s="2">
        <f t="shared" si="33"/>
        <v>13070</v>
      </c>
      <c r="Y429" s="2">
        <v>4092</v>
      </c>
      <c r="Z429" t="str" cm="1">
        <f t="array" ref="Z429">_xlfn.IFS(OR(R429&gt;66, S429&gt;38), "High Engagement", OR(AND(R429&gt;32, R429&lt;=66), AND(S429&gt;19, S429&lt;=38)), "Medium-High Engagement", OR(AND(R429&gt;4, R429&lt;=32), AND(S429&gt;6, S429&lt;=19)),"Medium Engagement", TRUE, "Low Engagement"
)</f>
        <v>High Engagement</v>
      </c>
      <c r="AA429">
        <f t="shared" si="34"/>
        <v>0.31308339709257843</v>
      </c>
    </row>
    <row r="430" spans="1:27" x14ac:dyDescent="0.35">
      <c r="A430" s="2">
        <v>2873212765</v>
      </c>
      <c r="B430" s="2" t="s">
        <v>78</v>
      </c>
      <c r="C430" s="2">
        <f>VLOOKUP(user_activity!A810,users_details!$A$1:$G$34,5,0)</f>
        <v>54</v>
      </c>
      <c r="D430" s="2" t="str" cm="1">
        <f t="array" ref="D430">_xlfn.IFS( AND(C430&gt;=18, C430&lt;=25), "Emerging Adults",  AND(C430&gt;=26, C430&lt;=35),  "Young Adults",  AND(C430&gt;=36, C430&lt;=45),  "Midlife Adults",  AND(C430&gt;=46, C430&lt;=55), "Mature Adults", C430&gt;=56,  "Older Adults", TRUE, "Age Not Mentioned")</f>
        <v>Mature Adults</v>
      </c>
      <c r="E430" s="2" t="str">
        <f>VLOOKUP(user_activity!A810,users_details!$A$1:$G$34,6,0)</f>
        <v>Crown Heights, Brooklyn</v>
      </c>
      <c r="F430" s="2" t="str">
        <f>VLOOKUP(user_activity!A810,users_details!$A$1:$G$34,7,0)</f>
        <v>Crown Heights</v>
      </c>
      <c r="G430" s="2" t="s">
        <v>71</v>
      </c>
      <c r="H430" s="7">
        <v>42495</v>
      </c>
      <c r="I430" s="9" t="str">
        <f t="shared" si="30"/>
        <v>Thursday</v>
      </c>
      <c r="J430" s="9" t="str">
        <f t="shared" si="31"/>
        <v>May</v>
      </c>
      <c r="K430" s="2">
        <v>5.6100001339999999</v>
      </c>
      <c r="L430" s="2">
        <v>5.6100001339999999</v>
      </c>
      <c r="M430" s="2">
        <v>0</v>
      </c>
      <c r="N430" s="2">
        <v>0.77999997099999996</v>
      </c>
      <c r="O430" s="2">
        <v>0.80000001200000004</v>
      </c>
      <c r="P430" s="2">
        <v>4.0300002099999999</v>
      </c>
      <c r="Q430" s="2">
        <v>0</v>
      </c>
      <c r="R430" s="2">
        <v>13</v>
      </c>
      <c r="S430" s="2">
        <v>23</v>
      </c>
      <c r="T430" s="2">
        <v>311</v>
      </c>
      <c r="U430" s="2">
        <f t="shared" si="32"/>
        <v>347</v>
      </c>
      <c r="V430" s="2">
        <v>1093</v>
      </c>
      <c r="W430" s="2">
        <v>8314</v>
      </c>
      <c r="X430" s="2">
        <f t="shared" si="33"/>
        <v>8314</v>
      </c>
      <c r="Y430" s="2">
        <v>1971</v>
      </c>
      <c r="Z430" t="str" cm="1">
        <f t="array" ref="Z430">_xlfn.IFS(OR(R430&gt;66, S430&gt;38), "High Engagement", OR(AND(R430&gt;32, R430&lt;=66), AND(S430&gt;19, S430&lt;=38)), "Medium-High Engagement", OR(AND(R430&gt;4, R430&lt;=32), AND(S430&gt;6, S430&lt;=19)),"Medium Engagement", TRUE, "Low Engagement"
)</f>
        <v>Medium-High Engagement</v>
      </c>
      <c r="AA430">
        <f t="shared" si="34"/>
        <v>0.23707000240558096</v>
      </c>
    </row>
    <row r="431" spans="1:27" x14ac:dyDescent="0.35">
      <c r="A431" s="2">
        <v>2873212765</v>
      </c>
      <c r="B431" s="2" t="s">
        <v>78</v>
      </c>
      <c r="C431" s="2">
        <f>VLOOKUP(user_activity!A839,users_details!$A$1:$G$34,5,0)</f>
        <v>56</v>
      </c>
      <c r="D431" s="2" t="str" cm="1">
        <f t="array" ref="D431">_xlfn.IFS( AND(C431&gt;=18, C431&lt;=25), "Emerging Adults",  AND(C431&gt;=26, C431&lt;=35),  "Young Adults",  AND(C431&gt;=36, C431&lt;=45),  "Midlife Adults",  AND(C431&gt;=46, C431&lt;=55), "Mature Adults", C431&gt;=56,  "Older Adults", TRUE, "Age Not Mentioned")</f>
        <v>Older Adults</v>
      </c>
      <c r="E431" s="2" t="str">
        <f>VLOOKUP(user_activity!A839,users_details!$A$1:$G$34,6,0)</f>
        <v>Flatbush, Brooklyn</v>
      </c>
      <c r="F431" s="2" t="str">
        <f>VLOOKUP(user_activity!A839,users_details!$A$1:$G$34,7,0)</f>
        <v>Flatbush</v>
      </c>
      <c r="G431" s="2" t="s">
        <v>71</v>
      </c>
      <c r="H431" s="7">
        <v>42709</v>
      </c>
      <c r="I431" s="9" t="str">
        <f t="shared" si="30"/>
        <v>Monday</v>
      </c>
      <c r="J431" s="9" t="str">
        <f t="shared" si="31"/>
        <v>December</v>
      </c>
      <c r="K431" s="2">
        <v>5.1100001339999999</v>
      </c>
      <c r="L431" s="2">
        <v>5.1100001339999999</v>
      </c>
      <c r="M431" s="2">
        <v>0</v>
      </c>
      <c r="N431" s="2">
        <v>0</v>
      </c>
      <c r="O431" s="2">
        <v>0</v>
      </c>
      <c r="P431" s="2">
        <v>5.1100001339999999</v>
      </c>
      <c r="Q431" s="2">
        <v>0</v>
      </c>
      <c r="R431" s="2">
        <v>0</v>
      </c>
      <c r="S431" s="2">
        <v>0</v>
      </c>
      <c r="T431" s="2">
        <v>268</v>
      </c>
      <c r="U431" s="2">
        <f t="shared" si="32"/>
        <v>268</v>
      </c>
      <c r="V431" s="2">
        <v>720</v>
      </c>
      <c r="W431" s="2">
        <v>7566</v>
      </c>
      <c r="X431" s="2">
        <f t="shared" si="33"/>
        <v>7566</v>
      </c>
      <c r="Y431" s="2">
        <v>1431</v>
      </c>
      <c r="Z431" t="str" cm="1">
        <f t="array" ref="Z431">_xlfn.IFS(OR(R431&gt;66, S431&gt;38), "High Engagement", OR(AND(R431&gt;32, R431&lt;=66), AND(S431&gt;19, S431&lt;=38)), "Medium-High Engagement", OR(AND(R431&gt;4, R431&lt;=32), AND(S431&gt;6, S431&lt;=19)),"Medium Engagement", TRUE, "Low Engagement"
)</f>
        <v>Low Engagement</v>
      </c>
      <c r="AA431">
        <f t="shared" si="34"/>
        <v>0.18913560666137985</v>
      </c>
    </row>
    <row r="432" spans="1:27" x14ac:dyDescent="0.35">
      <c r="A432" s="2">
        <v>2873212765</v>
      </c>
      <c r="B432" s="2" t="s">
        <v>78</v>
      </c>
      <c r="C432" s="2">
        <f>VLOOKUP(user_activity!A847,users_details!$A$1:$G$34,5,0)</f>
        <v>56</v>
      </c>
      <c r="D432" s="2" t="str" cm="1">
        <f t="array" ref="D432">_xlfn.IFS( AND(C432&gt;=18, C432&lt;=25), "Emerging Adults",  AND(C432&gt;=26, C432&lt;=35),  "Young Adults",  AND(C432&gt;=36, C432&lt;=45),  "Midlife Adults",  AND(C432&gt;=46, C432&lt;=55), "Mature Adults", C432&gt;=56,  "Older Adults", TRUE, "Age Not Mentioned")</f>
        <v>Older Adults</v>
      </c>
      <c r="E432" s="2" t="str">
        <f>VLOOKUP(user_activity!A847,users_details!$A$1:$G$34,6,0)</f>
        <v>Flatbush, Brooklyn</v>
      </c>
      <c r="F432" s="2" t="str">
        <f>VLOOKUP(user_activity!A847,users_details!$A$1:$G$34,7,0)</f>
        <v>Flatbush</v>
      </c>
      <c r="G432" s="2" t="s">
        <v>71</v>
      </c>
      <c r="H432" s="7">
        <v>42476</v>
      </c>
      <c r="I432" s="9" t="str">
        <f t="shared" si="30"/>
        <v>Saturday</v>
      </c>
      <c r="J432" s="9" t="str">
        <f t="shared" si="31"/>
        <v>April</v>
      </c>
      <c r="K432" s="2">
        <v>6.6500000950000002</v>
      </c>
      <c r="L432" s="2">
        <v>6.6500000950000002</v>
      </c>
      <c r="M432" s="2">
        <v>0</v>
      </c>
      <c r="N432" s="2">
        <v>3.1099998950000001</v>
      </c>
      <c r="O432" s="2">
        <v>0.02</v>
      </c>
      <c r="P432" s="2">
        <v>3.5099999899999998</v>
      </c>
      <c r="Q432" s="2">
        <v>0.01</v>
      </c>
      <c r="R432" s="2">
        <v>47</v>
      </c>
      <c r="S432" s="2">
        <v>1</v>
      </c>
      <c r="T432" s="2">
        <v>305</v>
      </c>
      <c r="U432" s="2">
        <f t="shared" si="32"/>
        <v>353</v>
      </c>
      <c r="V432" s="2">
        <v>1087</v>
      </c>
      <c r="W432" s="2">
        <v>9685</v>
      </c>
      <c r="X432" s="2">
        <f t="shared" si="33"/>
        <v>9685</v>
      </c>
      <c r="Y432" s="2">
        <v>2148</v>
      </c>
      <c r="Z432" t="str" cm="1">
        <f t="array" ref="Z432">_xlfn.IFS(OR(R432&gt;66, S432&gt;38), "High Engagement", OR(AND(R432&gt;32, R432&lt;=66), AND(S432&gt;19, S432&lt;=38)), "Medium-High Engagement", OR(AND(R432&gt;4, R432&lt;=32), AND(S432&gt;6, S432&lt;=19)),"Medium Engagement", TRUE, "Low Engagement"
)</f>
        <v>Medium-High Engagement</v>
      </c>
      <c r="AA432">
        <f t="shared" si="34"/>
        <v>0.22178626742385132</v>
      </c>
    </row>
    <row r="433" spans="1:27" x14ac:dyDescent="0.35">
      <c r="A433" s="2">
        <v>8378563200</v>
      </c>
      <c r="B433" s="2" t="s">
        <v>90</v>
      </c>
      <c r="C433" s="2">
        <f>VLOOKUP(user_activity!A855,users_details!$A$1:$G$34,5,0)</f>
        <v>58</v>
      </c>
      <c r="D433" s="2" t="str" cm="1">
        <f t="array" ref="D433">_xlfn.IFS( AND(C433&gt;=18, C433&lt;=25), "Emerging Adults",  AND(C433&gt;=26, C433&lt;=35),  "Young Adults",  AND(C433&gt;=36, C433&lt;=45),  "Midlife Adults",  AND(C433&gt;=46, C433&lt;=55), "Mature Adults", C433&gt;=56,  "Older Adults", TRUE, "Age Not Mentioned")</f>
        <v>Older Adults</v>
      </c>
      <c r="E433" s="2" t="str">
        <f>VLOOKUP(user_activity!A855,users_details!$A$1:$G$34,6,0)</f>
        <v>East Village, Manhattan</v>
      </c>
      <c r="F433" s="2" t="str">
        <f>VLOOKUP(user_activity!A855,users_details!$A$1:$G$34,7,0)</f>
        <v>East Village</v>
      </c>
      <c r="G433" s="2" t="s">
        <v>72</v>
      </c>
      <c r="H433" s="7">
        <v>42475</v>
      </c>
      <c r="I433" s="9" t="str">
        <f t="shared" si="30"/>
        <v>Friday</v>
      </c>
      <c r="J433" s="9" t="str">
        <f t="shared" si="31"/>
        <v>April</v>
      </c>
      <c r="K433" s="2">
        <v>11.47000027</v>
      </c>
      <c r="L433" s="2">
        <v>11.47000027</v>
      </c>
      <c r="M433" s="2">
        <v>0</v>
      </c>
      <c r="N433" s="2">
        <v>4.9099998469999999</v>
      </c>
      <c r="O433" s="2">
        <v>1.1499999759999999</v>
      </c>
      <c r="P433" s="2">
        <v>5.4099998469999999</v>
      </c>
      <c r="Q433" s="2">
        <v>0</v>
      </c>
      <c r="R433" s="2">
        <v>60</v>
      </c>
      <c r="S433" s="2">
        <v>23</v>
      </c>
      <c r="T433" s="2">
        <v>190</v>
      </c>
      <c r="U433" s="2">
        <f t="shared" si="32"/>
        <v>273</v>
      </c>
      <c r="V433" s="2">
        <v>729</v>
      </c>
      <c r="W433" s="2">
        <v>14461</v>
      </c>
      <c r="X433" s="2">
        <f t="shared" si="33"/>
        <v>14461</v>
      </c>
      <c r="Y433" s="2">
        <v>3666</v>
      </c>
      <c r="Z433" t="str" cm="1">
        <f t="array" ref="Z433">_xlfn.IFS(OR(R433&gt;66, S433&gt;38), "High Engagement", OR(AND(R433&gt;32, R433&lt;=66), AND(S433&gt;19, S433&lt;=38)), "Medium-High Engagement", OR(AND(R433&gt;4, R433&lt;=32), AND(S433&gt;6, S433&lt;=19)),"Medium Engagement", TRUE, "Low Engagement"
)</f>
        <v>Medium-High Engagement</v>
      </c>
      <c r="AA433">
        <f t="shared" si="34"/>
        <v>0.25350943918124613</v>
      </c>
    </row>
    <row r="434" spans="1:27" x14ac:dyDescent="0.35">
      <c r="A434" s="2">
        <v>2873212765</v>
      </c>
      <c r="B434" s="2" t="s">
        <v>78</v>
      </c>
      <c r="C434" s="2">
        <f>VLOOKUP(user_activity!A881,users_details!$A$1:$G$34,5,0)</f>
        <v>58</v>
      </c>
      <c r="D434" s="2" t="str" cm="1">
        <f t="array" ref="D434">_xlfn.IFS( AND(C434&gt;=18, C434&lt;=25), "Emerging Adults",  AND(C434&gt;=26, C434&lt;=35),  "Young Adults",  AND(C434&gt;=36, C434&lt;=45),  "Midlife Adults",  AND(C434&gt;=46, C434&lt;=55), "Mature Adults", C434&gt;=56,  "Older Adults", TRUE, "Age Not Mentioned")</f>
        <v>Older Adults</v>
      </c>
      <c r="E434" s="2" t="str">
        <f>VLOOKUP(user_activity!A881,users_details!$A$1:$G$34,6,0)</f>
        <v>East Village, Manhattan</v>
      </c>
      <c r="F434" s="2" t="str">
        <f>VLOOKUP(user_activity!A881,users_details!$A$1:$G$34,7,0)</f>
        <v>East Village</v>
      </c>
      <c r="G434" s="2" t="s">
        <v>71</v>
      </c>
      <c r="H434" s="7">
        <v>42480</v>
      </c>
      <c r="I434" s="9" t="str">
        <f t="shared" si="30"/>
        <v>Wednesday</v>
      </c>
      <c r="J434" s="9" t="str">
        <f t="shared" si="31"/>
        <v>April</v>
      </c>
      <c r="K434" s="2">
        <v>6.3000001909999996</v>
      </c>
      <c r="L434" s="2">
        <v>6.3000001909999996</v>
      </c>
      <c r="M434" s="2">
        <v>0</v>
      </c>
      <c r="N434" s="2">
        <v>1.5099999900000001</v>
      </c>
      <c r="O434" s="2">
        <v>0.119999997</v>
      </c>
      <c r="P434" s="2">
        <v>4.6599998469999999</v>
      </c>
      <c r="Q434" s="2">
        <v>0.01</v>
      </c>
      <c r="R434" s="2">
        <v>22</v>
      </c>
      <c r="S434" s="2">
        <v>5</v>
      </c>
      <c r="T434" s="2">
        <v>378</v>
      </c>
      <c r="U434" s="2">
        <f t="shared" si="32"/>
        <v>405</v>
      </c>
      <c r="V434" s="2">
        <v>1035</v>
      </c>
      <c r="W434" s="2">
        <v>9202</v>
      </c>
      <c r="X434" s="2">
        <f t="shared" si="33"/>
        <v>9202</v>
      </c>
      <c r="Y434" s="2">
        <v>2094</v>
      </c>
      <c r="Z434" t="str" cm="1">
        <f t="array" ref="Z434">_xlfn.IFS(OR(R434&gt;66, S434&gt;38), "High Engagement", OR(AND(R434&gt;32, R434&lt;=66), AND(S434&gt;19, S434&lt;=38)), "Medium-High Engagement", OR(AND(R434&gt;4, R434&lt;=32), AND(S434&gt;6, S434&lt;=19)),"Medium Engagement", TRUE, "Low Engagement"
)</f>
        <v>Medium Engagement</v>
      </c>
      <c r="AA434">
        <f t="shared" si="34"/>
        <v>0.22755922625516192</v>
      </c>
    </row>
    <row r="435" spans="1:27" x14ac:dyDescent="0.35">
      <c r="A435" s="2">
        <v>8378563200</v>
      </c>
      <c r="B435" s="2" t="s">
        <v>90</v>
      </c>
      <c r="C435" s="2">
        <f>VLOOKUP(user_activity!A883,users_details!$A$1:$G$34,5,0)</f>
        <v>59</v>
      </c>
      <c r="D435" s="2" t="str" cm="1">
        <f t="array" ref="D435">_xlfn.IFS( AND(C435&gt;=18, C435&lt;=25), "Emerging Adults",  AND(C435&gt;=26, C435&lt;=35),  "Young Adults",  AND(C435&gt;=36, C435&lt;=45),  "Midlife Adults",  AND(C435&gt;=46, C435&lt;=55), "Mature Adults", C435&gt;=56,  "Older Adults", TRUE, "Age Not Mentioned")</f>
        <v>Older Adults</v>
      </c>
      <c r="E435" s="2" t="str">
        <f>VLOOKUP(user_activity!A883,users_details!$A$1:$G$34,6,0)</f>
        <v>Upper West Side, Manhattan</v>
      </c>
      <c r="F435" s="2" t="str">
        <f>VLOOKUP(user_activity!A883,users_details!$A$1:$G$34,7,0)</f>
        <v>Upper West Side</v>
      </c>
      <c r="G435" s="2" t="s">
        <v>72</v>
      </c>
      <c r="H435" s="7">
        <v>42465</v>
      </c>
      <c r="I435" s="9" t="str">
        <f t="shared" si="30"/>
        <v>Tuesday</v>
      </c>
      <c r="J435" s="9" t="str">
        <f t="shared" si="31"/>
        <v>April</v>
      </c>
      <c r="K435" s="2">
        <v>6.2399997709999999</v>
      </c>
      <c r="L435" s="2">
        <v>6.2399997709999999</v>
      </c>
      <c r="M435" s="2">
        <v>0</v>
      </c>
      <c r="N435" s="2">
        <v>1.559999943</v>
      </c>
      <c r="O435" s="2">
        <v>0.49000000999999999</v>
      </c>
      <c r="P435" s="2">
        <v>4.1999998090000004</v>
      </c>
      <c r="Q435" s="2">
        <v>0</v>
      </c>
      <c r="R435" s="2">
        <v>19</v>
      </c>
      <c r="S435" s="2">
        <v>10</v>
      </c>
      <c r="T435" s="2">
        <v>167</v>
      </c>
      <c r="U435" s="2">
        <f t="shared" si="32"/>
        <v>196</v>
      </c>
      <c r="V435" s="2">
        <v>680</v>
      </c>
      <c r="W435" s="2">
        <v>7875</v>
      </c>
      <c r="X435" s="2">
        <f t="shared" si="33"/>
        <v>7875</v>
      </c>
      <c r="Y435" s="2">
        <v>3110</v>
      </c>
      <c r="Z435" t="str" cm="1">
        <f t="array" ref="Z435">_xlfn.IFS(OR(R435&gt;66, S435&gt;38), "High Engagement", OR(AND(R435&gt;32, R435&lt;=66), AND(S435&gt;19, S435&lt;=38)), "Medium-High Engagement", OR(AND(R435&gt;4, R435&lt;=32), AND(S435&gt;6, S435&lt;=19)),"Medium Engagement", TRUE, "Low Engagement"
)</f>
        <v>Medium Engagement</v>
      </c>
      <c r="AA435">
        <f t="shared" si="34"/>
        <v>0.39492063492063489</v>
      </c>
    </row>
    <row r="436" spans="1:27" x14ac:dyDescent="0.35">
      <c r="A436" s="2">
        <v>8378563200</v>
      </c>
      <c r="B436" s="2" t="s">
        <v>90</v>
      </c>
      <c r="C436" s="2">
        <f>VLOOKUP(user_activity!A886,users_details!$A$1:$G$34,5,0)</f>
        <v>59</v>
      </c>
      <c r="D436" s="2" t="str" cm="1">
        <f t="array" ref="D436">_xlfn.IFS( AND(C436&gt;=18, C436&lt;=25), "Emerging Adults",  AND(C436&gt;=26, C436&lt;=35),  "Young Adults",  AND(C436&gt;=36, C436&lt;=45),  "Midlife Adults",  AND(C436&gt;=46, C436&lt;=55), "Mature Adults", C436&gt;=56,  "Older Adults", TRUE, "Age Not Mentioned")</f>
        <v>Older Adults</v>
      </c>
      <c r="E436" s="2" t="str">
        <f>VLOOKUP(user_activity!A886,users_details!$A$1:$G$34,6,0)</f>
        <v>Upper West Side, Manhattan</v>
      </c>
      <c r="F436" s="2" t="str">
        <f>VLOOKUP(user_activity!A886,users_details!$A$1:$G$34,7,0)</f>
        <v>Upper West Side</v>
      </c>
      <c r="G436" s="2" t="s">
        <v>72</v>
      </c>
      <c r="H436" s="7">
        <v>42708</v>
      </c>
      <c r="I436" s="9" t="str">
        <f t="shared" si="30"/>
        <v>Sunday</v>
      </c>
      <c r="J436" s="9" t="str">
        <f t="shared" si="31"/>
        <v>December</v>
      </c>
      <c r="K436" s="2">
        <v>6.0500001909999996</v>
      </c>
      <c r="L436" s="2">
        <v>6.0500001909999996</v>
      </c>
      <c r="M436" s="2">
        <v>2.2530810830000001</v>
      </c>
      <c r="N436" s="2">
        <v>0.829999983</v>
      </c>
      <c r="O436" s="2">
        <v>0.709999979</v>
      </c>
      <c r="P436" s="2">
        <v>4.5</v>
      </c>
      <c r="Q436" s="2">
        <v>0</v>
      </c>
      <c r="R436" s="2">
        <v>65</v>
      </c>
      <c r="S436" s="2">
        <v>15</v>
      </c>
      <c r="T436" s="2">
        <v>156</v>
      </c>
      <c r="U436" s="2">
        <f t="shared" si="32"/>
        <v>236</v>
      </c>
      <c r="V436" s="2">
        <v>723</v>
      </c>
      <c r="W436" s="2">
        <v>7626</v>
      </c>
      <c r="X436" s="2">
        <f t="shared" si="33"/>
        <v>7626</v>
      </c>
      <c r="Y436" s="2">
        <v>3635</v>
      </c>
      <c r="Z436" t="str" cm="1">
        <f t="array" ref="Z436">_xlfn.IFS(OR(R436&gt;66, S436&gt;38), "High Engagement", OR(AND(R436&gt;32, R436&lt;=66), AND(S436&gt;19, S436&lt;=38)), "Medium-High Engagement", OR(AND(R436&gt;4, R436&lt;=32), AND(S436&gt;6, S436&lt;=19)),"Medium Engagement", TRUE, "Low Engagement"
)</f>
        <v>Medium-High Engagement</v>
      </c>
      <c r="AA436">
        <f t="shared" si="34"/>
        <v>0.476658798846053</v>
      </c>
    </row>
    <row r="437" spans="1:27" x14ac:dyDescent="0.35">
      <c r="A437" s="2">
        <v>8378563200</v>
      </c>
      <c r="B437" s="2" t="s">
        <v>90</v>
      </c>
      <c r="C437" s="2">
        <f>VLOOKUP(user_activity!A890,users_details!$A$1:$G$34,5,0)</f>
        <v>59</v>
      </c>
      <c r="D437" s="2" t="str" cm="1">
        <f t="array" ref="D437">_xlfn.IFS( AND(C437&gt;=18, C437&lt;=25), "Emerging Adults",  AND(C437&gt;=26, C437&lt;=35),  "Young Adults",  AND(C437&gt;=36, C437&lt;=45),  "Midlife Adults",  AND(C437&gt;=46, C437&lt;=55), "Mature Adults", C437&gt;=56,  "Older Adults", TRUE, "Age Not Mentioned")</f>
        <v>Older Adults</v>
      </c>
      <c r="E437" s="2" t="str">
        <f>VLOOKUP(user_activity!A890,users_details!$A$1:$G$34,6,0)</f>
        <v>Upper West Side, Manhattan</v>
      </c>
      <c r="F437" s="2" t="str">
        <f>VLOOKUP(user_activity!A890,users_details!$A$1:$G$34,7,0)</f>
        <v>Upper West Side</v>
      </c>
      <c r="G437" s="2" t="s">
        <v>72</v>
      </c>
      <c r="H437" s="7">
        <v>42485</v>
      </c>
      <c r="I437" s="9" t="str">
        <f t="shared" si="30"/>
        <v>Monday</v>
      </c>
      <c r="J437" s="9" t="str">
        <f t="shared" si="31"/>
        <v>April</v>
      </c>
      <c r="K437" s="2">
        <v>9.8400001530000001</v>
      </c>
      <c r="L437" s="2">
        <v>9.8400001530000001</v>
      </c>
      <c r="M437" s="2">
        <v>2.0921471120000001</v>
      </c>
      <c r="N437" s="2">
        <v>5.0500001909999996</v>
      </c>
      <c r="O437" s="2">
        <v>0.87000000499999997</v>
      </c>
      <c r="P437" s="2">
        <v>3.920000076</v>
      </c>
      <c r="Q437" s="2">
        <v>0</v>
      </c>
      <c r="R437" s="2">
        <v>117</v>
      </c>
      <c r="S437" s="2">
        <v>16</v>
      </c>
      <c r="T437" s="2">
        <v>141</v>
      </c>
      <c r="U437" s="2">
        <f t="shared" si="32"/>
        <v>274</v>
      </c>
      <c r="V437" s="2">
        <v>692</v>
      </c>
      <c r="W437" s="2">
        <v>12405</v>
      </c>
      <c r="X437" s="2">
        <f t="shared" si="33"/>
        <v>12405</v>
      </c>
      <c r="Y437" s="2">
        <v>4005</v>
      </c>
      <c r="Z437" t="str" cm="1">
        <f t="array" ref="Z437">_xlfn.IFS(OR(R437&gt;66, S437&gt;38), "High Engagement", OR(AND(R437&gt;32, R437&lt;=66), AND(S437&gt;19, S437&lt;=38)), "Medium-High Engagement", OR(AND(R437&gt;4, R437&lt;=32), AND(S437&gt;6, S437&lt;=19)),"Medium Engagement", TRUE, "Low Engagement"
)</f>
        <v>High Engagement</v>
      </c>
      <c r="AA437">
        <f t="shared" si="34"/>
        <v>0.32285368802902054</v>
      </c>
    </row>
    <row r="438" spans="1:27" x14ac:dyDescent="0.35">
      <c r="A438" s="2">
        <v>2873212765</v>
      </c>
      <c r="B438" s="2" t="s">
        <v>78</v>
      </c>
      <c r="C438" s="2">
        <f>VLOOKUP(user_activity!A912,users_details!$A$1:$G$34,5,0)</f>
        <v>60</v>
      </c>
      <c r="D438" s="2" t="str" cm="1">
        <f t="array" ref="D438">_xlfn.IFS( AND(C438&gt;=18, C438&lt;=25), "Emerging Adults",  AND(C438&gt;=26, C438&lt;=35),  "Young Adults",  AND(C438&gt;=36, C438&lt;=45),  "Midlife Adults",  AND(C438&gt;=46, C438&lt;=55), "Mature Adults", C438&gt;=56,  "Older Adults", TRUE, "Age Not Mentioned")</f>
        <v>Older Adults</v>
      </c>
      <c r="E438" s="2" t="str">
        <f>VLOOKUP(user_activity!A912,users_details!$A$1:$G$34,6,0)</f>
        <v>East Village, Manhattan</v>
      </c>
      <c r="F438" s="2" t="str">
        <f>VLOOKUP(user_activity!A912,users_details!$A$1:$G$34,7,0)</f>
        <v>East Village</v>
      </c>
      <c r="G438" s="2" t="s">
        <v>71</v>
      </c>
      <c r="H438" s="7">
        <v>42483</v>
      </c>
      <c r="I438" s="9" t="str">
        <f t="shared" si="30"/>
        <v>Saturday</v>
      </c>
      <c r="J438" s="9" t="str">
        <f t="shared" si="31"/>
        <v>April</v>
      </c>
      <c r="K438" s="2">
        <v>6.3499999049999998</v>
      </c>
      <c r="L438" s="2">
        <v>6.3499999049999998</v>
      </c>
      <c r="M438" s="2">
        <v>0</v>
      </c>
      <c r="N438" s="2">
        <v>2.0899999139999998</v>
      </c>
      <c r="O438" s="2">
        <v>0.23000000400000001</v>
      </c>
      <c r="P438" s="2">
        <v>4.0199999809999998</v>
      </c>
      <c r="Q438" s="2">
        <v>0.01</v>
      </c>
      <c r="R438" s="2">
        <v>28</v>
      </c>
      <c r="S438" s="2">
        <v>5</v>
      </c>
      <c r="T438" s="2">
        <v>330</v>
      </c>
      <c r="U438" s="2">
        <f t="shared" si="32"/>
        <v>363</v>
      </c>
      <c r="V438" s="2">
        <v>1077</v>
      </c>
      <c r="W438" s="2">
        <v>9317</v>
      </c>
      <c r="X438" s="2">
        <f t="shared" si="33"/>
        <v>9317</v>
      </c>
      <c r="Y438" s="2">
        <v>2021</v>
      </c>
      <c r="Z438" t="str" cm="1">
        <f t="array" ref="Z438">_xlfn.IFS(OR(R438&gt;66, S438&gt;38), "High Engagement", OR(AND(R438&gt;32, R438&lt;=66), AND(S438&gt;19, S438&lt;=38)), "Medium-High Engagement", OR(AND(R438&gt;4, R438&lt;=32), AND(S438&gt;6, S438&lt;=19)),"Medium Engagement", TRUE, "Low Engagement"
)</f>
        <v>Medium Engagement</v>
      </c>
      <c r="AA438">
        <f t="shared" si="34"/>
        <v>0.2169153160888698</v>
      </c>
    </row>
    <row r="439" spans="1:27" x14ac:dyDescent="0.35">
      <c r="A439" s="2">
        <v>2873212765</v>
      </c>
      <c r="B439" s="2" t="s">
        <v>78</v>
      </c>
      <c r="C439" s="2">
        <f>VLOOKUP(user_activity!A938,users_details!$A$1:$G$34,5,0)</f>
        <v>60</v>
      </c>
      <c r="D439" s="2" t="str" cm="1">
        <f t="array" ref="D439">_xlfn.IFS( AND(C439&gt;=18, C439&lt;=25), "Emerging Adults",  AND(C439&gt;=26, C439&lt;=35),  "Young Adults",  AND(C439&gt;=36, C439&lt;=45),  "Midlife Adults",  AND(C439&gt;=46, C439&lt;=55), "Mature Adults", C439&gt;=56,  "Older Adults", TRUE, "Age Not Mentioned")</f>
        <v>Older Adults</v>
      </c>
      <c r="E439" s="2" t="str">
        <f>VLOOKUP(user_activity!A938,users_details!$A$1:$G$34,6,0)</f>
        <v>East Village, Manhattan</v>
      </c>
      <c r="F439" s="2" t="str">
        <f>VLOOKUP(user_activity!A938,users_details!$A$1:$G$34,7,0)</f>
        <v>East Village</v>
      </c>
      <c r="G439" s="2" t="s">
        <v>71</v>
      </c>
      <c r="H439" s="7">
        <v>42477</v>
      </c>
      <c r="I439" s="9" t="str">
        <f t="shared" si="30"/>
        <v>Sunday</v>
      </c>
      <c r="J439" s="9" t="str">
        <f t="shared" si="31"/>
        <v>April</v>
      </c>
      <c r="K439" s="2">
        <v>1.7000000479999999</v>
      </c>
      <c r="L439" s="2">
        <v>1.7000000479999999</v>
      </c>
      <c r="M439" s="2">
        <v>0</v>
      </c>
      <c r="N439" s="2">
        <v>0</v>
      </c>
      <c r="O439" s="2">
        <v>0.34999999399999998</v>
      </c>
      <c r="P439" s="2">
        <v>1.3400000329999999</v>
      </c>
      <c r="Q439" s="2">
        <v>0</v>
      </c>
      <c r="R439" s="2">
        <v>0</v>
      </c>
      <c r="S439" s="2">
        <v>8</v>
      </c>
      <c r="T439" s="2">
        <v>160</v>
      </c>
      <c r="U439" s="2">
        <f t="shared" si="32"/>
        <v>168</v>
      </c>
      <c r="V439" s="2">
        <v>1272</v>
      </c>
      <c r="W439" s="2">
        <v>2524</v>
      </c>
      <c r="X439" s="2">
        <f t="shared" si="33"/>
        <v>2524</v>
      </c>
      <c r="Y439" s="2">
        <v>1529</v>
      </c>
      <c r="Z439" t="str" cm="1">
        <f t="array" ref="Z439">_xlfn.IFS(OR(R439&gt;66, S439&gt;38), "High Engagement", OR(AND(R439&gt;32, R439&lt;=66), AND(S439&gt;19, S439&lt;=38)), "Medium-High Engagement", OR(AND(R439&gt;4, R439&lt;=32), AND(S439&gt;6, S439&lt;=19)),"Medium Engagement", TRUE, "Low Engagement"
)</f>
        <v>Medium Engagement</v>
      </c>
      <c r="AA439">
        <f t="shared" si="34"/>
        <v>0.60578446909667194</v>
      </c>
    </row>
    <row r="440" spans="1:27" x14ac:dyDescent="0.35">
      <c r="A440" s="2">
        <v>5577150313</v>
      </c>
      <c r="B440" s="2" t="s">
        <v>91</v>
      </c>
      <c r="C440" s="2">
        <f>VLOOKUP(user_activity!A42,users_details!$A$1:$G$34,5,0)</f>
        <v>18</v>
      </c>
      <c r="D440" s="2" t="str" cm="1">
        <f t="array" ref="D440">_xlfn.IFS( AND(C440&gt;=18, C440&lt;=25), "Emerging Adults",  AND(C440&gt;=26, C440&lt;=35),  "Young Adults",  AND(C440&gt;=36, C440&lt;=45),  "Midlife Adults",  AND(C440&gt;=46, C440&lt;=55), "Mature Adults", C440&gt;=56,  "Older Adults", TRUE, "Age Not Mentioned")</f>
        <v>Emerging Adults</v>
      </c>
      <c r="E440" s="2" t="str">
        <f>VLOOKUP(user_activity!A42,users_details!$A$1:$G$34,6,0)</f>
        <v>Hell's Kitchen, Manhattan</v>
      </c>
      <c r="F440" s="2" t="str">
        <f>VLOOKUP(user_activity!A42,users_details!$A$1:$G$34,7,0)</f>
        <v>Hell's Kitchen</v>
      </c>
      <c r="G440" s="2" t="s">
        <v>72</v>
      </c>
      <c r="H440" s="7">
        <v>42495</v>
      </c>
      <c r="I440" s="9" t="str">
        <f t="shared" si="30"/>
        <v>Thursday</v>
      </c>
      <c r="J440" s="9" t="str">
        <f t="shared" si="31"/>
        <v>May</v>
      </c>
      <c r="K440" s="2">
        <v>5.6399998660000001</v>
      </c>
      <c r="L440" s="2">
        <v>5.6399998660000001</v>
      </c>
      <c r="M440" s="2">
        <v>0</v>
      </c>
      <c r="N440" s="2">
        <v>2.5</v>
      </c>
      <c r="O440" s="2">
        <v>0.469999999</v>
      </c>
      <c r="P440" s="2">
        <v>2.670000076</v>
      </c>
      <c r="Q440" s="2">
        <v>0</v>
      </c>
      <c r="R440" s="2">
        <v>45</v>
      </c>
      <c r="S440" s="2">
        <v>21</v>
      </c>
      <c r="T440" s="2">
        <v>143</v>
      </c>
      <c r="U440" s="2">
        <f t="shared" si="32"/>
        <v>209</v>
      </c>
      <c r="V440" s="2">
        <v>1153</v>
      </c>
      <c r="W440" s="2">
        <v>7550</v>
      </c>
      <c r="X440" s="2">
        <f t="shared" si="33"/>
        <v>7550</v>
      </c>
      <c r="Y440" s="2">
        <v>3004</v>
      </c>
      <c r="Z440" t="str" cm="1">
        <f t="array" ref="Z440">_xlfn.IFS(OR(R440&gt;66, S440&gt;38), "High Engagement", OR(AND(R440&gt;32, R440&lt;=66), AND(S440&gt;19, S440&lt;=38)), "Medium-High Engagement", OR(AND(R440&gt;4, R440&lt;=32), AND(S440&gt;6, S440&lt;=19)),"Medium Engagement", TRUE, "Low Engagement"
)</f>
        <v>Medium-High Engagement</v>
      </c>
      <c r="AA440">
        <f t="shared" si="34"/>
        <v>0.39788079470198673</v>
      </c>
    </row>
    <row r="441" spans="1:27" x14ac:dyDescent="0.35">
      <c r="A441" s="2">
        <v>5577150313</v>
      </c>
      <c r="B441" s="2" t="s">
        <v>91</v>
      </c>
      <c r="C441" s="2">
        <f>VLOOKUP(user_activity!A46,users_details!$A$1:$G$34,5,0)</f>
        <v>18</v>
      </c>
      <c r="D441" s="2" t="str" cm="1">
        <f t="array" ref="D441">_xlfn.IFS( AND(C441&gt;=18, C441&lt;=25), "Emerging Adults",  AND(C441&gt;=26, C441&lt;=35),  "Young Adults",  AND(C441&gt;=36, C441&lt;=45),  "Midlife Adults",  AND(C441&gt;=46, C441&lt;=55), "Mature Adults", C441&gt;=56,  "Older Adults", TRUE, "Age Not Mentioned")</f>
        <v>Emerging Adults</v>
      </c>
      <c r="E441" s="2" t="str">
        <f>VLOOKUP(user_activity!A46,users_details!$A$1:$G$34,6,0)</f>
        <v>Upper West Side, Manhattan</v>
      </c>
      <c r="F441" s="2" t="str">
        <f>VLOOKUP(user_activity!A46,users_details!$A$1:$G$34,7,0)</f>
        <v>Upper West Side</v>
      </c>
      <c r="G441" s="2" t="s">
        <v>72</v>
      </c>
      <c r="H441" s="7">
        <v>42648</v>
      </c>
      <c r="I441" s="9" t="str">
        <f t="shared" si="30"/>
        <v>Wednesday</v>
      </c>
      <c r="J441" s="9" t="str">
        <f t="shared" si="31"/>
        <v>October</v>
      </c>
      <c r="K441" s="2">
        <v>6.6500000950000002</v>
      </c>
      <c r="L441" s="2">
        <v>6.6500000950000002</v>
      </c>
      <c r="M441" s="2">
        <v>0</v>
      </c>
      <c r="N441" s="2">
        <v>2.5599999430000002</v>
      </c>
      <c r="O441" s="2">
        <v>0.75</v>
      </c>
      <c r="P441" s="2">
        <v>3.3499999049999998</v>
      </c>
      <c r="Q441" s="2">
        <v>0</v>
      </c>
      <c r="R441" s="2">
        <v>104</v>
      </c>
      <c r="S441" s="2">
        <v>37</v>
      </c>
      <c r="T441" s="2">
        <v>194</v>
      </c>
      <c r="U441" s="2">
        <f t="shared" si="32"/>
        <v>335</v>
      </c>
      <c r="V441" s="2">
        <v>639</v>
      </c>
      <c r="W441" s="2">
        <v>8869</v>
      </c>
      <c r="X441" s="2">
        <f t="shared" si="33"/>
        <v>8869</v>
      </c>
      <c r="Y441" s="2">
        <v>3841</v>
      </c>
      <c r="Z441" t="str" cm="1">
        <f t="array" ref="Z441">_xlfn.IFS(OR(R441&gt;66, S441&gt;38), "High Engagement", OR(AND(R441&gt;32, R441&lt;=66), AND(S441&gt;19, S441&lt;=38)), "Medium-High Engagement", OR(AND(R441&gt;4, R441&lt;=32), AND(S441&gt;6, S441&lt;=19)),"Medium Engagement", TRUE, "Low Engagement"
)</f>
        <v>High Engagement</v>
      </c>
      <c r="AA441">
        <f t="shared" si="34"/>
        <v>0.43308151990077798</v>
      </c>
    </row>
    <row r="442" spans="1:27" x14ac:dyDescent="0.35">
      <c r="A442" s="2">
        <v>7007744171</v>
      </c>
      <c r="B442" s="2" t="s">
        <v>95</v>
      </c>
      <c r="C442" s="2">
        <f>VLOOKUP(user_activity!A51,users_details!$A$1:$G$34,5,0)</f>
        <v>18</v>
      </c>
      <c r="D442" s="2" t="str" cm="1">
        <f t="array" ref="D442">_xlfn.IFS( AND(C442&gt;=18, C442&lt;=25), "Emerging Adults",  AND(C442&gt;=26, C442&lt;=35),  "Young Adults",  AND(C442&gt;=36, C442&lt;=45),  "Midlife Adults",  AND(C442&gt;=46, C442&lt;=55), "Mature Adults", C442&gt;=56,  "Older Adults", TRUE, "Age Not Mentioned")</f>
        <v>Emerging Adults</v>
      </c>
      <c r="E442" s="2" t="str">
        <f>VLOOKUP(user_activity!A51,users_details!$A$1:$G$34,6,0)</f>
        <v>Upper West Side, Manhattan</v>
      </c>
      <c r="F442" s="2" t="str">
        <f>VLOOKUP(user_activity!A51,users_details!$A$1:$G$34,7,0)</f>
        <v>Upper West Side</v>
      </c>
      <c r="G442" s="2" t="s">
        <v>71</v>
      </c>
      <c r="H442" s="7">
        <v>42483</v>
      </c>
      <c r="I442" s="9" t="str">
        <f t="shared" si="30"/>
        <v>Saturday</v>
      </c>
      <c r="J442" s="9" t="str">
        <f t="shared" si="31"/>
        <v>April</v>
      </c>
      <c r="K442" s="2">
        <v>5.4099998469999999</v>
      </c>
      <c r="L442" s="2">
        <v>5.4099998469999999</v>
      </c>
      <c r="M442" s="2">
        <v>0</v>
      </c>
      <c r="N442" s="2">
        <v>0.12999999500000001</v>
      </c>
      <c r="O442" s="2">
        <v>1.1299999949999999</v>
      </c>
      <c r="P442" s="2">
        <v>4.1500000950000002</v>
      </c>
      <c r="Q442" s="2">
        <v>0</v>
      </c>
      <c r="R442" s="2">
        <v>2</v>
      </c>
      <c r="S442" s="2">
        <v>25</v>
      </c>
      <c r="T442" s="2">
        <v>223</v>
      </c>
      <c r="U442" s="2">
        <f t="shared" si="32"/>
        <v>250</v>
      </c>
      <c r="V442" s="2">
        <v>1190</v>
      </c>
      <c r="W442" s="2">
        <v>8093</v>
      </c>
      <c r="X442" s="2">
        <f t="shared" si="33"/>
        <v>8093</v>
      </c>
      <c r="Y442" s="2">
        <v>2284</v>
      </c>
      <c r="Z442" t="str" cm="1">
        <f t="array" ref="Z442">_xlfn.IFS(OR(R442&gt;66, S442&gt;38), "High Engagement", OR(AND(R442&gt;32, R442&lt;=66), AND(S442&gt;19, S442&lt;=38)), "Medium-High Engagement", OR(AND(R442&gt;4, R442&lt;=32), AND(S442&gt;6, S442&lt;=19)),"Medium Engagement", TRUE, "Low Engagement"
)</f>
        <v>Medium-High Engagement</v>
      </c>
      <c r="AA442">
        <f t="shared" si="34"/>
        <v>0.28221920177931548</v>
      </c>
    </row>
    <row r="443" spans="1:27" x14ac:dyDescent="0.35">
      <c r="A443" s="2">
        <v>5577150313</v>
      </c>
      <c r="B443" s="2" t="s">
        <v>91</v>
      </c>
      <c r="C443" s="2">
        <f>VLOOKUP(user_activity!A73,users_details!$A$1:$G$34,5,0)</f>
        <v>21</v>
      </c>
      <c r="D443" s="2" t="str" cm="1">
        <f t="array" ref="D443">_xlfn.IFS( AND(C443&gt;=18, C443&lt;=25), "Emerging Adults",  AND(C443&gt;=26, C443&lt;=35),  "Young Adults",  AND(C443&gt;=36, C443&lt;=45),  "Midlife Adults",  AND(C443&gt;=46, C443&lt;=55), "Mature Adults", C443&gt;=56,  "Older Adults", TRUE, "Age Not Mentioned")</f>
        <v>Emerging Adults</v>
      </c>
      <c r="E443" s="2" t="str">
        <f>VLOOKUP(user_activity!A73,users_details!$A$1:$G$34,6,0)</f>
        <v>Bushwick, Brooklyn</v>
      </c>
      <c r="F443" s="2" t="str">
        <f>VLOOKUP(user_activity!A73,users_details!$A$1:$G$34,7,0)</f>
        <v>Bushwick</v>
      </c>
      <c r="G443" s="2" t="s">
        <v>72</v>
      </c>
      <c r="H443" s="7">
        <v>42474</v>
      </c>
      <c r="I443" s="9" t="str">
        <f t="shared" si="30"/>
        <v>Thursday</v>
      </c>
      <c r="J443" s="9" t="str">
        <f t="shared" si="31"/>
        <v>April</v>
      </c>
      <c r="K443" s="2">
        <v>6.420000076</v>
      </c>
      <c r="L443" s="2">
        <v>6.420000076</v>
      </c>
      <c r="M443" s="2">
        <v>0</v>
      </c>
      <c r="N443" s="2">
        <v>3.329999924</v>
      </c>
      <c r="O443" s="2">
        <v>0.310000002</v>
      </c>
      <c r="P443" s="2">
        <v>2.7799999710000001</v>
      </c>
      <c r="Q443" s="2">
        <v>0</v>
      </c>
      <c r="R443" s="2">
        <v>118</v>
      </c>
      <c r="S443" s="2">
        <v>30</v>
      </c>
      <c r="T443" s="2">
        <v>176</v>
      </c>
      <c r="U443" s="2">
        <f t="shared" si="32"/>
        <v>324</v>
      </c>
      <c r="V443" s="2">
        <v>662</v>
      </c>
      <c r="W443" s="2">
        <v>8596</v>
      </c>
      <c r="X443" s="2">
        <f t="shared" si="33"/>
        <v>8596</v>
      </c>
      <c r="Y443" s="2">
        <v>4022</v>
      </c>
      <c r="Z443" t="str" cm="1">
        <f t="array" ref="Z443">_xlfn.IFS(OR(R443&gt;66, S443&gt;38), "High Engagement", OR(AND(R443&gt;32, R443&lt;=66), AND(S443&gt;19, S443&lt;=38)), "Medium-High Engagement", OR(AND(R443&gt;4, R443&lt;=32), AND(S443&gt;6, S443&lt;=19)),"Medium Engagement", TRUE, "Low Engagement"
)</f>
        <v>High Engagement</v>
      </c>
      <c r="AA443">
        <f t="shared" si="34"/>
        <v>0.46789204281060959</v>
      </c>
    </row>
    <row r="444" spans="1:27" x14ac:dyDescent="0.35">
      <c r="A444" s="2">
        <v>5577150313</v>
      </c>
      <c r="B444" s="2" t="s">
        <v>91</v>
      </c>
      <c r="C444" s="2">
        <f>VLOOKUP(user_activity!A76,users_details!$A$1:$G$34,5,0)</f>
        <v>21</v>
      </c>
      <c r="D444" s="2" t="str" cm="1">
        <f t="array" ref="D444">_xlfn.IFS( AND(C444&gt;=18, C444&lt;=25), "Emerging Adults",  AND(C444&gt;=26, C444&lt;=35),  "Young Adults",  AND(C444&gt;=36, C444&lt;=45),  "Midlife Adults",  AND(C444&gt;=46, C444&lt;=55), "Mature Adults", C444&gt;=56,  "Older Adults", TRUE, "Age Not Mentioned")</f>
        <v>Emerging Adults</v>
      </c>
      <c r="E444" s="2" t="str">
        <f>VLOOKUP(user_activity!A76,users_details!$A$1:$G$34,6,0)</f>
        <v>Bushwick, Brooklyn</v>
      </c>
      <c r="F444" s="2" t="str">
        <f>VLOOKUP(user_activity!A76,users_details!$A$1:$G$34,7,0)</f>
        <v>Bushwick</v>
      </c>
      <c r="G444" s="2" t="s">
        <v>72</v>
      </c>
      <c r="H444" s="7">
        <v>42487</v>
      </c>
      <c r="I444" s="9" t="str">
        <f t="shared" si="30"/>
        <v>Wednesday</v>
      </c>
      <c r="J444" s="9" t="str">
        <f t="shared" si="31"/>
        <v>April</v>
      </c>
      <c r="K444" s="2">
        <v>5.1399998660000001</v>
      </c>
      <c r="L444" s="2">
        <v>5.1399998660000001</v>
      </c>
      <c r="M444" s="2">
        <v>0</v>
      </c>
      <c r="N444" s="2">
        <v>1.809999943</v>
      </c>
      <c r="O444" s="2">
        <v>0.40000000600000002</v>
      </c>
      <c r="P444" s="2">
        <v>2.9300000669999999</v>
      </c>
      <c r="Q444" s="2">
        <v>0</v>
      </c>
      <c r="R444" s="2">
        <v>63</v>
      </c>
      <c r="S444" s="2">
        <v>16</v>
      </c>
      <c r="T444" s="2">
        <v>190</v>
      </c>
      <c r="U444" s="2">
        <f t="shared" si="32"/>
        <v>269</v>
      </c>
      <c r="V444" s="2">
        <v>773</v>
      </c>
      <c r="W444" s="2">
        <v>6805</v>
      </c>
      <c r="X444" s="2">
        <f t="shared" si="33"/>
        <v>6805</v>
      </c>
      <c r="Y444" s="2">
        <v>3294</v>
      </c>
      <c r="Z444" t="str" cm="1">
        <f t="array" ref="Z444">_xlfn.IFS(OR(R444&gt;66, S444&gt;38), "High Engagement", OR(AND(R444&gt;32, R444&lt;=66), AND(S444&gt;19, S444&lt;=38)), "Medium-High Engagement", OR(AND(R444&gt;4, R444&lt;=32), AND(S444&gt;6, S444&lt;=19)),"Medium Engagement", TRUE, "Low Engagement"
)</f>
        <v>Medium-High Engagement</v>
      </c>
      <c r="AA444">
        <f t="shared" si="34"/>
        <v>0.48405584129316681</v>
      </c>
    </row>
    <row r="445" spans="1:27" x14ac:dyDescent="0.35">
      <c r="A445" s="2">
        <v>5577150313</v>
      </c>
      <c r="B445" s="2" t="s">
        <v>91</v>
      </c>
      <c r="C445" s="2">
        <f>VLOOKUP(user_activity!A87,users_details!$A$1:$G$34,5,0)</f>
        <v>21</v>
      </c>
      <c r="D445" s="2" t="str" cm="1">
        <f t="array" ref="D445">_xlfn.IFS( AND(C445&gt;=18, C445&lt;=25), "Emerging Adults",  AND(C445&gt;=26, C445&lt;=35),  "Young Adults",  AND(C445&gt;=36, C445&lt;=45),  "Midlife Adults",  AND(C445&gt;=46, C445&lt;=55), "Mature Adults", C445&gt;=56,  "Older Adults", TRUE, "Age Not Mentioned")</f>
        <v>Emerging Adults</v>
      </c>
      <c r="E445" s="2" t="str">
        <f>VLOOKUP(user_activity!A87,users_details!$A$1:$G$34,6,0)</f>
        <v>Bushwick, Brooklyn</v>
      </c>
      <c r="F445" s="2" t="str">
        <f>VLOOKUP(user_activity!A87,users_details!$A$1:$G$34,7,0)</f>
        <v>Bushwick</v>
      </c>
      <c r="G445" s="2" t="s">
        <v>72</v>
      </c>
      <c r="H445" s="7">
        <v>42405</v>
      </c>
      <c r="I445" s="9" t="str">
        <f t="shared" si="30"/>
        <v>Friday</v>
      </c>
      <c r="J445" s="9" t="str">
        <f t="shared" si="31"/>
        <v>February</v>
      </c>
      <c r="K445" s="2">
        <v>5.5599999430000002</v>
      </c>
      <c r="L445" s="2">
        <v>5.5599999430000002</v>
      </c>
      <c r="M445" s="2">
        <v>0</v>
      </c>
      <c r="N445" s="2">
        <v>1.1200000050000001</v>
      </c>
      <c r="O445" s="2">
        <v>0.34999999399999998</v>
      </c>
      <c r="P445" s="2">
        <v>4.0700001720000003</v>
      </c>
      <c r="Q445" s="2">
        <v>0</v>
      </c>
      <c r="R445" s="2">
        <v>37</v>
      </c>
      <c r="S445" s="2">
        <v>20</v>
      </c>
      <c r="T445" s="2">
        <v>235</v>
      </c>
      <c r="U445" s="2">
        <f t="shared" si="32"/>
        <v>292</v>
      </c>
      <c r="V445" s="2">
        <v>732</v>
      </c>
      <c r="W445" s="2">
        <v>7439</v>
      </c>
      <c r="X445" s="2">
        <f t="shared" si="33"/>
        <v>7439</v>
      </c>
      <c r="Y445" s="2">
        <v>3014</v>
      </c>
      <c r="Z445" t="str" cm="1">
        <f t="array" ref="Z445">_xlfn.IFS(OR(R445&gt;66, S445&gt;38), "High Engagement", OR(AND(R445&gt;32, R445&lt;=66), AND(S445&gt;19, S445&lt;=38)), "Medium-High Engagement", OR(AND(R445&gt;4, R445&lt;=32), AND(S445&gt;6, S445&lt;=19)),"Medium Engagement", TRUE, "Low Engagement"
)</f>
        <v>Medium-High Engagement</v>
      </c>
      <c r="AA445">
        <f t="shared" si="34"/>
        <v>0.40516198413765292</v>
      </c>
    </row>
    <row r="446" spans="1:27" x14ac:dyDescent="0.35">
      <c r="A446" s="2">
        <v>7007744171</v>
      </c>
      <c r="B446" s="2" t="s">
        <v>95</v>
      </c>
      <c r="C446" s="2">
        <f>VLOOKUP(user_activity!A114,users_details!$A$1:$G$34,5,0)</f>
        <v>22</v>
      </c>
      <c r="D446" s="2" t="str" cm="1">
        <f t="array" ref="D446">_xlfn.IFS( AND(C446&gt;=18, C446&lt;=25), "Emerging Adults",  AND(C446&gt;=26, C446&lt;=35),  "Young Adults",  AND(C446&gt;=36, C446&lt;=45),  "Midlife Adults",  AND(C446&gt;=46, C446&lt;=55), "Mature Adults", C446&gt;=56,  "Older Adults", TRUE, "Age Not Mentioned")</f>
        <v>Emerging Adults</v>
      </c>
      <c r="E446" s="2" t="str">
        <f>VLOOKUP(user_activity!A114,users_details!$A$1:$G$34,6,0)</f>
        <v>Upper East Side, Manhattan</v>
      </c>
      <c r="F446" s="2" t="str">
        <f>VLOOKUP(user_activity!A114,users_details!$A$1:$G$34,7,0)</f>
        <v>Upper East Side</v>
      </c>
      <c r="G446" s="2" t="s">
        <v>71</v>
      </c>
      <c r="H446" s="7">
        <v>42475</v>
      </c>
      <c r="I446" s="9" t="str">
        <f t="shared" si="30"/>
        <v>Friday</v>
      </c>
      <c r="J446" s="9" t="str">
        <f t="shared" si="31"/>
        <v>April</v>
      </c>
      <c r="K446" s="2">
        <v>3.5299999710000001</v>
      </c>
      <c r="L446" s="2">
        <v>3.5299999710000001</v>
      </c>
      <c r="M446" s="2">
        <v>0</v>
      </c>
      <c r="N446" s="2">
        <v>0</v>
      </c>
      <c r="O446" s="2">
        <v>0</v>
      </c>
      <c r="P446" s="2">
        <v>3.5299999710000001</v>
      </c>
      <c r="Q446" s="2">
        <v>0</v>
      </c>
      <c r="R446" s="2">
        <v>0</v>
      </c>
      <c r="S446" s="2">
        <v>0</v>
      </c>
      <c r="T446" s="2">
        <v>202</v>
      </c>
      <c r="U446" s="2">
        <f t="shared" si="32"/>
        <v>202</v>
      </c>
      <c r="V446" s="2">
        <v>1238</v>
      </c>
      <c r="W446" s="2">
        <v>5273</v>
      </c>
      <c r="X446" s="2">
        <f t="shared" si="33"/>
        <v>5273</v>
      </c>
      <c r="Y446" s="2">
        <v>2098</v>
      </c>
      <c r="Z446" t="str" cm="1">
        <f t="array" ref="Z446">_xlfn.IFS(OR(R446&gt;66, S446&gt;38), "High Engagement", OR(AND(R446&gt;32, R446&lt;=66), AND(S446&gt;19, S446&lt;=38)), "Medium-High Engagement", OR(AND(R446&gt;4, R446&lt;=32), AND(S446&gt;6, S446&lt;=19)),"Medium Engagement", TRUE, "Low Engagement"
)</f>
        <v>Low Engagement</v>
      </c>
      <c r="AA446">
        <f t="shared" si="34"/>
        <v>0.39787597193248625</v>
      </c>
    </row>
    <row r="447" spans="1:27" x14ac:dyDescent="0.35">
      <c r="A447" s="2">
        <v>7007744171</v>
      </c>
      <c r="B447" s="2" t="s">
        <v>95</v>
      </c>
      <c r="C447" s="2">
        <f>VLOOKUP(user_activity!A124,users_details!$A$1:$G$34,5,0)</f>
        <v>22</v>
      </c>
      <c r="D447" s="2" t="str" cm="1">
        <f t="array" ref="D447">_xlfn.IFS( AND(C447&gt;=18, C447&lt;=25), "Emerging Adults",  AND(C447&gt;=26, C447&lt;=35),  "Young Adults",  AND(C447&gt;=36, C447&lt;=45),  "Midlife Adults",  AND(C447&gt;=46, C447&lt;=55), "Mature Adults", C447&gt;=56,  "Older Adults", TRUE, "Age Not Mentioned")</f>
        <v>Emerging Adults</v>
      </c>
      <c r="E447" s="2" t="str">
        <f>VLOOKUP(user_activity!A124,users_details!$A$1:$G$34,6,0)</f>
        <v>Upper East Side, Manhattan</v>
      </c>
      <c r="F447" s="2" t="str">
        <f>VLOOKUP(user_activity!A124,users_details!$A$1:$G$34,7,0)</f>
        <v>Upper East Side</v>
      </c>
      <c r="G447" s="2" t="s">
        <v>71</v>
      </c>
      <c r="H447" s="7">
        <v>42489</v>
      </c>
      <c r="I447" s="9" t="str">
        <f t="shared" si="30"/>
        <v>Friday</v>
      </c>
      <c r="J447" s="9" t="str">
        <f t="shared" si="31"/>
        <v>April</v>
      </c>
      <c r="K447" s="2">
        <v>14.30000019</v>
      </c>
      <c r="L447" s="2">
        <v>13.420000079999999</v>
      </c>
      <c r="M447" s="2">
        <v>4.9111461639999998</v>
      </c>
      <c r="N447" s="2">
        <v>4.3099999430000002</v>
      </c>
      <c r="O447" s="2">
        <v>2.0499999519999998</v>
      </c>
      <c r="P447" s="2">
        <v>7.9499998090000004</v>
      </c>
      <c r="Q447" s="2">
        <v>0</v>
      </c>
      <c r="R447" s="2">
        <v>55</v>
      </c>
      <c r="S447" s="2">
        <v>42</v>
      </c>
      <c r="T447" s="2">
        <v>382</v>
      </c>
      <c r="U447" s="2">
        <f t="shared" si="32"/>
        <v>479</v>
      </c>
      <c r="V447" s="2">
        <v>961</v>
      </c>
      <c r="W447" s="2">
        <v>20067</v>
      </c>
      <c r="X447" s="2">
        <f t="shared" si="33"/>
        <v>20067</v>
      </c>
      <c r="Y447" s="2">
        <v>3180</v>
      </c>
      <c r="Z447" t="str" cm="1">
        <f t="array" ref="Z447">_xlfn.IFS(OR(R447&gt;66, S447&gt;38), "High Engagement", OR(AND(R447&gt;32, R447&lt;=66), AND(S447&gt;19, S447&lt;=38)), "Medium-High Engagement", OR(AND(R447&gt;4, R447&lt;=32), AND(S447&gt;6, S447&lt;=19)),"Medium Engagement", TRUE, "Low Engagement"
)</f>
        <v>High Engagement</v>
      </c>
      <c r="AA447">
        <f t="shared" si="34"/>
        <v>0.15846912841979369</v>
      </c>
    </row>
    <row r="448" spans="1:27" x14ac:dyDescent="0.35">
      <c r="A448" s="2">
        <v>5577150313</v>
      </c>
      <c r="B448" s="2" t="s">
        <v>91</v>
      </c>
      <c r="C448" s="2">
        <f>VLOOKUP(user_activity!A129,users_details!$A$1:$G$34,5,0)</f>
        <v>22</v>
      </c>
      <c r="D448" s="2" t="str" cm="1">
        <f t="array" ref="D448">_xlfn.IFS( AND(C448&gt;=18, C448&lt;=25), "Emerging Adults",  AND(C448&gt;=26, C448&lt;=35),  "Young Adults",  AND(C448&gt;=36, C448&lt;=45),  "Midlife Adults",  AND(C448&gt;=46, C448&lt;=55), "Mature Adults", C448&gt;=56,  "Older Adults", TRUE, "Age Not Mentioned")</f>
        <v>Emerging Adults</v>
      </c>
      <c r="E448" s="2" t="str">
        <f>VLOOKUP(user_activity!A129,users_details!$A$1:$G$34,6,0)</f>
        <v>Washington Heights, Manhattan</v>
      </c>
      <c r="F448" s="2" t="str">
        <f>VLOOKUP(user_activity!A129,users_details!$A$1:$G$34,7,0)</f>
        <v>Washington Heights</v>
      </c>
      <c r="G448" s="2" t="s">
        <v>72</v>
      </c>
      <c r="H448" s="7">
        <v>42489</v>
      </c>
      <c r="I448" s="9" t="str">
        <f t="shared" si="30"/>
        <v>Friday</v>
      </c>
      <c r="J448" s="9" t="str">
        <f t="shared" si="31"/>
        <v>April</v>
      </c>
      <c r="K448" s="2">
        <v>5.920000076</v>
      </c>
      <c r="L448" s="2">
        <v>5.920000076</v>
      </c>
      <c r="M448" s="2">
        <v>0</v>
      </c>
      <c r="N448" s="2">
        <v>2.8399999139999998</v>
      </c>
      <c r="O448" s="2">
        <v>0.61000001400000003</v>
      </c>
      <c r="P448" s="2">
        <v>2.4700000289999999</v>
      </c>
      <c r="Q448" s="2">
        <v>0</v>
      </c>
      <c r="R448" s="2">
        <v>97</v>
      </c>
      <c r="S448" s="2">
        <v>36</v>
      </c>
      <c r="T448" s="2">
        <v>165</v>
      </c>
      <c r="U448" s="2">
        <f t="shared" si="32"/>
        <v>298</v>
      </c>
      <c r="V448" s="2">
        <v>739</v>
      </c>
      <c r="W448" s="2">
        <v>7924</v>
      </c>
      <c r="X448" s="2">
        <f t="shared" si="33"/>
        <v>7924</v>
      </c>
      <c r="Y448" s="2">
        <v>3544</v>
      </c>
      <c r="Z448" t="str" cm="1">
        <f t="array" ref="Z448">_xlfn.IFS(OR(R448&gt;66, S448&gt;38), "High Engagement", OR(AND(R448&gt;32, R448&lt;=66), AND(S448&gt;19, S448&lt;=38)), "Medium-High Engagement", OR(AND(R448&gt;4, R448&lt;=32), AND(S448&gt;6, S448&lt;=19)),"Medium Engagement", TRUE, "Low Engagement"
)</f>
        <v>High Engagement</v>
      </c>
      <c r="AA448">
        <f t="shared" si="34"/>
        <v>0.44724886420999493</v>
      </c>
    </row>
    <row r="449" spans="1:27" x14ac:dyDescent="0.35">
      <c r="A449" s="2">
        <v>5577150313</v>
      </c>
      <c r="B449" s="2" t="s">
        <v>91</v>
      </c>
      <c r="C449" s="2">
        <f>VLOOKUP(user_activity!A137,users_details!$A$1:$G$34,5,0)</f>
        <v>22</v>
      </c>
      <c r="D449" s="2" t="str" cm="1">
        <f t="array" ref="D449">_xlfn.IFS( AND(C449&gt;=18, C449&lt;=25), "Emerging Adults",  AND(C449&gt;=26, C449&lt;=35),  "Young Adults",  AND(C449&gt;=36, C449&lt;=45),  "Midlife Adults",  AND(C449&gt;=46, C449&lt;=55), "Mature Adults", C449&gt;=56,  "Older Adults", TRUE, "Age Not Mentioned")</f>
        <v>Emerging Adults</v>
      </c>
      <c r="E449" s="2" t="str">
        <f>VLOOKUP(user_activity!A137,users_details!$A$1:$G$34,6,0)</f>
        <v>Washington Heights, Manhattan</v>
      </c>
      <c r="F449" s="2" t="str">
        <f>VLOOKUP(user_activity!A137,users_details!$A$1:$G$34,7,0)</f>
        <v>Washington Heights</v>
      </c>
      <c r="G449" s="2" t="s">
        <v>72</v>
      </c>
      <c r="H449" s="7">
        <v>42490</v>
      </c>
      <c r="I449" s="9" t="str">
        <f t="shared" si="30"/>
        <v>Saturday</v>
      </c>
      <c r="J449" s="9" t="str">
        <f t="shared" si="31"/>
        <v>April</v>
      </c>
      <c r="K449" s="2">
        <v>9.2399997710000008</v>
      </c>
      <c r="L449" s="2">
        <v>9.2399997710000008</v>
      </c>
      <c r="M449" s="2">
        <v>0</v>
      </c>
      <c r="N449" s="2">
        <v>5.829999924</v>
      </c>
      <c r="O449" s="2">
        <v>0.790000021</v>
      </c>
      <c r="P449" s="2">
        <v>2.6099998950000001</v>
      </c>
      <c r="Q449" s="2">
        <v>0</v>
      </c>
      <c r="R449" s="2">
        <v>207</v>
      </c>
      <c r="S449" s="2">
        <v>45</v>
      </c>
      <c r="T449" s="2">
        <v>163</v>
      </c>
      <c r="U449" s="2">
        <f t="shared" si="32"/>
        <v>415</v>
      </c>
      <c r="V449" s="2">
        <v>621</v>
      </c>
      <c r="W449" s="2">
        <v>12363</v>
      </c>
      <c r="X449" s="2">
        <f t="shared" si="33"/>
        <v>12363</v>
      </c>
      <c r="Y449" s="2">
        <v>4501</v>
      </c>
      <c r="Z449" t="str" cm="1">
        <f t="array" ref="Z449">_xlfn.IFS(OR(R449&gt;66, S449&gt;38), "High Engagement", OR(AND(R449&gt;32, R449&lt;=66), AND(S449&gt;19, S449&lt;=38)), "Medium-High Engagement", OR(AND(R449&gt;4, R449&lt;=32), AND(S449&gt;6, S449&lt;=19)),"Medium Engagement", TRUE, "Low Engagement"
)</f>
        <v>High Engagement</v>
      </c>
      <c r="AA449">
        <f t="shared" si="34"/>
        <v>0.36407020949607699</v>
      </c>
    </row>
    <row r="450" spans="1:27" x14ac:dyDescent="0.35">
      <c r="A450" s="2">
        <v>7007744171</v>
      </c>
      <c r="B450" s="2" t="s">
        <v>95</v>
      </c>
      <c r="C450" s="2">
        <f>VLOOKUP(user_activity!A171,users_details!$A$1:$G$34,5,0)</f>
        <v>23</v>
      </c>
      <c r="D450" s="2" t="str" cm="1">
        <f t="array" ref="D450">_xlfn.IFS( AND(C450&gt;=18, C450&lt;=25), "Emerging Adults",  AND(C450&gt;=26, C450&lt;=35),  "Young Adults",  AND(C450&gt;=36, C450&lt;=45),  "Midlife Adults",  AND(C450&gt;=46, C450&lt;=55), "Mature Adults", C450&gt;=56,  "Older Adults", TRUE, "Age Not Mentioned")</f>
        <v>Emerging Adults</v>
      </c>
      <c r="E450" s="2" t="str">
        <f>VLOOKUP(user_activity!A171,users_details!$A$1:$G$34,6,0)</f>
        <v>Washington Heights, Manhattan</v>
      </c>
      <c r="F450" s="2" t="str">
        <f>VLOOKUP(user_activity!A171,users_details!$A$1:$G$34,7,0)</f>
        <v>Washington Heights</v>
      </c>
      <c r="G450" s="2" t="s">
        <v>71</v>
      </c>
      <c r="H450" s="7">
        <v>42526</v>
      </c>
      <c r="I450" s="9" t="str">
        <f t="shared" ref="I450:I513" si="35">TEXT(H450, "dddd")</f>
        <v>Sunday</v>
      </c>
      <c r="J450" s="9" t="str">
        <f t="shared" ref="J450:J513" si="36">TEXT(H450, "mmmm")</f>
        <v>June</v>
      </c>
      <c r="K450" s="2">
        <v>7.670000076</v>
      </c>
      <c r="L450" s="2">
        <v>7.670000076</v>
      </c>
      <c r="M450" s="2">
        <v>0</v>
      </c>
      <c r="N450" s="2">
        <v>3</v>
      </c>
      <c r="O450" s="2">
        <v>0.810000002</v>
      </c>
      <c r="P450" s="2">
        <v>3.8599998950000001</v>
      </c>
      <c r="Q450" s="2">
        <v>0</v>
      </c>
      <c r="R450" s="2">
        <v>44</v>
      </c>
      <c r="S450" s="2">
        <v>13</v>
      </c>
      <c r="T450" s="2">
        <v>247</v>
      </c>
      <c r="U450" s="2">
        <f t="shared" ref="U450:U513" si="37">R450+S450+T450</f>
        <v>304</v>
      </c>
      <c r="V450" s="2">
        <v>1136</v>
      </c>
      <c r="W450" s="2">
        <v>11459</v>
      </c>
      <c r="X450" s="2">
        <f t="shared" ref="X450:X513" si="38">IF(W450=0,MEDIAN($W$2:$W$941),W450)</f>
        <v>11459</v>
      </c>
      <c r="Y450" s="2">
        <v>2553</v>
      </c>
      <c r="Z450" t="str" cm="1">
        <f t="array" ref="Z450">_xlfn.IFS(OR(R450&gt;66, S450&gt;38), "High Engagement", OR(AND(R450&gt;32, R450&lt;=66), AND(S450&gt;19, S450&lt;=38)), "Medium-High Engagement", OR(AND(R450&gt;4, R450&lt;=32), AND(S450&gt;6, S450&lt;=19)),"Medium Engagement", TRUE, "Low Engagement"
)</f>
        <v>Medium-High Engagement</v>
      </c>
      <c r="AA450">
        <f t="shared" si="34"/>
        <v>0.22279431014922768</v>
      </c>
    </row>
    <row r="451" spans="1:27" x14ac:dyDescent="0.35">
      <c r="A451" s="2">
        <v>5577150313</v>
      </c>
      <c r="B451" s="2" t="s">
        <v>91</v>
      </c>
      <c r="C451" s="2">
        <f>VLOOKUP(user_activity!A210,users_details!$A$1:$G$34,5,0)</f>
        <v>24</v>
      </c>
      <c r="D451" s="2" t="str" cm="1">
        <f t="array" ref="D451">_xlfn.IFS( AND(C451&gt;=18, C451&lt;=25), "Emerging Adults",  AND(C451&gt;=26, C451&lt;=35),  "Young Adults",  AND(C451&gt;=36, C451&lt;=45),  "Midlife Adults",  AND(C451&gt;=46, C451&lt;=55), "Mature Adults", C451&gt;=56,  "Older Adults", TRUE, "Age Not Mentioned")</f>
        <v>Emerging Adults</v>
      </c>
      <c r="E451" s="2" t="str">
        <f>VLOOKUP(user_activity!A210,users_details!$A$1:$G$34,6,0)</f>
        <v>East Village, Manhattan</v>
      </c>
      <c r="F451" s="2" t="str">
        <f>VLOOKUP(user_activity!A210,users_details!$A$1:$G$34,7,0)</f>
        <v>East Village</v>
      </c>
      <c r="G451" s="2" t="s">
        <v>72</v>
      </c>
      <c r="H451" s="7">
        <v>42679</v>
      </c>
      <c r="I451" s="9" t="str">
        <f t="shared" si="35"/>
        <v>Saturday</v>
      </c>
      <c r="J451" s="9" t="str">
        <f t="shared" si="36"/>
        <v>November</v>
      </c>
      <c r="K451" s="2">
        <v>3.039999962</v>
      </c>
      <c r="L451" s="2">
        <v>3.039999962</v>
      </c>
      <c r="M451" s="2">
        <v>0</v>
      </c>
      <c r="N451" s="2">
        <v>1.8300000430000001</v>
      </c>
      <c r="O451" s="2">
        <v>0.30000001199999998</v>
      </c>
      <c r="P451" s="2">
        <v>0.88999998599999997</v>
      </c>
      <c r="Q451" s="2">
        <v>0</v>
      </c>
      <c r="R451" s="2">
        <v>45</v>
      </c>
      <c r="S451" s="2">
        <v>15</v>
      </c>
      <c r="T451" s="2">
        <v>63</v>
      </c>
      <c r="U451" s="2">
        <f t="shared" si="37"/>
        <v>123</v>
      </c>
      <c r="V451" s="2">
        <v>257</v>
      </c>
      <c r="W451" s="2">
        <v>4038</v>
      </c>
      <c r="X451" s="2">
        <f t="shared" si="38"/>
        <v>4038</v>
      </c>
      <c r="Y451" s="2">
        <v>1665</v>
      </c>
      <c r="Z451" t="str" cm="1">
        <f t="array" ref="Z451">_xlfn.IFS(OR(R451&gt;66, S451&gt;38), "High Engagement", OR(AND(R451&gt;32, R451&lt;=66), AND(S451&gt;19, S451&lt;=38)), "Medium-High Engagement", OR(AND(R451&gt;4, R451&lt;=32), AND(S451&gt;6, S451&lt;=19)),"Medium Engagement", TRUE, "Low Engagement"
)</f>
        <v>Medium-High Engagement</v>
      </c>
      <c r="AA451">
        <f t="shared" ref="AA451:AA514" si="39">IF(W451&gt;0, Y451/W451, 0)</f>
        <v>0.41233283803863297</v>
      </c>
    </row>
    <row r="452" spans="1:27" x14ac:dyDescent="0.35">
      <c r="A452" s="2">
        <v>5577150313</v>
      </c>
      <c r="B452" s="2" t="s">
        <v>91</v>
      </c>
      <c r="C452" s="2">
        <f>VLOOKUP(user_activity!A236,users_details!$A$1:$G$34,5,0)</f>
        <v>24</v>
      </c>
      <c r="D452" s="2" t="str" cm="1">
        <f t="array" ref="D452">_xlfn.IFS( AND(C452&gt;=18, C452&lt;=25), "Emerging Adults",  AND(C452&gt;=26, C452&lt;=35),  "Young Adults",  AND(C452&gt;=36, C452&lt;=45),  "Midlife Adults",  AND(C452&gt;=46, C452&lt;=55), "Mature Adults", C452&gt;=56,  "Older Adults", TRUE, "Age Not Mentioned")</f>
        <v>Emerging Adults</v>
      </c>
      <c r="E452" s="2" t="str">
        <f>VLOOKUP(user_activity!A236,users_details!$A$1:$G$34,6,0)</f>
        <v>East Village, Manhattan</v>
      </c>
      <c r="F452" s="2" t="str">
        <f>VLOOKUP(user_activity!A236,users_details!$A$1:$G$34,7,0)</f>
        <v>East Village</v>
      </c>
      <c r="G452" s="2" t="s">
        <v>72</v>
      </c>
      <c r="H452" s="7">
        <v>42485</v>
      </c>
      <c r="I452" s="9" t="str">
        <f t="shared" si="35"/>
        <v>Monday</v>
      </c>
      <c r="J452" s="9" t="str">
        <f t="shared" si="36"/>
        <v>April</v>
      </c>
      <c r="K452" s="2">
        <v>4.7800002099999999</v>
      </c>
      <c r="L452" s="2">
        <v>4.7800002099999999</v>
      </c>
      <c r="M452" s="2">
        <v>0</v>
      </c>
      <c r="N452" s="2">
        <v>1.3500000240000001</v>
      </c>
      <c r="O452" s="2">
        <v>0.670000017</v>
      </c>
      <c r="P452" s="2">
        <v>2.7599999899999998</v>
      </c>
      <c r="Q452" s="2">
        <v>0</v>
      </c>
      <c r="R452" s="2">
        <v>61</v>
      </c>
      <c r="S452" s="2">
        <v>38</v>
      </c>
      <c r="T452" s="2">
        <v>214</v>
      </c>
      <c r="U452" s="2">
        <f t="shared" si="37"/>
        <v>313</v>
      </c>
      <c r="V452" s="2">
        <v>743</v>
      </c>
      <c r="W452" s="2">
        <v>6393</v>
      </c>
      <c r="X452" s="2">
        <f t="shared" si="38"/>
        <v>6393</v>
      </c>
      <c r="Y452" s="2">
        <v>3374</v>
      </c>
      <c r="Z452" t="str" cm="1">
        <f t="array" ref="Z452">_xlfn.IFS(OR(R452&gt;66, S452&gt;38), "High Engagement", OR(AND(R452&gt;32, R452&lt;=66), AND(S452&gt;19, S452&lt;=38)), "Medium-High Engagement", OR(AND(R452&gt;4, R452&lt;=32), AND(S452&gt;6, S452&lt;=19)),"Medium Engagement", TRUE, "Low Engagement"
)</f>
        <v>Medium-High Engagement</v>
      </c>
      <c r="AA452">
        <f t="shared" si="39"/>
        <v>0.52776474268731421</v>
      </c>
    </row>
    <row r="453" spans="1:27" x14ac:dyDescent="0.35">
      <c r="A453" s="2">
        <v>7007744171</v>
      </c>
      <c r="B453" s="2" t="s">
        <v>95</v>
      </c>
      <c r="C453" s="2">
        <f>VLOOKUP(user_activity!A265,users_details!$A$1:$G$34,5,0)</f>
        <v>29</v>
      </c>
      <c r="D453" s="2" t="str" cm="1">
        <f t="array" ref="D453">_xlfn.IFS( AND(C453&gt;=18, C453&lt;=25), "Emerging Adults",  AND(C453&gt;=26, C453&lt;=35),  "Young Adults",  AND(C453&gt;=36, C453&lt;=45),  "Midlife Adults",  AND(C453&gt;=46, C453&lt;=55), "Mature Adults", C453&gt;=56,  "Older Adults", TRUE, "Age Not Mentioned")</f>
        <v>Young Adults</v>
      </c>
      <c r="E453" s="2" t="str">
        <f>VLOOKUP(user_activity!A265,users_details!$A$1:$G$34,6,0)</f>
        <v>East Village, Manhattan</v>
      </c>
      <c r="F453" s="2" t="str">
        <f>VLOOKUP(user_activity!A265,users_details!$A$1:$G$34,7,0)</f>
        <v>East Village</v>
      </c>
      <c r="G453" s="2" t="s">
        <v>71</v>
      </c>
      <c r="H453" s="7">
        <v>42405</v>
      </c>
      <c r="I453" s="9" t="str">
        <f t="shared" si="35"/>
        <v>Friday</v>
      </c>
      <c r="J453" s="9" t="str">
        <f t="shared" si="36"/>
        <v>February</v>
      </c>
      <c r="K453" s="2">
        <v>9.1800003050000001</v>
      </c>
      <c r="L453" s="2">
        <v>8.7200002669999996</v>
      </c>
      <c r="M453" s="2">
        <v>2.8323259350000001</v>
      </c>
      <c r="N453" s="2">
        <v>4.6399998660000001</v>
      </c>
      <c r="O453" s="2">
        <v>0.69999998799999996</v>
      </c>
      <c r="P453" s="2">
        <v>3.829999924</v>
      </c>
      <c r="Q453" s="2">
        <v>0</v>
      </c>
      <c r="R453" s="2">
        <v>64</v>
      </c>
      <c r="S453" s="2">
        <v>14</v>
      </c>
      <c r="T453" s="2">
        <v>250</v>
      </c>
      <c r="U453" s="2">
        <f t="shared" si="37"/>
        <v>328</v>
      </c>
      <c r="V453" s="2">
        <v>1112</v>
      </c>
      <c r="W453" s="2">
        <v>13041</v>
      </c>
      <c r="X453" s="2">
        <f t="shared" si="38"/>
        <v>13041</v>
      </c>
      <c r="Y453" s="2">
        <v>2642</v>
      </c>
      <c r="Z453" t="str" cm="1">
        <f t="array" ref="Z453">_xlfn.IFS(OR(R453&gt;66, S453&gt;38), "High Engagement", OR(AND(R453&gt;32, R453&lt;=66), AND(S453&gt;19, S453&lt;=38)), "Medium-High Engagement", OR(AND(R453&gt;4, R453&lt;=32), AND(S453&gt;6, S453&lt;=19)),"Medium Engagement", TRUE, "Low Engagement"
)</f>
        <v>Medium-High Engagement</v>
      </c>
      <c r="AA453">
        <f t="shared" si="39"/>
        <v>0.20259182578023158</v>
      </c>
    </row>
    <row r="454" spans="1:27" x14ac:dyDescent="0.35">
      <c r="A454" s="2">
        <v>5577150313</v>
      </c>
      <c r="B454" s="2" t="s">
        <v>91</v>
      </c>
      <c r="C454" s="2">
        <f>VLOOKUP(user_activity!A289,users_details!$A$1:$G$34,5,0)</f>
        <v>29</v>
      </c>
      <c r="D454" s="2" t="str" cm="1">
        <f t="array" ref="D454">_xlfn.IFS( AND(C454&gt;=18, C454&lt;=25), "Emerging Adults",  AND(C454&gt;=26, C454&lt;=35),  "Young Adults",  AND(C454&gt;=36, C454&lt;=45),  "Midlife Adults",  AND(C454&gt;=46, C454&lt;=55), "Mature Adults", C454&gt;=56,  "Older Adults", TRUE, "Age Not Mentioned")</f>
        <v>Young Adults</v>
      </c>
      <c r="E454" s="2" t="str">
        <f>VLOOKUP(user_activity!A289,users_details!$A$1:$G$34,6,0)</f>
        <v>East Village, Manhattan</v>
      </c>
      <c r="F454" s="2" t="str">
        <f>VLOOKUP(user_activity!A289,users_details!$A$1:$G$34,7,0)</f>
        <v>East Village</v>
      </c>
      <c r="G454" s="2" t="s">
        <v>72</v>
      </c>
      <c r="H454" s="7">
        <v>42473</v>
      </c>
      <c r="I454" s="9" t="str">
        <f t="shared" si="35"/>
        <v>Wednesday</v>
      </c>
      <c r="J454" s="9" t="str">
        <f t="shared" si="36"/>
        <v>April</v>
      </c>
      <c r="K454" s="2">
        <v>3.789999962</v>
      </c>
      <c r="L454" s="2">
        <v>3.789999962</v>
      </c>
      <c r="M454" s="2">
        <v>0</v>
      </c>
      <c r="N454" s="2">
        <v>0.31999999299999998</v>
      </c>
      <c r="O454" s="2">
        <v>0.219999999</v>
      </c>
      <c r="P454" s="2">
        <v>3.25</v>
      </c>
      <c r="Q454" s="2">
        <v>0</v>
      </c>
      <c r="R454" s="2">
        <v>15</v>
      </c>
      <c r="S454" s="2">
        <v>11</v>
      </c>
      <c r="T454" s="2">
        <v>144</v>
      </c>
      <c r="U454" s="2">
        <f t="shared" si="37"/>
        <v>170</v>
      </c>
      <c r="V454" s="2">
        <v>776</v>
      </c>
      <c r="W454" s="2">
        <v>5077</v>
      </c>
      <c r="X454" s="2">
        <f t="shared" si="38"/>
        <v>5077</v>
      </c>
      <c r="Y454" s="2">
        <v>2551</v>
      </c>
      <c r="Z454" t="str" cm="1">
        <f t="array" ref="Z454">_xlfn.IFS(OR(R454&gt;66, S454&gt;38), "High Engagement", OR(AND(R454&gt;32, R454&lt;=66), AND(S454&gt;19, S454&lt;=38)), "Medium-High Engagement", OR(AND(R454&gt;4, R454&lt;=32), AND(S454&gt;6, S454&lt;=19)),"Medium Engagement", TRUE, "Low Engagement"
)</f>
        <v>Medium Engagement</v>
      </c>
      <c r="AA454">
        <f t="shared" si="39"/>
        <v>0.50246208390781955</v>
      </c>
    </row>
    <row r="455" spans="1:27" x14ac:dyDescent="0.35">
      <c r="A455" s="2">
        <v>7007744171</v>
      </c>
      <c r="B455" s="2" t="s">
        <v>95</v>
      </c>
      <c r="C455" s="2">
        <f>VLOOKUP(user_activity!A330,users_details!$A$1:$G$34,5,0)</f>
        <v>30</v>
      </c>
      <c r="D455" s="2" t="str" cm="1">
        <f t="array" ref="D455">_xlfn.IFS( AND(C455&gt;=18, C455&lt;=25), "Emerging Adults",  AND(C455&gt;=26, C455&lt;=35),  "Young Adults",  AND(C455&gt;=36, C455&lt;=45),  "Midlife Adults",  AND(C455&gt;=46, C455&lt;=55), "Mature Adults", C455&gt;=56,  "Older Adults", TRUE, "Age Not Mentioned")</f>
        <v>Young Adults</v>
      </c>
      <c r="E455" s="2" t="str">
        <f>VLOOKUP(user_activity!A330,users_details!$A$1:$G$34,6,0)</f>
        <v>Midtown, Manhattan</v>
      </c>
      <c r="F455" s="2" t="str">
        <f>VLOOKUP(user_activity!A330,users_details!$A$1:$G$34,7,0)</f>
        <v>Midtown</v>
      </c>
      <c r="G455" s="2" t="s">
        <v>71</v>
      </c>
      <c r="H455" s="7">
        <v>42374</v>
      </c>
      <c r="I455" s="9" t="str">
        <f t="shared" si="35"/>
        <v>Tuesday</v>
      </c>
      <c r="J455" s="9" t="str">
        <f t="shared" si="36"/>
        <v>January</v>
      </c>
      <c r="K455" s="2">
        <v>3.75</v>
      </c>
      <c r="L455" s="2">
        <v>3.75</v>
      </c>
      <c r="M455" s="2">
        <v>0</v>
      </c>
      <c r="N455" s="2">
        <v>0</v>
      </c>
      <c r="O455" s="2">
        <v>0</v>
      </c>
      <c r="P455" s="2">
        <v>3.75</v>
      </c>
      <c r="Q455" s="2">
        <v>0</v>
      </c>
      <c r="R455" s="2">
        <v>0</v>
      </c>
      <c r="S455" s="2">
        <v>0</v>
      </c>
      <c r="T455" s="2">
        <v>237</v>
      </c>
      <c r="U455" s="2">
        <f t="shared" si="37"/>
        <v>237</v>
      </c>
      <c r="V455" s="2">
        <v>1142</v>
      </c>
      <c r="W455" s="2">
        <v>5600</v>
      </c>
      <c r="X455" s="2">
        <f t="shared" si="38"/>
        <v>5600</v>
      </c>
      <c r="Y455" s="2">
        <v>2225</v>
      </c>
      <c r="Z455" t="str" cm="1">
        <f t="array" ref="Z455">_xlfn.IFS(OR(R455&gt;66, S455&gt;38), "High Engagement", OR(AND(R455&gt;32, R455&lt;=66), AND(S455&gt;19, S455&lt;=38)), "Medium-High Engagement", OR(AND(R455&gt;4, R455&lt;=32), AND(S455&gt;6, S455&lt;=19)),"Medium Engagement", TRUE, "Low Engagement"
)</f>
        <v>Low Engagement</v>
      </c>
      <c r="AA455">
        <f t="shared" si="39"/>
        <v>0.39732142857142855</v>
      </c>
    </row>
    <row r="456" spans="1:27" x14ac:dyDescent="0.35">
      <c r="A456" s="2">
        <v>5577150313</v>
      </c>
      <c r="B456" s="2" t="s">
        <v>91</v>
      </c>
      <c r="C456" s="2">
        <f>VLOOKUP(user_activity!A358,users_details!$A$1:$G$34,5,0)</f>
        <v>31</v>
      </c>
      <c r="D456" s="2" t="str" cm="1">
        <f t="array" ref="D456">_xlfn.IFS( AND(C456&gt;=18, C456&lt;=25), "Emerging Adults",  AND(C456&gt;=26, C456&lt;=35),  "Young Adults",  AND(C456&gt;=36, C456&lt;=45),  "Midlife Adults",  AND(C456&gt;=46, C456&lt;=55), "Mature Adults", C456&gt;=56,  "Older Adults", TRUE, "Age Not Mentioned")</f>
        <v>Young Adults</v>
      </c>
      <c r="E456" s="2" t="str">
        <f>VLOOKUP(user_activity!A358,users_details!$A$1:$G$34,6,0)</f>
        <v>Midtown, Manhattan</v>
      </c>
      <c r="F456" s="2" t="str">
        <f>VLOOKUP(user_activity!A358,users_details!$A$1:$G$34,7,0)</f>
        <v>Midtown</v>
      </c>
      <c r="G456" s="2" t="s">
        <v>72</v>
      </c>
      <c r="H456" s="7">
        <v>42587</v>
      </c>
      <c r="I456" s="9" t="str">
        <f t="shared" si="35"/>
        <v>Friday</v>
      </c>
      <c r="J456" s="9" t="str">
        <f t="shared" si="36"/>
        <v>August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f t="shared" si="37"/>
        <v>0</v>
      </c>
      <c r="V456" s="2">
        <v>1440</v>
      </c>
      <c r="W456" s="2">
        <v>0</v>
      </c>
      <c r="X456" s="2">
        <f t="shared" si="38"/>
        <v>7405.5</v>
      </c>
      <c r="Y456" s="2">
        <v>1819</v>
      </c>
      <c r="Z456" t="str" cm="1">
        <f t="array" ref="Z456">_xlfn.IFS(OR(R456&gt;66, S456&gt;38), "High Engagement", OR(AND(R456&gt;32, R456&lt;=66), AND(S456&gt;19, S456&lt;=38)), "Medium-High Engagement", OR(AND(R456&gt;4, R456&lt;=32), AND(S456&gt;6, S456&lt;=19)),"Medium Engagement", TRUE, "Low Engagement"
)</f>
        <v>Low Engagement</v>
      </c>
      <c r="AA456">
        <f t="shared" si="39"/>
        <v>0</v>
      </c>
    </row>
    <row r="457" spans="1:27" x14ac:dyDescent="0.35">
      <c r="A457" s="2">
        <v>5577150313</v>
      </c>
      <c r="B457" s="2" t="s">
        <v>91</v>
      </c>
      <c r="C457" s="2">
        <f>VLOOKUP(user_activity!A380,users_details!$A$1:$G$34,5,0)</f>
        <v>32</v>
      </c>
      <c r="D457" s="2" t="str" cm="1">
        <f t="array" ref="D457">_xlfn.IFS( AND(C457&gt;=18, C457&lt;=25), "Emerging Adults",  AND(C457&gt;=26, C457&lt;=35),  "Young Adults",  AND(C457&gt;=36, C457&lt;=45),  "Midlife Adults",  AND(C457&gt;=46, C457&lt;=55), "Mature Adults", C457&gt;=56,  "Older Adults", TRUE, "Age Not Mentioned")</f>
        <v>Young Adults</v>
      </c>
      <c r="E457" s="2" t="str">
        <f>VLOOKUP(user_activity!A380,users_details!$A$1:$G$34,6,0)</f>
        <v>Greenpoint, Brooklyn</v>
      </c>
      <c r="F457" s="2" t="str">
        <f>VLOOKUP(user_activity!A380,users_details!$A$1:$G$34,7,0)</f>
        <v>Greenpoint</v>
      </c>
      <c r="G457" s="2" t="s">
        <v>72</v>
      </c>
      <c r="H457" s="7">
        <v>42481</v>
      </c>
      <c r="I457" s="9" t="str">
        <f t="shared" si="35"/>
        <v>Thursday</v>
      </c>
      <c r="J457" s="9" t="str">
        <f t="shared" si="36"/>
        <v>April</v>
      </c>
      <c r="K457" s="2">
        <v>8.0900001530000001</v>
      </c>
      <c r="L457" s="2">
        <v>8.0900001530000001</v>
      </c>
      <c r="M457" s="2">
        <v>0</v>
      </c>
      <c r="N457" s="2">
        <v>3.6500000950000002</v>
      </c>
      <c r="O457" s="2">
        <v>1.6599999670000001</v>
      </c>
      <c r="P457" s="2">
        <v>2.7799999710000001</v>
      </c>
      <c r="Q457" s="2">
        <v>0</v>
      </c>
      <c r="R457" s="2">
        <v>110</v>
      </c>
      <c r="S457" s="2">
        <v>74</v>
      </c>
      <c r="T457" s="2">
        <v>175</v>
      </c>
      <c r="U457" s="2">
        <f t="shared" si="37"/>
        <v>359</v>
      </c>
      <c r="V457" s="2">
        <v>670</v>
      </c>
      <c r="W457" s="2">
        <v>10830</v>
      </c>
      <c r="X457" s="2">
        <f t="shared" si="38"/>
        <v>10830</v>
      </c>
      <c r="Y457" s="2">
        <v>4018</v>
      </c>
      <c r="Z457" t="str" cm="1">
        <f t="array" ref="Z457">_xlfn.IFS(OR(R457&gt;66, S457&gt;38), "High Engagement", OR(AND(R457&gt;32, R457&lt;=66), AND(S457&gt;19, S457&lt;=38)), "Medium-High Engagement", OR(AND(R457&gt;4, R457&lt;=32), AND(S457&gt;6, S457&lt;=19)),"Medium Engagement", TRUE, "Low Engagement"
)</f>
        <v>High Engagement</v>
      </c>
      <c r="AA457">
        <f t="shared" si="39"/>
        <v>0.37100646352723915</v>
      </c>
    </row>
    <row r="458" spans="1:27" x14ac:dyDescent="0.35">
      <c r="A458" s="2">
        <v>7007744171</v>
      </c>
      <c r="B458" s="2" t="s">
        <v>95</v>
      </c>
      <c r="C458" s="2">
        <f>VLOOKUP(user_activity!A385,users_details!$A$1:$G$34,5,0)</f>
        <v>32</v>
      </c>
      <c r="D458" s="2" t="str" cm="1">
        <f t="array" ref="D458">_xlfn.IFS( AND(C458&gt;=18, C458&lt;=25), "Emerging Adults",  AND(C458&gt;=26, C458&lt;=35),  "Young Adults",  AND(C458&gt;=36, C458&lt;=45),  "Midlife Adults",  AND(C458&gt;=46, C458&lt;=55), "Mature Adults", C458&gt;=56,  "Older Adults", TRUE, "Age Not Mentioned")</f>
        <v>Young Adults</v>
      </c>
      <c r="E458" s="2" t="str">
        <f>VLOOKUP(user_activity!A385,users_details!$A$1:$G$34,6,0)</f>
        <v>Greenpoint, Brooklyn</v>
      </c>
      <c r="F458" s="2" t="str">
        <f>VLOOKUP(user_activity!A385,users_details!$A$1:$G$34,7,0)</f>
        <v>Greenpoint</v>
      </c>
      <c r="G458" s="2" t="s">
        <v>71</v>
      </c>
      <c r="H458" s="7">
        <v>42477</v>
      </c>
      <c r="I458" s="9" t="str">
        <f t="shared" si="35"/>
        <v>Sunday</v>
      </c>
      <c r="J458" s="9" t="str">
        <f t="shared" si="36"/>
        <v>April</v>
      </c>
      <c r="K458" s="2">
        <v>5.3899998660000001</v>
      </c>
      <c r="L458" s="2">
        <v>5.3899998660000001</v>
      </c>
      <c r="M458" s="2">
        <v>0</v>
      </c>
      <c r="N458" s="2">
        <v>0</v>
      </c>
      <c r="O458" s="2">
        <v>0</v>
      </c>
      <c r="P458" s="2">
        <v>5.3899998660000001</v>
      </c>
      <c r="Q458" s="2">
        <v>0</v>
      </c>
      <c r="R458" s="2">
        <v>0</v>
      </c>
      <c r="S458" s="2">
        <v>0</v>
      </c>
      <c r="T458" s="2">
        <v>305</v>
      </c>
      <c r="U458" s="2">
        <f t="shared" si="37"/>
        <v>305</v>
      </c>
      <c r="V458" s="2">
        <v>1135</v>
      </c>
      <c r="W458" s="2">
        <v>8059</v>
      </c>
      <c r="X458" s="2">
        <f t="shared" si="38"/>
        <v>8059</v>
      </c>
      <c r="Y458" s="2">
        <v>2383</v>
      </c>
      <c r="Z458" t="str" cm="1">
        <f t="array" ref="Z458">_xlfn.IFS(OR(R458&gt;66, S458&gt;38), "High Engagement", OR(AND(R458&gt;32, R458&lt;=66), AND(S458&gt;19, S458&lt;=38)), "Medium-High Engagement", OR(AND(R458&gt;4, R458&lt;=32), AND(S458&gt;6, S458&lt;=19)),"Medium Engagement", TRUE, "Low Engagement"
)</f>
        <v>Low Engagement</v>
      </c>
      <c r="AA458">
        <f t="shared" si="39"/>
        <v>0.2956942548703313</v>
      </c>
    </row>
    <row r="459" spans="1:27" x14ac:dyDescent="0.35">
      <c r="A459" s="2">
        <v>5577150313</v>
      </c>
      <c r="B459" s="2" t="s">
        <v>91</v>
      </c>
      <c r="C459" s="2">
        <f>VLOOKUP(user_activity!A386,users_details!$A$1:$G$34,5,0)</f>
        <v>32</v>
      </c>
      <c r="D459" s="2" t="str" cm="1">
        <f t="array" ref="D459">_xlfn.IFS( AND(C459&gt;=18, C459&lt;=25), "Emerging Adults",  AND(C459&gt;=26, C459&lt;=35),  "Young Adults",  AND(C459&gt;=36, C459&lt;=45),  "Midlife Adults",  AND(C459&gt;=46, C459&lt;=55), "Mature Adults", C459&gt;=56,  "Older Adults", TRUE, "Age Not Mentioned")</f>
        <v>Young Adults</v>
      </c>
      <c r="E459" s="2" t="str">
        <f>VLOOKUP(user_activity!A386,users_details!$A$1:$G$34,6,0)</f>
        <v>Greenpoint, Brooklyn</v>
      </c>
      <c r="F459" s="2" t="str">
        <f>VLOOKUP(user_activity!A386,users_details!$A$1:$G$34,7,0)</f>
        <v>Greenpoint</v>
      </c>
      <c r="G459" s="2" t="s">
        <v>72</v>
      </c>
      <c r="H459" s="7">
        <v>42465</v>
      </c>
      <c r="I459" s="9" t="str">
        <f t="shared" si="35"/>
        <v>Tuesday</v>
      </c>
      <c r="J459" s="9" t="str">
        <f t="shared" si="36"/>
        <v>April</v>
      </c>
      <c r="K459" s="2">
        <v>3.8900001049999999</v>
      </c>
      <c r="L459" s="2">
        <v>3.8900001049999999</v>
      </c>
      <c r="M459" s="2">
        <v>0</v>
      </c>
      <c r="N459" s="2">
        <v>1.559999943</v>
      </c>
      <c r="O459" s="2">
        <v>0.25</v>
      </c>
      <c r="P459" s="2">
        <v>2.079999924</v>
      </c>
      <c r="Q459" s="2">
        <v>0</v>
      </c>
      <c r="R459" s="2">
        <v>25</v>
      </c>
      <c r="S459" s="2">
        <v>9</v>
      </c>
      <c r="T459" s="2">
        <v>141</v>
      </c>
      <c r="U459" s="2">
        <f t="shared" si="37"/>
        <v>175</v>
      </c>
      <c r="V459" s="2">
        <v>631</v>
      </c>
      <c r="W459" s="2">
        <v>5206</v>
      </c>
      <c r="X459" s="2">
        <f t="shared" si="38"/>
        <v>5206</v>
      </c>
      <c r="Y459" s="2">
        <v>2755</v>
      </c>
      <c r="Z459" t="str" cm="1">
        <f t="array" ref="Z459">_xlfn.IFS(OR(R459&gt;66, S459&gt;38), "High Engagement", OR(AND(R459&gt;32, R459&lt;=66), AND(S459&gt;19, S459&lt;=38)), "Medium-High Engagement", OR(AND(R459&gt;4, R459&lt;=32), AND(S459&gt;6, S459&lt;=19)),"Medium Engagement", TRUE, "Low Engagement"
)</f>
        <v>Medium Engagement</v>
      </c>
      <c r="AA459">
        <f t="shared" si="39"/>
        <v>0.52919708029197077</v>
      </c>
    </row>
    <row r="460" spans="1:27" x14ac:dyDescent="0.35">
      <c r="A460" s="2">
        <v>5577150313</v>
      </c>
      <c r="B460" s="2" t="s">
        <v>91</v>
      </c>
      <c r="C460" s="2">
        <f>VLOOKUP(user_activity!A387,users_details!$A$1:$G$34,5,0)</f>
        <v>32</v>
      </c>
      <c r="D460" s="2" t="str" cm="1">
        <f t="array" ref="D460">_xlfn.IFS( AND(C460&gt;=18, C460&lt;=25), "Emerging Adults",  AND(C460&gt;=26, C460&lt;=35),  "Young Adults",  AND(C460&gt;=36, C460&lt;=45),  "Midlife Adults",  AND(C460&gt;=46, C460&lt;=55), "Mature Adults", C460&gt;=56,  "Older Adults", TRUE, "Age Not Mentioned")</f>
        <v>Young Adults</v>
      </c>
      <c r="E460" s="2" t="str">
        <f>VLOOKUP(user_activity!A387,users_details!$A$1:$G$34,6,0)</f>
        <v>East Harlem, Manhattan</v>
      </c>
      <c r="F460" s="2" t="str">
        <f>VLOOKUP(user_activity!A387,users_details!$A$1:$G$34,7,0)</f>
        <v>East Harlem</v>
      </c>
      <c r="G460" s="2" t="s">
        <v>72</v>
      </c>
      <c r="H460" s="7">
        <v>42475</v>
      </c>
      <c r="I460" s="9" t="str">
        <f t="shared" si="35"/>
        <v>Friday</v>
      </c>
      <c r="J460" s="9" t="str">
        <f t="shared" si="36"/>
        <v>April</v>
      </c>
      <c r="K460" s="2">
        <v>9.0799999239999991</v>
      </c>
      <c r="L460" s="2">
        <v>9.0799999239999991</v>
      </c>
      <c r="M460" s="2">
        <v>0</v>
      </c>
      <c r="N460" s="2">
        <v>3.920000076</v>
      </c>
      <c r="O460" s="2">
        <v>1.6000000240000001</v>
      </c>
      <c r="P460" s="2">
        <v>3.5599999430000002</v>
      </c>
      <c r="Q460" s="2">
        <v>0</v>
      </c>
      <c r="R460" s="2">
        <v>115</v>
      </c>
      <c r="S460" s="2">
        <v>54</v>
      </c>
      <c r="T460" s="2">
        <v>199</v>
      </c>
      <c r="U460" s="2">
        <f t="shared" si="37"/>
        <v>368</v>
      </c>
      <c r="V460" s="2">
        <v>695</v>
      </c>
      <c r="W460" s="2">
        <v>12087</v>
      </c>
      <c r="X460" s="2">
        <f t="shared" si="38"/>
        <v>12087</v>
      </c>
      <c r="Y460" s="2">
        <v>4005</v>
      </c>
      <c r="Z460" t="str" cm="1">
        <f t="array" ref="Z460">_xlfn.IFS(OR(R460&gt;66, S460&gt;38), "High Engagement", OR(AND(R460&gt;32, R460&lt;=66), AND(S460&gt;19, S460&lt;=38)), "Medium-High Engagement", OR(AND(R460&gt;4, R460&lt;=32), AND(S460&gt;6, S460&lt;=19)),"Medium Engagement", TRUE, "Low Engagement"
)</f>
        <v>High Engagement</v>
      </c>
      <c r="AA460">
        <f t="shared" si="39"/>
        <v>0.3313477289650037</v>
      </c>
    </row>
    <row r="461" spans="1:27" x14ac:dyDescent="0.35">
      <c r="A461" s="2">
        <v>5577150313</v>
      </c>
      <c r="B461" s="2" t="s">
        <v>91</v>
      </c>
      <c r="C461" s="2">
        <f>VLOOKUP(user_activity!A394,users_details!$A$1:$G$34,5,0)</f>
        <v>32</v>
      </c>
      <c r="D461" s="2" t="str" cm="1">
        <f t="array" ref="D461">_xlfn.IFS( AND(C461&gt;=18, C461&lt;=25), "Emerging Adults",  AND(C461&gt;=26, C461&lt;=35),  "Young Adults",  AND(C461&gt;=36, C461&lt;=45),  "Midlife Adults",  AND(C461&gt;=46, C461&lt;=55), "Mature Adults", C461&gt;=56,  "Older Adults", TRUE, "Age Not Mentioned")</f>
        <v>Young Adults</v>
      </c>
      <c r="E461" s="2" t="str">
        <f>VLOOKUP(user_activity!A394,users_details!$A$1:$G$34,6,0)</f>
        <v>East Harlem, Manhattan</v>
      </c>
      <c r="F461" s="2" t="str">
        <f>VLOOKUP(user_activity!A394,users_details!$A$1:$G$34,7,0)</f>
        <v>East Harlem</v>
      </c>
      <c r="G461" s="2" t="s">
        <v>72</v>
      </c>
      <c r="H461" s="7">
        <v>42618</v>
      </c>
      <c r="I461" s="9" t="str">
        <f t="shared" si="35"/>
        <v>Monday</v>
      </c>
      <c r="J461" s="9" t="str">
        <f t="shared" si="36"/>
        <v>September</v>
      </c>
      <c r="K461" s="2">
        <v>2.5599999430000002</v>
      </c>
      <c r="L461" s="2">
        <v>2.5599999430000002</v>
      </c>
      <c r="M461" s="2">
        <v>0</v>
      </c>
      <c r="N461" s="2">
        <v>1.4299999480000001</v>
      </c>
      <c r="O461" s="2">
        <v>0.14000000100000001</v>
      </c>
      <c r="P461" s="2">
        <v>0.99000001000000004</v>
      </c>
      <c r="Q461" s="2">
        <v>0</v>
      </c>
      <c r="R461" s="2">
        <v>34</v>
      </c>
      <c r="S461" s="2">
        <v>11</v>
      </c>
      <c r="T461" s="2">
        <v>70</v>
      </c>
      <c r="U461" s="2">
        <f t="shared" si="37"/>
        <v>115</v>
      </c>
      <c r="V461" s="2">
        <v>1099</v>
      </c>
      <c r="W461" s="2">
        <v>3421</v>
      </c>
      <c r="X461" s="2">
        <f t="shared" si="38"/>
        <v>3421</v>
      </c>
      <c r="Y461" s="2">
        <v>2489</v>
      </c>
      <c r="Z461" t="str" cm="1">
        <f t="array" ref="Z461">_xlfn.IFS(OR(R461&gt;66, S461&gt;38), "High Engagement", OR(AND(R461&gt;32, R461&lt;=66), AND(S461&gt;19, S461&lt;=38)), "Medium-High Engagement", OR(AND(R461&gt;4, R461&lt;=32), AND(S461&gt;6, S461&lt;=19)),"Medium Engagement", TRUE, "Low Engagement"
)</f>
        <v>Medium-High Engagement</v>
      </c>
      <c r="AA461">
        <f t="shared" si="39"/>
        <v>0.72756503946214557</v>
      </c>
    </row>
    <row r="462" spans="1:27" x14ac:dyDescent="0.35">
      <c r="A462" s="2">
        <v>5577150313</v>
      </c>
      <c r="B462" s="2" t="s">
        <v>91</v>
      </c>
      <c r="C462" s="2">
        <f>VLOOKUP(user_activity!A412,users_details!$A$1:$G$34,5,0)</f>
        <v>32</v>
      </c>
      <c r="D462" s="2" t="str" cm="1">
        <f t="array" ref="D462">_xlfn.IFS( AND(C462&gt;=18, C462&lt;=25), "Emerging Adults",  AND(C462&gt;=26, C462&lt;=35),  "Young Adults",  AND(C462&gt;=36, C462&lt;=45),  "Midlife Adults",  AND(C462&gt;=46, C462&lt;=55), "Mature Adults", C462&gt;=56,  "Older Adults", TRUE, "Age Not Mentioned")</f>
        <v>Young Adults</v>
      </c>
      <c r="E462" s="2" t="str">
        <f>VLOOKUP(user_activity!A412,users_details!$A$1:$G$34,6,0)</f>
        <v>Greenpoint, Brooklyn</v>
      </c>
      <c r="F462" s="2" t="str">
        <f>VLOOKUP(user_activity!A412,users_details!$A$1:$G$34,7,0)</f>
        <v>Greenpoint</v>
      </c>
      <c r="G462" s="2" t="s">
        <v>72</v>
      </c>
      <c r="H462" s="7">
        <v>42708</v>
      </c>
      <c r="I462" s="9" t="str">
        <f t="shared" si="35"/>
        <v>Sunday</v>
      </c>
      <c r="J462" s="9" t="str">
        <f t="shared" si="36"/>
        <v>December</v>
      </c>
      <c r="K462" s="2">
        <v>6.079999924</v>
      </c>
      <c r="L462" s="2">
        <v>6.079999924</v>
      </c>
      <c r="M462" s="2">
        <v>0</v>
      </c>
      <c r="N462" s="2">
        <v>3.5999999049999998</v>
      </c>
      <c r="O462" s="2">
        <v>0.37999999499999998</v>
      </c>
      <c r="P462" s="2">
        <v>2.0999999049999998</v>
      </c>
      <c r="Q462" s="2">
        <v>0</v>
      </c>
      <c r="R462" s="2">
        <v>86</v>
      </c>
      <c r="S462" s="2">
        <v>16</v>
      </c>
      <c r="T462" s="2">
        <v>140</v>
      </c>
      <c r="U462" s="2">
        <f t="shared" si="37"/>
        <v>242</v>
      </c>
      <c r="V462" s="2">
        <v>728</v>
      </c>
      <c r="W462" s="2">
        <v>8135</v>
      </c>
      <c r="X462" s="2">
        <f t="shared" si="38"/>
        <v>8135</v>
      </c>
      <c r="Y462" s="2">
        <v>3405</v>
      </c>
      <c r="Z462" t="str" cm="1">
        <f t="array" ref="Z462">_xlfn.IFS(OR(R462&gt;66, S462&gt;38), "High Engagement", OR(AND(R462&gt;32, R462&lt;=66), AND(S462&gt;19, S462&lt;=38)), "Medium-High Engagement", OR(AND(R462&gt;4, R462&lt;=32), AND(S462&gt;6, S462&lt;=19)),"Medium Engagement", TRUE, "Low Engagement"
)</f>
        <v>High Engagement</v>
      </c>
      <c r="AA462">
        <f t="shared" si="39"/>
        <v>0.41856177012907192</v>
      </c>
    </row>
    <row r="463" spans="1:27" x14ac:dyDescent="0.35">
      <c r="A463" s="2">
        <v>5577150313</v>
      </c>
      <c r="B463" s="2" t="s">
        <v>91</v>
      </c>
      <c r="C463" s="2">
        <f>VLOOKUP(user_activity!A414,users_details!$A$1:$G$34,5,0)</f>
        <v>32</v>
      </c>
      <c r="D463" s="2" t="str" cm="1">
        <f t="array" ref="D463">_xlfn.IFS( AND(C463&gt;=18, C463&lt;=25), "Emerging Adults",  AND(C463&gt;=26, C463&lt;=35),  "Young Adults",  AND(C463&gt;=36, C463&lt;=45),  "Midlife Adults",  AND(C463&gt;=46, C463&lt;=55), "Mature Adults", C463&gt;=56,  "Older Adults", TRUE, "Age Not Mentioned")</f>
        <v>Young Adults</v>
      </c>
      <c r="E463" s="2" t="str">
        <f>VLOOKUP(user_activity!A414,users_details!$A$1:$G$34,6,0)</f>
        <v>Greenpoint, Brooklyn</v>
      </c>
      <c r="F463" s="2" t="str">
        <f>VLOOKUP(user_activity!A414,users_details!$A$1:$G$34,7,0)</f>
        <v>Greenpoint</v>
      </c>
      <c r="G463" s="2" t="s">
        <v>72</v>
      </c>
      <c r="H463" s="7">
        <v>42477</v>
      </c>
      <c r="I463" s="9" t="str">
        <f t="shared" si="35"/>
        <v>Sunday</v>
      </c>
      <c r="J463" s="9" t="str">
        <f t="shared" si="36"/>
        <v>April</v>
      </c>
      <c r="K463" s="2">
        <v>9.1400003430000005</v>
      </c>
      <c r="L463" s="2">
        <v>9.1400003430000005</v>
      </c>
      <c r="M463" s="2">
        <v>0</v>
      </c>
      <c r="N463" s="2">
        <v>5.9800000190000002</v>
      </c>
      <c r="O463" s="2">
        <v>0.829999983</v>
      </c>
      <c r="P463" s="2">
        <v>2.3199999330000001</v>
      </c>
      <c r="Q463" s="2">
        <v>0</v>
      </c>
      <c r="R463" s="2">
        <v>200</v>
      </c>
      <c r="S463" s="2">
        <v>37</v>
      </c>
      <c r="T463" s="2">
        <v>159</v>
      </c>
      <c r="U463" s="2">
        <f t="shared" si="37"/>
        <v>396</v>
      </c>
      <c r="V463" s="2">
        <v>525</v>
      </c>
      <c r="W463" s="2">
        <v>12231</v>
      </c>
      <c r="X463" s="2">
        <f t="shared" si="38"/>
        <v>12231</v>
      </c>
      <c r="Y463" s="2">
        <v>4552</v>
      </c>
      <c r="Z463" t="str" cm="1">
        <f t="array" ref="Z463">_xlfn.IFS(OR(R463&gt;66, S463&gt;38), "High Engagement", OR(AND(R463&gt;32, R463&lt;=66), AND(S463&gt;19, S463&lt;=38)), "Medium-High Engagement", OR(AND(R463&gt;4, R463&lt;=32), AND(S463&gt;6, S463&lt;=19)),"Medium Engagement", TRUE, "Low Engagement"
)</f>
        <v>High Engagement</v>
      </c>
      <c r="AA463">
        <f t="shared" si="39"/>
        <v>0.37216907857084458</v>
      </c>
    </row>
    <row r="464" spans="1:27" x14ac:dyDescent="0.35">
      <c r="A464" s="2">
        <v>7007744171</v>
      </c>
      <c r="B464" s="2" t="s">
        <v>95</v>
      </c>
      <c r="C464" s="2">
        <f>VLOOKUP(user_activity!A430,users_details!$A$1:$G$34,5,0)</f>
        <v>32</v>
      </c>
      <c r="D464" s="2" t="str" cm="1">
        <f t="array" ref="D464">_xlfn.IFS( AND(C464&gt;=18, C464&lt;=25), "Emerging Adults",  AND(C464&gt;=26, C464&lt;=35),  "Young Adults",  AND(C464&gt;=36, C464&lt;=45),  "Midlife Adults",  AND(C464&gt;=46, C464&lt;=55), "Mature Adults", C464&gt;=56,  "Older Adults", TRUE, "Age Not Mentioned")</f>
        <v>Young Adults</v>
      </c>
      <c r="E464" s="2" t="str">
        <f>VLOOKUP(user_activity!A430,users_details!$A$1:$G$34,6,0)</f>
        <v>Greenpoint, Brooklyn</v>
      </c>
      <c r="F464" s="2" t="str">
        <f>VLOOKUP(user_activity!A430,users_details!$A$1:$G$34,7,0)</f>
        <v>Greenpoint</v>
      </c>
      <c r="G464" s="2" t="s">
        <v>71</v>
      </c>
      <c r="H464" s="7">
        <v>42478</v>
      </c>
      <c r="I464" s="9" t="str">
        <f t="shared" si="35"/>
        <v>Monday</v>
      </c>
      <c r="J464" s="9" t="str">
        <f t="shared" si="36"/>
        <v>April</v>
      </c>
      <c r="K464" s="2">
        <v>10.97999954</v>
      </c>
      <c r="L464" s="2">
        <v>9.9099998469999999</v>
      </c>
      <c r="M464" s="2">
        <v>4.9305500980000003</v>
      </c>
      <c r="N464" s="2">
        <v>3.789999962</v>
      </c>
      <c r="O464" s="2">
        <v>2.119999886</v>
      </c>
      <c r="P464" s="2">
        <v>5.0500001909999996</v>
      </c>
      <c r="Q464" s="2">
        <v>0.02</v>
      </c>
      <c r="R464" s="2">
        <v>48</v>
      </c>
      <c r="S464" s="2">
        <v>31</v>
      </c>
      <c r="T464" s="2">
        <v>284</v>
      </c>
      <c r="U464" s="2">
        <f t="shared" si="37"/>
        <v>363</v>
      </c>
      <c r="V464" s="2">
        <v>1077</v>
      </c>
      <c r="W464" s="2">
        <v>14816</v>
      </c>
      <c r="X464" s="2">
        <f t="shared" si="38"/>
        <v>14816</v>
      </c>
      <c r="Y464" s="2">
        <v>2832</v>
      </c>
      <c r="Z464" t="str" cm="1">
        <f t="array" ref="Z464">_xlfn.IFS(OR(R464&gt;66, S464&gt;38), "High Engagement", OR(AND(R464&gt;32, R464&lt;=66), AND(S464&gt;19, S464&lt;=38)), "Medium-High Engagement", OR(AND(R464&gt;4, R464&lt;=32), AND(S464&gt;6, S464&lt;=19)),"Medium Engagement", TRUE, "Low Engagement"
)</f>
        <v>Medium-High Engagement</v>
      </c>
      <c r="AA464">
        <f t="shared" si="39"/>
        <v>0.19114470842332612</v>
      </c>
    </row>
    <row r="465" spans="1:27" x14ac:dyDescent="0.35">
      <c r="A465" s="2">
        <v>5577150313</v>
      </c>
      <c r="B465" s="2" t="s">
        <v>91</v>
      </c>
      <c r="C465" s="2">
        <f>VLOOKUP(user_activity!A442,users_details!$A$1:$G$34,5,0)</f>
        <v>33</v>
      </c>
      <c r="D465" s="2" t="str" cm="1">
        <f t="array" ref="D465">_xlfn.IFS( AND(C465&gt;=18, C465&lt;=25), "Emerging Adults",  AND(C465&gt;=26, C465&lt;=35),  "Young Adults",  AND(C465&gt;=36, C465&lt;=45),  "Midlife Adults",  AND(C465&gt;=46, C465&lt;=55), "Mature Adults", C465&gt;=56,  "Older Adults", TRUE, "Age Not Mentioned")</f>
        <v>Young Adults</v>
      </c>
      <c r="E465" s="2" t="str">
        <f>VLOOKUP(user_activity!A442,users_details!$A$1:$G$34,6,0)</f>
        <v>Greenpoint, Brooklyn</v>
      </c>
      <c r="F465" s="2" t="str">
        <f>VLOOKUP(user_activity!A442,users_details!$A$1:$G$34,7,0)</f>
        <v>Greenpoint</v>
      </c>
      <c r="G465" s="2" t="s">
        <v>72</v>
      </c>
      <c r="H465" s="7">
        <v>42480</v>
      </c>
      <c r="I465" s="9" t="str">
        <f t="shared" si="35"/>
        <v>Wednesday</v>
      </c>
      <c r="J465" s="9" t="str">
        <f t="shared" si="36"/>
        <v>April</v>
      </c>
      <c r="K465" s="2">
        <v>6.2199997900000001</v>
      </c>
      <c r="L465" s="2">
        <v>6.2199997900000001</v>
      </c>
      <c r="M465" s="2">
        <v>0</v>
      </c>
      <c r="N465" s="2">
        <v>4.1199998860000004</v>
      </c>
      <c r="O465" s="2">
        <v>0.34000000400000002</v>
      </c>
      <c r="P465" s="2">
        <v>1.7599999900000001</v>
      </c>
      <c r="Q465" s="2">
        <v>0</v>
      </c>
      <c r="R465" s="2">
        <v>87</v>
      </c>
      <c r="S465" s="2">
        <v>16</v>
      </c>
      <c r="T465" s="2">
        <v>113</v>
      </c>
      <c r="U465" s="2">
        <f t="shared" si="37"/>
        <v>216</v>
      </c>
      <c r="V465" s="2">
        <v>773</v>
      </c>
      <c r="W465" s="2">
        <v>8330</v>
      </c>
      <c r="X465" s="2">
        <f t="shared" si="38"/>
        <v>8330</v>
      </c>
      <c r="Y465" s="2">
        <v>3192</v>
      </c>
      <c r="Z465" t="str" cm="1">
        <f t="array" ref="Z465">_xlfn.IFS(OR(R465&gt;66, S465&gt;38), "High Engagement", OR(AND(R465&gt;32, R465&lt;=66), AND(S465&gt;19, S465&lt;=38)), "Medium-High Engagement", OR(AND(R465&gt;4, R465&lt;=32), AND(S465&gt;6, S465&lt;=19)),"Medium Engagement", TRUE, "Low Engagement"
)</f>
        <v>High Engagement</v>
      </c>
      <c r="AA465">
        <f t="shared" si="39"/>
        <v>0.3831932773109244</v>
      </c>
    </row>
    <row r="466" spans="1:27" x14ac:dyDescent="0.35">
      <c r="A466" s="2">
        <v>7007744171</v>
      </c>
      <c r="B466" s="2" t="s">
        <v>95</v>
      </c>
      <c r="C466" s="2">
        <f>VLOOKUP(user_activity!A448,users_details!$A$1:$G$34,5,0)</f>
        <v>33</v>
      </c>
      <c r="D466" s="2" t="str" cm="1">
        <f t="array" ref="D466">_xlfn.IFS( AND(C466&gt;=18, C466&lt;=25), "Emerging Adults",  AND(C466&gt;=26, C466&lt;=35),  "Young Adults",  AND(C466&gt;=36, C466&lt;=45),  "Midlife Adults",  AND(C466&gt;=46, C466&lt;=55), "Mature Adults", C466&gt;=56,  "Older Adults", TRUE, "Age Not Mentioned")</f>
        <v>Young Adults</v>
      </c>
      <c r="E466" s="2" t="str">
        <f>VLOOKUP(user_activity!A448,users_details!$A$1:$G$34,6,0)</f>
        <v>Harlem, Manhattan</v>
      </c>
      <c r="F466" s="2" t="str">
        <f>VLOOKUP(user_activity!A448,users_details!$A$1:$G$34,7,0)</f>
        <v>Harlem</v>
      </c>
      <c r="G466" s="2" t="s">
        <v>71</v>
      </c>
      <c r="H466" s="7">
        <v>42708</v>
      </c>
      <c r="I466" s="9" t="str">
        <f t="shared" si="35"/>
        <v>Sunday</v>
      </c>
      <c r="J466" s="9" t="str">
        <f t="shared" si="36"/>
        <v>December</v>
      </c>
      <c r="K466" s="2">
        <v>10.289999959999999</v>
      </c>
      <c r="L466" s="2">
        <v>9.4799995419999998</v>
      </c>
      <c r="M466" s="2">
        <v>4.869782925</v>
      </c>
      <c r="N466" s="2">
        <v>4.5</v>
      </c>
      <c r="O466" s="2">
        <v>0.37999999499999998</v>
      </c>
      <c r="P466" s="2">
        <v>5.4099998469999999</v>
      </c>
      <c r="Q466" s="2">
        <v>0</v>
      </c>
      <c r="R466" s="2">
        <v>53</v>
      </c>
      <c r="S466" s="2">
        <v>8</v>
      </c>
      <c r="T466" s="2">
        <v>355</v>
      </c>
      <c r="U466" s="2">
        <f t="shared" si="37"/>
        <v>416</v>
      </c>
      <c r="V466" s="2">
        <v>1024</v>
      </c>
      <c r="W466" s="2">
        <v>14172</v>
      </c>
      <c r="X466" s="2">
        <f t="shared" si="38"/>
        <v>14172</v>
      </c>
      <c r="Y466" s="2">
        <v>2937</v>
      </c>
      <c r="Z466" t="str" cm="1">
        <f t="array" ref="Z466">_xlfn.IFS(OR(R466&gt;66, S466&gt;38), "High Engagement", OR(AND(R466&gt;32, R466&lt;=66), AND(S466&gt;19, S466&lt;=38)), "Medium-High Engagement", OR(AND(R466&gt;4, R466&lt;=32), AND(S466&gt;6, S466&lt;=19)),"Medium Engagement", TRUE, "Low Engagement"
)</f>
        <v>Medium-High Engagement</v>
      </c>
      <c r="AA466">
        <f t="shared" si="39"/>
        <v>0.20723962743437765</v>
      </c>
    </row>
    <row r="467" spans="1:27" x14ac:dyDescent="0.35">
      <c r="A467" s="2">
        <v>7007744171</v>
      </c>
      <c r="B467" s="2" t="s">
        <v>95</v>
      </c>
      <c r="C467" s="2">
        <f>VLOOKUP(user_activity!A449,users_details!$A$1:$G$34,5,0)</f>
        <v>33</v>
      </c>
      <c r="D467" s="2" t="str" cm="1">
        <f t="array" ref="D467">_xlfn.IFS( AND(C467&gt;=18, C467&lt;=25), "Emerging Adults",  AND(C467&gt;=26, C467&lt;=35),  "Young Adults",  AND(C467&gt;=36, C467&lt;=45),  "Midlife Adults",  AND(C467&gt;=46, C467&lt;=55), "Mature Adults", C467&gt;=56,  "Older Adults", TRUE, "Age Not Mentioned")</f>
        <v>Young Adults</v>
      </c>
      <c r="E467" s="2" t="str">
        <f>VLOOKUP(user_activity!A449,users_details!$A$1:$G$34,6,0)</f>
        <v>Harlem, Manhattan</v>
      </c>
      <c r="F467" s="2" t="str">
        <f>VLOOKUP(user_activity!A449,users_details!$A$1:$G$34,7,0)</f>
        <v>Harlem</v>
      </c>
      <c r="G467" s="2" t="s">
        <v>71</v>
      </c>
      <c r="H467" s="7">
        <v>42481</v>
      </c>
      <c r="I467" s="9" t="str">
        <f t="shared" si="35"/>
        <v>Thursday</v>
      </c>
      <c r="J467" s="9" t="str">
        <f t="shared" si="36"/>
        <v>April</v>
      </c>
      <c r="K467" s="2">
        <v>9.1899995800000003</v>
      </c>
      <c r="L467" s="2">
        <v>9.1899995800000003</v>
      </c>
      <c r="M467" s="2">
        <v>0</v>
      </c>
      <c r="N467" s="2">
        <v>2.1500000950000002</v>
      </c>
      <c r="O467" s="2">
        <v>1.8700000050000001</v>
      </c>
      <c r="P467" s="2">
        <v>5.170000076</v>
      </c>
      <c r="Q467" s="2">
        <v>0</v>
      </c>
      <c r="R467" s="2">
        <v>30</v>
      </c>
      <c r="S467" s="2">
        <v>34</v>
      </c>
      <c r="T467" s="2">
        <v>327</v>
      </c>
      <c r="U467" s="2">
        <f t="shared" si="37"/>
        <v>391</v>
      </c>
      <c r="V467" s="2">
        <v>1049</v>
      </c>
      <c r="W467" s="2">
        <v>13744</v>
      </c>
      <c r="X467" s="2">
        <f t="shared" si="38"/>
        <v>13744</v>
      </c>
      <c r="Y467" s="2">
        <v>2763</v>
      </c>
      <c r="Z467" t="str" cm="1">
        <f t="array" ref="Z467">_xlfn.IFS(OR(R467&gt;66, S467&gt;38), "High Engagement", OR(AND(R467&gt;32, R467&lt;=66), AND(S467&gt;19, S467&lt;=38)), "Medium-High Engagement", OR(AND(R467&gt;4, R467&lt;=32), AND(S467&gt;6, S467&lt;=19)),"Medium Engagement", TRUE, "Low Engagement"
)</f>
        <v>Medium-High Engagement</v>
      </c>
      <c r="AA467">
        <f t="shared" si="39"/>
        <v>0.20103317811408614</v>
      </c>
    </row>
    <row r="468" spans="1:27" x14ac:dyDescent="0.35">
      <c r="A468" s="2">
        <v>5577150313</v>
      </c>
      <c r="B468" s="2" t="s">
        <v>91</v>
      </c>
      <c r="C468" s="2">
        <f>VLOOKUP(user_activity!A472,users_details!$A$1:$G$34,5,0)</f>
        <v>33</v>
      </c>
      <c r="D468" s="2" t="str" cm="1">
        <f t="array" ref="D468">_xlfn.IFS( AND(C468&gt;=18, C468&lt;=25), "Emerging Adults",  AND(C468&gt;=26, C468&lt;=35),  "Young Adults",  AND(C468&gt;=36, C468&lt;=45),  "Midlife Adults",  AND(C468&gt;=46, C468&lt;=55), "Mature Adults", C468&gt;=56,  "Older Adults", TRUE, "Age Not Mentioned")</f>
        <v>Young Adults</v>
      </c>
      <c r="E468" s="2" t="str">
        <f>VLOOKUP(user_activity!A472,users_details!$A$1:$G$34,6,0)</f>
        <v>Harlem, Manhattan</v>
      </c>
      <c r="F468" s="2" t="str">
        <f>VLOOKUP(user_activity!A472,users_details!$A$1:$G$34,7,0)</f>
        <v>Harlem</v>
      </c>
      <c r="G468" s="2" t="s">
        <v>72</v>
      </c>
      <c r="H468" s="7">
        <v>42526</v>
      </c>
      <c r="I468" s="9" t="str">
        <f t="shared" si="35"/>
        <v>Sunday</v>
      </c>
      <c r="J468" s="9" t="str">
        <f t="shared" si="36"/>
        <v>June</v>
      </c>
      <c r="K468" s="2">
        <v>3.7000000480000002</v>
      </c>
      <c r="L468" s="2">
        <v>3.7000000480000002</v>
      </c>
      <c r="M468" s="2">
        <v>0</v>
      </c>
      <c r="N468" s="2">
        <v>1.9299999480000001</v>
      </c>
      <c r="O468" s="2">
        <v>0.31999999299999998</v>
      </c>
      <c r="P468" s="2">
        <v>1.4500000479999999</v>
      </c>
      <c r="Q468" s="2">
        <v>0</v>
      </c>
      <c r="R468" s="2">
        <v>41</v>
      </c>
      <c r="S468" s="2">
        <v>16</v>
      </c>
      <c r="T468" s="2">
        <v>79</v>
      </c>
      <c r="U468" s="2">
        <f t="shared" si="37"/>
        <v>136</v>
      </c>
      <c r="V468" s="2">
        <v>1304</v>
      </c>
      <c r="W468" s="2">
        <v>4950</v>
      </c>
      <c r="X468" s="2">
        <f t="shared" si="38"/>
        <v>4950</v>
      </c>
      <c r="Y468" s="2">
        <v>2643</v>
      </c>
      <c r="Z468" t="str" cm="1">
        <f t="array" ref="Z468">_xlfn.IFS(OR(R468&gt;66, S468&gt;38), "High Engagement", OR(AND(R468&gt;32, R468&lt;=66), AND(S468&gt;19, S468&lt;=38)), "Medium-High Engagement", OR(AND(R468&gt;4, R468&lt;=32), AND(S468&gt;6, S468&lt;=19)),"Medium Engagement", TRUE, "Low Engagement"
)</f>
        <v>Medium-High Engagement</v>
      </c>
      <c r="AA468">
        <f t="shared" si="39"/>
        <v>0.53393939393939394</v>
      </c>
    </row>
    <row r="469" spans="1:27" x14ac:dyDescent="0.35">
      <c r="A469" s="2">
        <v>5577150313</v>
      </c>
      <c r="B469" s="2" t="s">
        <v>91</v>
      </c>
      <c r="C469" s="2">
        <f>VLOOKUP(user_activity!A478,users_details!$A$1:$G$34,5,0)</f>
        <v>33</v>
      </c>
      <c r="D469" s="2" t="str" cm="1">
        <f t="array" ref="D469">_xlfn.IFS( AND(C469&gt;=18, C469&lt;=25), "Emerging Adults",  AND(C469&gt;=26, C469&lt;=35),  "Young Adults",  AND(C469&gt;=36, C469&lt;=45),  "Midlife Adults",  AND(C469&gt;=46, C469&lt;=55), "Mature Adults", C469&gt;=56,  "Older Adults", TRUE, "Age Not Mentioned")</f>
        <v>Young Adults</v>
      </c>
      <c r="E469" s="2" t="str">
        <f>VLOOKUP(user_activity!A478,users_details!$A$1:$G$34,6,0)</f>
        <v>Greenpoint, Brooklyn</v>
      </c>
      <c r="F469" s="2" t="str">
        <f>VLOOKUP(user_activity!A478,users_details!$A$1:$G$34,7,0)</f>
        <v>Greenpoint</v>
      </c>
      <c r="G469" s="2" t="s">
        <v>72</v>
      </c>
      <c r="H469" s="7">
        <v>42488</v>
      </c>
      <c r="I469" s="9" t="str">
        <f t="shared" si="35"/>
        <v>Thursday</v>
      </c>
      <c r="J469" s="9" t="str">
        <f t="shared" si="36"/>
        <v>April</v>
      </c>
      <c r="K469" s="2">
        <v>7.4299998279999997</v>
      </c>
      <c r="L469" s="2">
        <v>7.4299998279999997</v>
      </c>
      <c r="M469" s="2">
        <v>0</v>
      </c>
      <c r="N469" s="2">
        <v>3.25</v>
      </c>
      <c r="O469" s="2">
        <v>1.1699999569999999</v>
      </c>
      <c r="P469" s="2">
        <v>3.0099999899999998</v>
      </c>
      <c r="Q469" s="2">
        <v>0</v>
      </c>
      <c r="R469" s="2">
        <v>99</v>
      </c>
      <c r="S469" s="2">
        <v>51</v>
      </c>
      <c r="T469" s="2">
        <v>141</v>
      </c>
      <c r="U469" s="2">
        <f t="shared" si="37"/>
        <v>291</v>
      </c>
      <c r="V469" s="2">
        <v>692</v>
      </c>
      <c r="W469" s="2">
        <v>9841</v>
      </c>
      <c r="X469" s="2">
        <f t="shared" si="38"/>
        <v>9841</v>
      </c>
      <c r="Y469" s="2">
        <v>3580</v>
      </c>
      <c r="Z469" t="str" cm="1">
        <f t="array" ref="Z469">_xlfn.IFS(OR(R469&gt;66, S469&gt;38), "High Engagement", OR(AND(R469&gt;32, R469&lt;=66), AND(S469&gt;19, S469&lt;=38)), "Medium-High Engagement", OR(AND(R469&gt;4, R469&lt;=32), AND(S469&gt;6, S469&lt;=19)),"Medium Engagement", TRUE, "Low Engagement"
)</f>
        <v>High Engagement</v>
      </c>
      <c r="AA469">
        <f t="shared" si="39"/>
        <v>0.36378416827558174</v>
      </c>
    </row>
    <row r="470" spans="1:27" x14ac:dyDescent="0.35">
      <c r="A470" s="2">
        <v>5577150313</v>
      </c>
      <c r="B470" s="2" t="s">
        <v>91</v>
      </c>
      <c r="C470" s="2">
        <f>VLOOKUP(user_activity!A493,users_details!$A$1:$G$34,5,0)</f>
        <v>33</v>
      </c>
      <c r="D470" s="2" t="str" cm="1">
        <f t="array" ref="D470">_xlfn.IFS( AND(C470&gt;=18, C470&lt;=25), "Emerging Adults",  AND(C470&gt;=26, C470&lt;=35),  "Young Adults",  AND(C470&gt;=36, C470&lt;=45),  "Midlife Adults",  AND(C470&gt;=46, C470&lt;=55), "Mature Adults", C470&gt;=56,  "Older Adults", TRUE, "Age Not Mentioned")</f>
        <v>Young Adults</v>
      </c>
      <c r="E470" s="2" t="str">
        <f>VLOOKUP(user_activity!A493,users_details!$A$1:$G$34,6,0)</f>
        <v>Greenpoint, Brooklyn</v>
      </c>
      <c r="F470" s="2" t="str">
        <f>VLOOKUP(user_activity!A493,users_details!$A$1:$G$34,7,0)</f>
        <v>Greenpoint</v>
      </c>
      <c r="G470" s="2" t="s">
        <v>72</v>
      </c>
      <c r="H470" s="7">
        <v>42434</v>
      </c>
      <c r="I470" s="9" t="str">
        <f t="shared" si="35"/>
        <v>Saturday</v>
      </c>
      <c r="J470" s="9" t="str">
        <f t="shared" si="36"/>
        <v>March</v>
      </c>
      <c r="K470" s="2">
        <v>8.25</v>
      </c>
      <c r="L470" s="2">
        <v>8.25</v>
      </c>
      <c r="M470" s="2">
        <v>0</v>
      </c>
      <c r="N470" s="2">
        <v>4.5199999809999998</v>
      </c>
      <c r="O470" s="2">
        <v>0.15000000599999999</v>
      </c>
      <c r="P470" s="2">
        <v>3.5699999330000001</v>
      </c>
      <c r="Q470" s="2">
        <v>0</v>
      </c>
      <c r="R470" s="2">
        <v>97</v>
      </c>
      <c r="S470" s="2">
        <v>8</v>
      </c>
      <c r="T470" s="2">
        <v>212</v>
      </c>
      <c r="U470" s="2">
        <f t="shared" si="37"/>
        <v>317</v>
      </c>
      <c r="V470" s="2">
        <v>580</v>
      </c>
      <c r="W470" s="2">
        <v>11045</v>
      </c>
      <c r="X470" s="2">
        <f t="shared" si="38"/>
        <v>11045</v>
      </c>
      <c r="Y470" s="2">
        <v>3795</v>
      </c>
      <c r="Z470" t="str" cm="1">
        <f t="array" ref="Z470">_xlfn.IFS(OR(R470&gt;66, S470&gt;38), "High Engagement", OR(AND(R470&gt;32, R470&lt;=66), AND(S470&gt;19, S470&lt;=38)), "Medium-High Engagement", OR(AND(R470&gt;4, R470&lt;=32), AND(S470&gt;6, S470&lt;=19)),"Medium Engagement", TRUE, "Low Engagement"
)</f>
        <v>High Engagement</v>
      </c>
      <c r="AA470">
        <f t="shared" si="39"/>
        <v>0.34359438660027164</v>
      </c>
    </row>
    <row r="471" spans="1:27" x14ac:dyDescent="0.35">
      <c r="A471" s="2">
        <v>5577150313</v>
      </c>
      <c r="B471" s="2" t="s">
        <v>91</v>
      </c>
      <c r="C471" s="2">
        <f>VLOOKUP(user_activity!A510,users_details!$A$1:$G$34,5,0)</f>
        <v>36</v>
      </c>
      <c r="D471" s="2" t="str" cm="1">
        <f t="array" ref="D471">_xlfn.IFS( AND(C471&gt;=18, C471&lt;=25), "Emerging Adults",  AND(C471&gt;=26, C471&lt;=35),  "Young Adults",  AND(C471&gt;=36, C471&lt;=45),  "Midlife Adults",  AND(C471&gt;=46, C471&lt;=55), "Mature Adults", C471&gt;=56,  "Older Adults", TRUE, "Age Not Mentioned")</f>
        <v>Midlife Adults</v>
      </c>
      <c r="E471" s="2" t="str">
        <f>VLOOKUP(user_activity!A510,users_details!$A$1:$G$34,6,0)</f>
        <v>Williamsburg, Brooklyn</v>
      </c>
      <c r="F471" s="2" t="str">
        <f>VLOOKUP(user_activity!A510,users_details!$A$1:$G$34,7,0)</f>
        <v>Williamsburg</v>
      </c>
      <c r="G471" s="2" t="s">
        <v>72</v>
      </c>
      <c r="H471" s="7">
        <v>42483</v>
      </c>
      <c r="I471" s="9" t="str">
        <f t="shared" si="35"/>
        <v>Saturday</v>
      </c>
      <c r="J471" s="9" t="str">
        <f t="shared" si="36"/>
        <v>April</v>
      </c>
      <c r="K471" s="2">
        <v>5.7100000380000004</v>
      </c>
      <c r="L471" s="2">
        <v>5.7100000380000004</v>
      </c>
      <c r="M471" s="2">
        <v>0</v>
      </c>
      <c r="N471" s="2">
        <v>1.210000038</v>
      </c>
      <c r="O471" s="2">
        <v>0.36000001399999998</v>
      </c>
      <c r="P471" s="2">
        <v>4.1399998660000001</v>
      </c>
      <c r="Q471" s="2">
        <v>0</v>
      </c>
      <c r="R471" s="2">
        <v>24</v>
      </c>
      <c r="S471" s="2">
        <v>24</v>
      </c>
      <c r="T471" s="2">
        <v>223</v>
      </c>
      <c r="U471" s="2">
        <f t="shared" si="37"/>
        <v>271</v>
      </c>
      <c r="V471" s="2">
        <v>627</v>
      </c>
      <c r="W471" s="2">
        <v>7638</v>
      </c>
      <c r="X471" s="2">
        <f t="shared" si="38"/>
        <v>7638</v>
      </c>
      <c r="Y471" s="2">
        <v>3152</v>
      </c>
      <c r="Z471" t="str" cm="1">
        <f t="array" ref="Z471">_xlfn.IFS(OR(R471&gt;66, S471&gt;38), "High Engagement", OR(AND(R471&gt;32, R471&lt;=66), AND(S471&gt;19, S471&lt;=38)), "Medium-High Engagement", OR(AND(R471&gt;4, R471&lt;=32), AND(S471&gt;6, S471&lt;=19)),"Medium Engagement", TRUE, "Low Engagement"
)</f>
        <v>Medium-High Engagement</v>
      </c>
      <c r="AA471">
        <f t="shared" si="39"/>
        <v>0.41267347473160515</v>
      </c>
    </row>
    <row r="472" spans="1:27" x14ac:dyDescent="0.35">
      <c r="A472" s="2">
        <v>5577150313</v>
      </c>
      <c r="B472" s="2" t="s">
        <v>91</v>
      </c>
      <c r="C472" s="2">
        <f>VLOOKUP(user_activity!A553,users_details!$A$1:$G$34,5,0)</f>
        <v>38</v>
      </c>
      <c r="D472" s="2" t="str" cm="1">
        <f t="array" ref="D472">_xlfn.IFS( AND(C472&gt;=18, C472&lt;=25), "Emerging Adults",  AND(C472&gt;=26, C472&lt;=35),  "Young Adults",  AND(C472&gt;=36, C472&lt;=45),  "Midlife Adults",  AND(C472&gt;=46, C472&lt;=55), "Mature Adults", C472&gt;=56,  "Older Adults", TRUE, "Age Not Mentioned")</f>
        <v>Midlife Adults</v>
      </c>
      <c r="E472" s="2" t="str">
        <f>VLOOKUP(user_activity!A553,users_details!$A$1:$G$34,6,0)</f>
        <v>Midtown, Manhattan</v>
      </c>
      <c r="F472" s="2" t="str">
        <f>VLOOKUP(user_activity!A553,users_details!$A$1:$G$34,7,0)</f>
        <v>Midtown</v>
      </c>
      <c r="G472" s="2" t="s">
        <v>72</v>
      </c>
      <c r="H472" s="7">
        <v>42486</v>
      </c>
      <c r="I472" s="9" t="str">
        <f t="shared" si="35"/>
        <v>Tuesday</v>
      </c>
      <c r="J472" s="9" t="str">
        <f t="shared" si="36"/>
        <v>April</v>
      </c>
      <c r="K472" s="2">
        <v>3.9800000190000002</v>
      </c>
      <c r="L472" s="2">
        <v>3.9800000190000002</v>
      </c>
      <c r="M472" s="2">
        <v>0</v>
      </c>
      <c r="N472" s="2">
        <v>0.85000002399999997</v>
      </c>
      <c r="O472" s="2">
        <v>0.64999997600000003</v>
      </c>
      <c r="P472" s="2">
        <v>2.4700000289999999</v>
      </c>
      <c r="Q472" s="2">
        <v>0</v>
      </c>
      <c r="R472" s="2">
        <v>38</v>
      </c>
      <c r="S472" s="2">
        <v>32</v>
      </c>
      <c r="T472" s="2">
        <v>181</v>
      </c>
      <c r="U472" s="2">
        <f t="shared" si="37"/>
        <v>251</v>
      </c>
      <c r="V472" s="2">
        <v>759</v>
      </c>
      <c r="W472" s="2">
        <v>5325</v>
      </c>
      <c r="X472" s="2">
        <f t="shared" si="38"/>
        <v>5325</v>
      </c>
      <c r="Y472" s="2">
        <v>3088</v>
      </c>
      <c r="Z472" t="str" cm="1">
        <f t="array" ref="Z472">_xlfn.IFS(OR(R472&gt;66, S472&gt;38), "High Engagement", OR(AND(R472&gt;32, R472&lt;=66), AND(S472&gt;19, S472&lt;=38)), "Medium-High Engagement", OR(AND(R472&gt;4, R472&lt;=32), AND(S472&gt;6, S472&lt;=19)),"Medium Engagement", TRUE, "Low Engagement"
)</f>
        <v>Medium-High Engagement</v>
      </c>
      <c r="AA472">
        <f t="shared" si="39"/>
        <v>0.57990610328638492</v>
      </c>
    </row>
    <row r="473" spans="1:27" x14ac:dyDescent="0.35">
      <c r="A473" s="2">
        <v>7007744171</v>
      </c>
      <c r="B473" s="2" t="s">
        <v>95</v>
      </c>
      <c r="C473" s="2">
        <f>VLOOKUP(user_activity!A575,users_details!$A$1:$G$34,5,0)</f>
        <v>38</v>
      </c>
      <c r="D473" s="2" t="str" cm="1">
        <f t="array" ref="D473">_xlfn.IFS( AND(C473&gt;=18, C473&lt;=25), "Emerging Adults",  AND(C473&gt;=26, C473&lt;=35),  "Young Adults",  AND(C473&gt;=36, C473&lt;=45),  "Midlife Adults",  AND(C473&gt;=46, C473&lt;=55), "Mature Adults", C473&gt;=56,  "Older Adults", TRUE, "Age Not Mentioned")</f>
        <v>Midlife Adults</v>
      </c>
      <c r="E473" s="2" t="str">
        <f>VLOOKUP(user_activity!A575,users_details!$A$1:$G$34,6,0)</f>
        <v>Midtown, Manhattan</v>
      </c>
      <c r="F473" s="2" t="str">
        <f>VLOOKUP(user_activity!A575,users_details!$A$1:$G$34,7,0)</f>
        <v>Midtown</v>
      </c>
      <c r="G473" s="2" t="s">
        <v>71</v>
      </c>
      <c r="H473" s="7">
        <v>42473</v>
      </c>
      <c r="I473" s="9" t="str">
        <f t="shared" si="35"/>
        <v>Wednesday</v>
      </c>
      <c r="J473" s="9" t="str">
        <f t="shared" si="36"/>
        <v>April</v>
      </c>
      <c r="K473" s="2">
        <v>9.6499996190000008</v>
      </c>
      <c r="L473" s="2">
        <v>8.6000003809999992</v>
      </c>
      <c r="M473" s="2">
        <v>4.8513069150000003</v>
      </c>
      <c r="N473" s="2">
        <v>4.6100001339999999</v>
      </c>
      <c r="O473" s="2">
        <v>0.560000002</v>
      </c>
      <c r="P473" s="2">
        <v>4.4800000190000002</v>
      </c>
      <c r="Q473" s="2">
        <v>0</v>
      </c>
      <c r="R473" s="2">
        <v>56</v>
      </c>
      <c r="S473" s="2">
        <v>22</v>
      </c>
      <c r="T473" s="2">
        <v>261</v>
      </c>
      <c r="U473" s="2">
        <f t="shared" si="37"/>
        <v>339</v>
      </c>
      <c r="V473" s="2">
        <v>1101</v>
      </c>
      <c r="W473" s="2">
        <v>12862</v>
      </c>
      <c r="X473" s="2">
        <f t="shared" si="38"/>
        <v>12862</v>
      </c>
      <c r="Y473" s="2">
        <v>2742</v>
      </c>
      <c r="Z473" t="str" cm="1">
        <f t="array" ref="Z473">_xlfn.IFS(OR(R473&gt;66, S473&gt;38), "High Engagement", OR(AND(R473&gt;32, R473&lt;=66), AND(S473&gt;19, S473&lt;=38)), "Medium-High Engagement", OR(AND(R473&gt;4, R473&lt;=32), AND(S473&gt;6, S473&lt;=19)),"Medium Engagement", TRUE, "Low Engagement"
)</f>
        <v>Medium-High Engagement</v>
      </c>
      <c r="AA473">
        <f t="shared" si="39"/>
        <v>0.21318612968434147</v>
      </c>
    </row>
    <row r="474" spans="1:27" x14ac:dyDescent="0.35">
      <c r="A474" s="2">
        <v>7007744171</v>
      </c>
      <c r="B474" s="2" t="s">
        <v>95</v>
      </c>
      <c r="C474" s="2">
        <f>VLOOKUP(user_activity!A599,users_details!$A$1:$G$34,5,0)</f>
        <v>39</v>
      </c>
      <c r="D474" s="2" t="str" cm="1">
        <f t="array" ref="D474">_xlfn.IFS( AND(C474&gt;=18, C474&lt;=25), "Emerging Adults",  AND(C474&gt;=26, C474&lt;=35),  "Young Adults",  AND(C474&gt;=36, C474&lt;=45),  "Midlife Adults",  AND(C474&gt;=46, C474&lt;=55), "Mature Adults", C474&gt;=56,  "Older Adults", TRUE, "Age Not Mentioned")</f>
        <v>Midlife Adults</v>
      </c>
      <c r="E474" s="2" t="str">
        <f>VLOOKUP(user_activity!A599,users_details!$A$1:$G$34,6,0)</f>
        <v>East Village, Manhattan</v>
      </c>
      <c r="F474" s="2" t="str">
        <f>VLOOKUP(user_activity!A599,users_details!$A$1:$G$34,7,0)</f>
        <v>East Village</v>
      </c>
      <c r="G474" s="2" t="s">
        <v>71</v>
      </c>
      <c r="H474" s="7">
        <v>42495</v>
      </c>
      <c r="I474" s="9" t="str">
        <f t="shared" si="35"/>
        <v>Thursday</v>
      </c>
      <c r="J474" s="9" t="str">
        <f t="shared" si="36"/>
        <v>May</v>
      </c>
      <c r="K474" s="2">
        <v>11.100000380000001</v>
      </c>
      <c r="L474" s="2">
        <v>10.039999959999999</v>
      </c>
      <c r="M474" s="2">
        <v>4.8782320019999998</v>
      </c>
      <c r="N474" s="2">
        <v>4.329999924</v>
      </c>
      <c r="O474" s="2">
        <v>1.289999962</v>
      </c>
      <c r="P474" s="2">
        <v>5.4800000190000002</v>
      </c>
      <c r="Q474" s="2">
        <v>0</v>
      </c>
      <c r="R474" s="2">
        <v>53</v>
      </c>
      <c r="S474" s="2">
        <v>23</v>
      </c>
      <c r="T474" s="2">
        <v>317</v>
      </c>
      <c r="U474" s="2">
        <f t="shared" si="37"/>
        <v>393</v>
      </c>
      <c r="V474" s="2">
        <v>1047</v>
      </c>
      <c r="W474" s="2">
        <v>15010</v>
      </c>
      <c r="X474" s="2">
        <f t="shared" si="38"/>
        <v>15010</v>
      </c>
      <c r="Y474" s="2">
        <v>2933</v>
      </c>
      <c r="Z474" t="str" cm="1">
        <f t="array" ref="Z474">_xlfn.IFS(OR(R474&gt;66, S474&gt;38), "High Engagement", OR(AND(R474&gt;32, R474&lt;=66), AND(S474&gt;19, S474&lt;=38)), "Medium-High Engagement", OR(AND(R474&gt;4, R474&lt;=32), AND(S474&gt;6, S474&lt;=19)),"Medium Engagement", TRUE, "Low Engagement"
)</f>
        <v>Medium-High Engagement</v>
      </c>
      <c r="AA474">
        <f t="shared" si="39"/>
        <v>0.19540306462358428</v>
      </c>
    </row>
    <row r="475" spans="1:27" x14ac:dyDescent="0.35">
      <c r="A475" s="2">
        <v>5577150313</v>
      </c>
      <c r="B475" s="2" t="s">
        <v>91</v>
      </c>
      <c r="C475" s="2">
        <f>VLOOKUP(user_activity!A617,users_details!$A$1:$G$34,5,0)</f>
        <v>41</v>
      </c>
      <c r="D475" s="2" t="str" cm="1">
        <f t="array" ref="D475">_xlfn.IFS( AND(C475&gt;=18, C475&lt;=25), "Emerging Adults",  AND(C475&gt;=26, C475&lt;=35),  "Young Adults",  AND(C475&gt;=36, C475&lt;=45),  "Midlife Adults",  AND(C475&gt;=46, C475&lt;=55), "Mature Adults", C475&gt;=56,  "Older Adults", TRUE, "Age Not Mentioned")</f>
        <v>Midlife Adults</v>
      </c>
      <c r="E475" s="2" t="str">
        <f>VLOOKUP(user_activity!A617,users_details!$A$1:$G$34,6,0)</f>
        <v>East Harlem, Manhattan</v>
      </c>
      <c r="F475" s="2" t="str">
        <f>VLOOKUP(user_activity!A617,users_details!$A$1:$G$34,7,0)</f>
        <v>East Harlem</v>
      </c>
      <c r="G475" s="2" t="s">
        <v>72</v>
      </c>
      <c r="H475" s="7">
        <v>42484</v>
      </c>
      <c r="I475" s="9" t="str">
        <f t="shared" si="35"/>
        <v>Sunday</v>
      </c>
      <c r="J475" s="9" t="str">
        <f t="shared" si="36"/>
        <v>April</v>
      </c>
      <c r="K475" s="2">
        <v>11.77999973</v>
      </c>
      <c r="L475" s="2">
        <v>11.77999973</v>
      </c>
      <c r="M475" s="2">
        <v>0</v>
      </c>
      <c r="N475" s="2">
        <v>7.6500000950000002</v>
      </c>
      <c r="O475" s="2">
        <v>2.1500000950000002</v>
      </c>
      <c r="P475" s="2">
        <v>1.980000019</v>
      </c>
      <c r="Q475" s="2">
        <v>0</v>
      </c>
      <c r="R475" s="2">
        <v>210</v>
      </c>
      <c r="S475" s="2">
        <v>65</v>
      </c>
      <c r="T475" s="2">
        <v>141</v>
      </c>
      <c r="U475" s="2">
        <f t="shared" si="37"/>
        <v>416</v>
      </c>
      <c r="V475" s="2">
        <v>425</v>
      </c>
      <c r="W475" s="2">
        <v>15764</v>
      </c>
      <c r="X475" s="2">
        <f t="shared" si="38"/>
        <v>15764</v>
      </c>
      <c r="Y475" s="2">
        <v>4392</v>
      </c>
      <c r="Z475" t="str" cm="1">
        <f t="array" ref="Z475">_xlfn.IFS(OR(R475&gt;66, S475&gt;38), "High Engagement", OR(AND(R475&gt;32, R475&lt;=66), AND(S475&gt;19, S475&lt;=38)), "Medium-High Engagement", OR(AND(R475&gt;4, R475&lt;=32), AND(S475&gt;6, S475&lt;=19)),"Medium Engagement", TRUE, "Low Engagement"
)</f>
        <v>High Engagement</v>
      </c>
      <c r="AA475">
        <f t="shared" si="39"/>
        <v>0.27860948997716317</v>
      </c>
    </row>
    <row r="476" spans="1:27" x14ac:dyDescent="0.35">
      <c r="A476" s="2">
        <v>5577150313</v>
      </c>
      <c r="B476" s="2" t="s">
        <v>91</v>
      </c>
      <c r="C476" s="2">
        <f>VLOOKUP(user_activity!A632,users_details!$A$1:$G$34,5,0)</f>
        <v>41</v>
      </c>
      <c r="D476" s="2" t="str" cm="1">
        <f t="array" ref="D476">_xlfn.IFS( AND(C476&gt;=18, C476&lt;=25), "Emerging Adults",  AND(C476&gt;=26, C476&lt;=35),  "Young Adults",  AND(C476&gt;=36, C476&lt;=45),  "Midlife Adults",  AND(C476&gt;=46, C476&lt;=55), "Mature Adults", C476&gt;=56,  "Older Adults", TRUE, "Age Not Mentioned")</f>
        <v>Midlife Adults</v>
      </c>
      <c r="E476" s="2" t="str">
        <f>VLOOKUP(user_activity!A632,users_details!$A$1:$G$34,6,0)</f>
        <v>East Harlem, Manhattan</v>
      </c>
      <c r="F476" s="2" t="str">
        <f>VLOOKUP(user_activity!A632,users_details!$A$1:$G$34,7,0)</f>
        <v>East Harlem</v>
      </c>
      <c r="G476" s="2" t="s">
        <v>72</v>
      </c>
      <c r="H476" s="7">
        <v>42374</v>
      </c>
      <c r="I476" s="9" t="str">
        <f t="shared" si="35"/>
        <v>Tuesday</v>
      </c>
      <c r="J476" s="9" t="str">
        <f t="shared" si="36"/>
        <v>January</v>
      </c>
      <c r="K476" s="2">
        <v>9.9899997710000008</v>
      </c>
      <c r="L476" s="2">
        <v>9.9899997710000008</v>
      </c>
      <c r="M476" s="2">
        <v>0</v>
      </c>
      <c r="N476" s="2">
        <v>5.3099999430000002</v>
      </c>
      <c r="O476" s="2">
        <v>1.440000057</v>
      </c>
      <c r="P476" s="2">
        <v>3.2400000100000002</v>
      </c>
      <c r="Q476" s="2">
        <v>0</v>
      </c>
      <c r="R476" s="2">
        <v>194</v>
      </c>
      <c r="S476" s="2">
        <v>72</v>
      </c>
      <c r="T476" s="2">
        <v>178</v>
      </c>
      <c r="U476" s="2">
        <f t="shared" si="37"/>
        <v>444</v>
      </c>
      <c r="V476" s="2">
        <v>499</v>
      </c>
      <c r="W476" s="2">
        <v>13368</v>
      </c>
      <c r="X476" s="2">
        <f t="shared" si="38"/>
        <v>13368</v>
      </c>
      <c r="Y476" s="2">
        <v>4546</v>
      </c>
      <c r="Z476" t="str" cm="1">
        <f t="array" ref="Z476">_xlfn.IFS(OR(R476&gt;66, S476&gt;38), "High Engagement", OR(AND(R476&gt;32, R476&lt;=66), AND(S476&gt;19, S476&lt;=38)), "Medium-High Engagement", OR(AND(R476&gt;4, R476&lt;=32), AND(S476&gt;6, S476&lt;=19)),"Medium Engagement", TRUE, "Low Engagement"
)</f>
        <v>High Engagement</v>
      </c>
      <c r="AA476">
        <f t="shared" si="39"/>
        <v>0.34006582884500297</v>
      </c>
    </row>
    <row r="477" spans="1:27" x14ac:dyDescent="0.35">
      <c r="A477" s="2">
        <v>7007744171</v>
      </c>
      <c r="B477" s="2" t="s">
        <v>95</v>
      </c>
      <c r="C477" s="2">
        <f>VLOOKUP(user_activity!A633,users_details!$A$1:$G$34,5,0)</f>
        <v>41</v>
      </c>
      <c r="D477" s="2" t="str" cm="1">
        <f t="array" ref="D477">_xlfn.IFS( AND(C477&gt;=18, C477&lt;=25), "Emerging Adults",  AND(C477&gt;=26, C477&lt;=35),  "Young Adults",  AND(C477&gt;=36, C477&lt;=45),  "Midlife Adults",  AND(C477&gt;=46, C477&lt;=55), "Mature Adults", C477&gt;=56,  "Older Adults", TRUE, "Age Not Mentioned")</f>
        <v>Midlife Adults</v>
      </c>
      <c r="E477" s="2" t="str">
        <f>VLOOKUP(user_activity!A633,users_details!$A$1:$G$34,6,0)</f>
        <v>East Harlem, Manhattan</v>
      </c>
      <c r="F477" s="2" t="str">
        <f>VLOOKUP(user_activity!A633,users_details!$A$1:$G$34,7,0)</f>
        <v>East Harlem</v>
      </c>
      <c r="G477" s="2" t="s">
        <v>71</v>
      </c>
      <c r="H477" s="7">
        <v>42434</v>
      </c>
      <c r="I477" s="9" t="str">
        <f t="shared" si="35"/>
        <v>Saturday</v>
      </c>
      <c r="J477" s="9" t="str">
        <f t="shared" si="36"/>
        <v>March</v>
      </c>
      <c r="K477" s="2">
        <v>10.869999890000001</v>
      </c>
      <c r="L477" s="2">
        <v>9.7100000380000004</v>
      </c>
      <c r="M477" s="2">
        <v>4.9123678210000001</v>
      </c>
      <c r="N477" s="2">
        <v>4.4800000190000002</v>
      </c>
      <c r="O477" s="2">
        <v>1.019999981</v>
      </c>
      <c r="P477" s="2">
        <v>5.3600001339999999</v>
      </c>
      <c r="Q477" s="2">
        <v>0</v>
      </c>
      <c r="R477" s="2">
        <v>58</v>
      </c>
      <c r="S477" s="2">
        <v>31</v>
      </c>
      <c r="T477" s="2">
        <v>330</v>
      </c>
      <c r="U477" s="2">
        <f t="shared" si="37"/>
        <v>419</v>
      </c>
      <c r="V477" s="2">
        <v>1021</v>
      </c>
      <c r="W477" s="2">
        <v>14510</v>
      </c>
      <c r="X477" s="2">
        <f t="shared" si="38"/>
        <v>14510</v>
      </c>
      <c r="Y477" s="2">
        <v>2976</v>
      </c>
      <c r="Z477" t="str" cm="1">
        <f t="array" ref="Z477">_xlfn.IFS(OR(R477&gt;66, S477&gt;38), "High Engagement", OR(AND(R477&gt;32, R477&lt;=66), AND(S477&gt;19, S477&lt;=38)), "Medium-High Engagement", OR(AND(R477&gt;4, R477&lt;=32), AND(S477&gt;6, S477&lt;=19)),"Medium Engagement", TRUE, "Low Engagement"
)</f>
        <v>Medium-High Engagement</v>
      </c>
      <c r="AA477">
        <f t="shared" si="39"/>
        <v>0.20509993108201241</v>
      </c>
    </row>
    <row r="478" spans="1:27" x14ac:dyDescent="0.35">
      <c r="A478" s="2">
        <v>7007744171</v>
      </c>
      <c r="B478" s="2" t="s">
        <v>95</v>
      </c>
      <c r="C478" s="2">
        <f>VLOOKUP(user_activity!A641,users_details!$A$1:$G$34,5,0)</f>
        <v>45</v>
      </c>
      <c r="D478" s="2" t="str" cm="1">
        <f t="array" ref="D478">_xlfn.IFS( AND(C478&gt;=18, C478&lt;=25), "Emerging Adults",  AND(C478&gt;=26, C478&lt;=35),  "Young Adults",  AND(C478&gt;=36, C478&lt;=45),  "Midlife Adults",  AND(C478&gt;=46, C478&lt;=55), "Mature Adults", C478&gt;=56,  "Older Adults", TRUE, "Age Not Mentioned")</f>
        <v>Midlife Adults</v>
      </c>
      <c r="E478" s="2" t="str">
        <f>VLOOKUP(user_activity!A641,users_details!$A$1:$G$34,6,0)</f>
        <v>Harlem, Manhattan</v>
      </c>
      <c r="F478" s="2" t="str">
        <f>VLOOKUP(user_activity!A641,users_details!$A$1:$G$34,7,0)</f>
        <v>Harlem</v>
      </c>
      <c r="G478" s="2" t="s">
        <v>71</v>
      </c>
      <c r="H478" s="7">
        <v>42476</v>
      </c>
      <c r="I478" s="9" t="str">
        <f t="shared" si="35"/>
        <v>Saturday</v>
      </c>
      <c r="J478" s="9" t="str">
        <f t="shared" si="36"/>
        <v>April</v>
      </c>
      <c r="K478" s="2">
        <v>3.0999999049999998</v>
      </c>
      <c r="L478" s="2">
        <v>3.0999999049999998</v>
      </c>
      <c r="M478" s="2">
        <v>0</v>
      </c>
      <c r="N478" s="2">
        <v>0</v>
      </c>
      <c r="O478" s="2">
        <v>0</v>
      </c>
      <c r="P478" s="2">
        <v>3.0999999049999998</v>
      </c>
      <c r="Q478" s="2">
        <v>0</v>
      </c>
      <c r="R478" s="2">
        <v>0</v>
      </c>
      <c r="S478" s="2">
        <v>0</v>
      </c>
      <c r="T478" s="2">
        <v>203</v>
      </c>
      <c r="U478" s="2">
        <f t="shared" si="37"/>
        <v>203</v>
      </c>
      <c r="V478" s="2">
        <v>1155</v>
      </c>
      <c r="W478" s="2">
        <v>4631</v>
      </c>
      <c r="X478" s="2">
        <f t="shared" si="38"/>
        <v>4631</v>
      </c>
      <c r="Y478" s="2">
        <v>2076</v>
      </c>
      <c r="Z478" t="str" cm="1">
        <f t="array" ref="Z478">_xlfn.IFS(OR(R478&gt;66, S478&gt;38), "High Engagement", OR(AND(R478&gt;32, R478&lt;=66), AND(S478&gt;19, S478&lt;=38)), "Medium-High Engagement", OR(AND(R478&gt;4, R478&lt;=32), AND(S478&gt;6, S478&lt;=19)),"Medium Engagement", TRUE, "Low Engagement"
)</f>
        <v>Low Engagement</v>
      </c>
      <c r="AA478">
        <f t="shared" si="39"/>
        <v>0.44828330814079032</v>
      </c>
    </row>
    <row r="479" spans="1:27" x14ac:dyDescent="0.35">
      <c r="A479" s="2">
        <v>5577150313</v>
      </c>
      <c r="B479" s="2" t="s">
        <v>91</v>
      </c>
      <c r="C479" s="2">
        <f>VLOOKUP(user_activity!A649,users_details!$A$1:$G$34,5,0)</f>
        <v>45</v>
      </c>
      <c r="D479" s="2" t="str" cm="1">
        <f t="array" ref="D479">_xlfn.IFS( AND(C479&gt;=18, C479&lt;=25), "Emerging Adults",  AND(C479&gt;=26, C479&lt;=35),  "Young Adults",  AND(C479&gt;=36, C479&lt;=45),  "Midlife Adults",  AND(C479&gt;=46, C479&lt;=55), "Mature Adults", C479&gt;=56,  "Older Adults", TRUE, "Age Not Mentioned")</f>
        <v>Midlife Adults</v>
      </c>
      <c r="E479" s="2" t="str">
        <f>VLOOKUP(user_activity!A649,users_details!$A$1:$G$34,6,0)</f>
        <v>Harlem, Manhattan</v>
      </c>
      <c r="F479" s="2" t="str">
        <f>VLOOKUP(user_activity!A649,users_details!$A$1:$G$34,7,0)</f>
        <v>Harlem</v>
      </c>
      <c r="G479" s="2" t="s">
        <v>72</v>
      </c>
      <c r="H479" s="7">
        <v>42476</v>
      </c>
      <c r="I479" s="9" t="str">
        <f t="shared" si="35"/>
        <v>Saturday</v>
      </c>
      <c r="J479" s="9" t="str">
        <f t="shared" si="36"/>
        <v>April</v>
      </c>
      <c r="K479" s="2">
        <v>10.65999985</v>
      </c>
      <c r="L479" s="2">
        <v>10.65999985</v>
      </c>
      <c r="M479" s="2">
        <v>0</v>
      </c>
      <c r="N479" s="2">
        <v>6.6399998660000001</v>
      </c>
      <c r="O479" s="2">
        <v>1.2799999710000001</v>
      </c>
      <c r="P479" s="2">
        <v>2.7300000190000002</v>
      </c>
      <c r="Q479" s="2">
        <v>0</v>
      </c>
      <c r="R479" s="2">
        <v>184</v>
      </c>
      <c r="S479" s="2">
        <v>56</v>
      </c>
      <c r="T479" s="2">
        <v>158</v>
      </c>
      <c r="U479" s="2">
        <f t="shared" si="37"/>
        <v>398</v>
      </c>
      <c r="V479" s="2">
        <v>472</v>
      </c>
      <c r="W479" s="2">
        <v>14269</v>
      </c>
      <c r="X479" s="2">
        <f t="shared" si="38"/>
        <v>14269</v>
      </c>
      <c r="Y479" s="2">
        <v>4274</v>
      </c>
      <c r="Z479" t="str" cm="1">
        <f t="array" ref="Z479">_xlfn.IFS(OR(R479&gt;66, S479&gt;38), "High Engagement", OR(AND(R479&gt;32, R479&lt;=66), AND(S479&gt;19, S479&lt;=38)), "Medium-High Engagement", OR(AND(R479&gt;4, R479&lt;=32), AND(S479&gt;6, S479&lt;=19)),"Medium Engagement", TRUE, "Low Engagement"
)</f>
        <v>High Engagement</v>
      </c>
      <c r="AA479">
        <f t="shared" si="39"/>
        <v>0.29953045062723388</v>
      </c>
    </row>
    <row r="480" spans="1:27" x14ac:dyDescent="0.35">
      <c r="A480" s="2">
        <v>7007744171</v>
      </c>
      <c r="B480" s="2" t="s">
        <v>95</v>
      </c>
      <c r="C480" s="2">
        <f>VLOOKUP(user_activity!A690,users_details!$A$1:$G$34,5,0)</f>
        <v>49</v>
      </c>
      <c r="D480" s="2" t="str" cm="1">
        <f t="array" ref="D480">_xlfn.IFS( AND(C480&gt;=18, C480&lt;=25), "Emerging Adults",  AND(C480&gt;=26, C480&lt;=35),  "Young Adults",  AND(C480&gt;=36, C480&lt;=45),  "Midlife Adults",  AND(C480&gt;=46, C480&lt;=55), "Mature Adults", C480&gt;=56,  "Older Adults", TRUE, "Age Not Mentioned")</f>
        <v>Mature Adults</v>
      </c>
      <c r="E480" s="2" t="str">
        <f>VLOOKUP(user_activity!A690,users_details!$A$1:$G$34,6,0)</f>
        <v>Upper West Side, Manhattan</v>
      </c>
      <c r="F480" s="2" t="str">
        <f>VLOOKUP(user_activity!A690,users_details!$A$1:$G$34,7,0)</f>
        <v>Upper West Side</v>
      </c>
      <c r="G480" s="2" t="s">
        <v>71</v>
      </c>
      <c r="H480" s="7">
        <v>42479</v>
      </c>
      <c r="I480" s="9" t="str">
        <f t="shared" si="35"/>
        <v>Tuesday</v>
      </c>
      <c r="J480" s="9" t="str">
        <f t="shared" si="36"/>
        <v>April</v>
      </c>
      <c r="K480" s="2">
        <v>10.47999954</v>
      </c>
      <c r="L480" s="2">
        <v>9.5</v>
      </c>
      <c r="M480" s="2">
        <v>4.9421420100000004</v>
      </c>
      <c r="N480" s="2">
        <v>4.4099998469999999</v>
      </c>
      <c r="O480" s="2">
        <v>0.75999998999999996</v>
      </c>
      <c r="P480" s="2">
        <v>5.3099999430000002</v>
      </c>
      <c r="Q480" s="2">
        <v>0</v>
      </c>
      <c r="R480" s="2">
        <v>53</v>
      </c>
      <c r="S480" s="2">
        <v>17</v>
      </c>
      <c r="T480" s="2">
        <v>304</v>
      </c>
      <c r="U480" s="2">
        <f t="shared" si="37"/>
        <v>374</v>
      </c>
      <c r="V480" s="2">
        <v>1066</v>
      </c>
      <c r="W480" s="2">
        <v>14194</v>
      </c>
      <c r="X480" s="2">
        <f t="shared" si="38"/>
        <v>14194</v>
      </c>
      <c r="Y480" s="2">
        <v>2812</v>
      </c>
      <c r="Z480" t="str" cm="1">
        <f t="array" ref="Z480">_xlfn.IFS(OR(R480&gt;66, S480&gt;38), "High Engagement", OR(AND(R480&gt;32, R480&lt;=66), AND(S480&gt;19, S480&lt;=38)), "Medium-High Engagement", OR(AND(R480&gt;4, R480&lt;=32), AND(S480&gt;6, S480&lt;=19)),"Medium Engagement", TRUE, "Low Engagement"
)</f>
        <v>Medium-High Engagement</v>
      </c>
      <c r="AA480">
        <f t="shared" si="39"/>
        <v>0.19811187825841906</v>
      </c>
    </row>
    <row r="481" spans="1:27" x14ac:dyDescent="0.35">
      <c r="A481" s="2">
        <v>7007744171</v>
      </c>
      <c r="B481" s="2" t="s">
        <v>95</v>
      </c>
      <c r="C481" s="2">
        <f>VLOOKUP(user_activity!A691,users_details!$A$1:$G$34,5,0)</f>
        <v>49</v>
      </c>
      <c r="D481" s="2" t="str" cm="1">
        <f t="array" ref="D481">_xlfn.IFS( AND(C481&gt;=18, C481&lt;=25), "Emerging Adults",  AND(C481&gt;=26, C481&lt;=35),  "Young Adults",  AND(C481&gt;=36, C481&lt;=45),  "Midlife Adults",  AND(C481&gt;=46, C481&lt;=55), "Mature Adults", C481&gt;=56,  "Older Adults", TRUE, "Age Not Mentioned")</f>
        <v>Mature Adults</v>
      </c>
      <c r="E481" s="2" t="str">
        <f>VLOOKUP(user_activity!A691,users_details!$A$1:$G$34,6,0)</f>
        <v>Upper West Side, Manhattan</v>
      </c>
      <c r="F481" s="2" t="str">
        <f>VLOOKUP(user_activity!A691,users_details!$A$1:$G$34,7,0)</f>
        <v>Upper West Side</v>
      </c>
      <c r="G481" s="2" t="s">
        <v>71</v>
      </c>
      <c r="H481" s="7">
        <v>42482</v>
      </c>
      <c r="I481" s="9" t="str">
        <f t="shared" si="35"/>
        <v>Friday</v>
      </c>
      <c r="J481" s="9" t="str">
        <f t="shared" si="36"/>
        <v>April</v>
      </c>
      <c r="K481" s="2">
        <v>10.239999770000001</v>
      </c>
      <c r="L481" s="2">
        <v>10.239999770000001</v>
      </c>
      <c r="M481" s="2">
        <v>0</v>
      </c>
      <c r="N481" s="2">
        <v>4.0999999049999998</v>
      </c>
      <c r="O481" s="2">
        <v>1.7599999900000001</v>
      </c>
      <c r="P481" s="2">
        <v>4.3699998860000004</v>
      </c>
      <c r="Q481" s="2">
        <v>0</v>
      </c>
      <c r="R481" s="2">
        <v>64</v>
      </c>
      <c r="S481" s="2">
        <v>50</v>
      </c>
      <c r="T481" s="2">
        <v>261</v>
      </c>
      <c r="U481" s="2">
        <f t="shared" si="37"/>
        <v>375</v>
      </c>
      <c r="V481" s="2">
        <v>1065</v>
      </c>
      <c r="W481" s="2">
        <v>15299</v>
      </c>
      <c r="X481" s="2">
        <f t="shared" si="38"/>
        <v>15299</v>
      </c>
      <c r="Y481" s="2">
        <v>2889</v>
      </c>
      <c r="Z481" t="str" cm="1">
        <f t="array" ref="Z481">_xlfn.IFS(OR(R481&gt;66, S481&gt;38), "High Engagement", OR(AND(R481&gt;32, R481&lt;=66), AND(S481&gt;19, S481&lt;=38)), "Medium-High Engagement", OR(AND(R481&gt;4, R481&lt;=32), AND(S481&gt;6, S481&lt;=19)),"Medium Engagement", TRUE, "Low Engagement"
)</f>
        <v>High Engagement</v>
      </c>
      <c r="AA481">
        <f t="shared" si="39"/>
        <v>0.18883587162559645</v>
      </c>
    </row>
    <row r="482" spans="1:27" x14ac:dyDescent="0.35">
      <c r="A482" s="2">
        <v>7007744171</v>
      </c>
      <c r="B482" s="2" t="s">
        <v>95</v>
      </c>
      <c r="C482" s="2">
        <f>VLOOKUP(user_activity!A696,users_details!$A$1:$G$34,5,0)</f>
        <v>49</v>
      </c>
      <c r="D482" s="2" t="str" cm="1">
        <f t="array" ref="D482">_xlfn.IFS( AND(C482&gt;=18, C482&lt;=25), "Emerging Adults",  AND(C482&gt;=26, C482&lt;=35),  "Young Adults",  AND(C482&gt;=36, C482&lt;=45),  "Midlife Adults",  AND(C482&gt;=46, C482&lt;=55), "Mature Adults", C482&gt;=56,  "Older Adults", TRUE, "Age Not Mentioned")</f>
        <v>Mature Adults</v>
      </c>
      <c r="E482" s="2" t="str">
        <f>VLOOKUP(user_activity!A696,users_details!$A$1:$G$34,6,0)</f>
        <v>Upper West Side, Manhattan</v>
      </c>
      <c r="F482" s="2" t="str">
        <f>VLOOKUP(user_activity!A696,users_details!$A$1:$G$34,7,0)</f>
        <v>Upper West Side</v>
      </c>
      <c r="G482" s="2" t="s">
        <v>71</v>
      </c>
      <c r="H482" s="7">
        <v>42556</v>
      </c>
      <c r="I482" s="9" t="str">
        <f t="shared" si="35"/>
        <v>Tuesday</v>
      </c>
      <c r="J482" s="9" t="str">
        <f t="shared" si="36"/>
        <v>July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f t="shared" si="37"/>
        <v>0</v>
      </c>
      <c r="V482" s="2">
        <v>111</v>
      </c>
      <c r="W482" s="2">
        <v>0</v>
      </c>
      <c r="X482" s="2">
        <f t="shared" si="38"/>
        <v>7405.5</v>
      </c>
      <c r="Y482" s="2">
        <v>120</v>
      </c>
      <c r="Z482" t="str" cm="1">
        <f t="array" ref="Z482">_xlfn.IFS(OR(R482&gt;66, S482&gt;38), "High Engagement", OR(AND(R482&gt;32, R482&lt;=66), AND(S482&gt;19, S482&lt;=38)), "Medium-High Engagement", OR(AND(R482&gt;4, R482&lt;=32), AND(S482&gt;6, S482&lt;=19)),"Medium Engagement", TRUE, "Low Engagement"
)</f>
        <v>Low Engagement</v>
      </c>
      <c r="AA482">
        <f t="shared" si="39"/>
        <v>0</v>
      </c>
    </row>
    <row r="483" spans="1:27" x14ac:dyDescent="0.35">
      <c r="A483" s="2">
        <v>7007744171</v>
      </c>
      <c r="B483" s="2" t="s">
        <v>95</v>
      </c>
      <c r="C483" s="2">
        <f>VLOOKUP(user_activity!A697,users_details!$A$1:$G$34,5,0)</f>
        <v>53</v>
      </c>
      <c r="D483" s="2" t="str" cm="1">
        <f t="array" ref="D483">_xlfn.IFS( AND(C483&gt;=18, C483&lt;=25), "Emerging Adults",  AND(C483&gt;=26, C483&lt;=35),  "Young Adults",  AND(C483&gt;=36, C483&lt;=45),  "Midlife Adults",  AND(C483&gt;=46, C483&lt;=55), "Mature Adults", C483&gt;=56,  "Older Adults", TRUE, "Age Not Mentioned")</f>
        <v>Mature Adults</v>
      </c>
      <c r="E483" s="2" t="str">
        <f>VLOOKUP(user_activity!A697,users_details!$A$1:$G$34,6,0)</f>
        <v>Williamsburg, Brooklyn</v>
      </c>
      <c r="F483" s="2" t="str">
        <f>VLOOKUP(user_activity!A697,users_details!$A$1:$G$34,7,0)</f>
        <v>Williamsburg</v>
      </c>
      <c r="G483" s="2" t="s">
        <v>71</v>
      </c>
      <c r="H483" s="7">
        <v>42484</v>
      </c>
      <c r="I483" s="9" t="str">
        <f t="shared" si="35"/>
        <v>Sunday</v>
      </c>
      <c r="J483" s="9" t="str">
        <f t="shared" si="36"/>
        <v>April</v>
      </c>
      <c r="K483" s="2">
        <v>7.420000076</v>
      </c>
      <c r="L483" s="2">
        <v>7.420000076</v>
      </c>
      <c r="M483" s="2">
        <v>0</v>
      </c>
      <c r="N483" s="2">
        <v>0</v>
      </c>
      <c r="O483" s="2">
        <v>0</v>
      </c>
      <c r="P483" s="2">
        <v>7.420000076</v>
      </c>
      <c r="Q483" s="2">
        <v>0</v>
      </c>
      <c r="R483" s="2">
        <v>0</v>
      </c>
      <c r="S483" s="2">
        <v>0</v>
      </c>
      <c r="T483" s="2">
        <v>419</v>
      </c>
      <c r="U483" s="2">
        <f t="shared" si="37"/>
        <v>419</v>
      </c>
      <c r="V483" s="2">
        <v>1021</v>
      </c>
      <c r="W483" s="2">
        <v>11085</v>
      </c>
      <c r="X483" s="2">
        <f t="shared" si="38"/>
        <v>11085</v>
      </c>
      <c r="Y483" s="2">
        <v>2667</v>
      </c>
      <c r="Z483" t="str" cm="1">
        <f t="array" ref="Z483">_xlfn.IFS(OR(R483&gt;66, S483&gt;38), "High Engagement", OR(AND(R483&gt;32, R483&lt;=66), AND(S483&gt;19, S483&lt;=38)), "Medium-High Engagement", OR(AND(R483&gt;4, R483&lt;=32), AND(S483&gt;6, S483&lt;=19)),"Medium Engagement", TRUE, "Low Engagement"
)</f>
        <v>Low Engagement</v>
      </c>
      <c r="AA483">
        <f t="shared" si="39"/>
        <v>0.24059539918809203</v>
      </c>
    </row>
    <row r="484" spans="1:27" x14ac:dyDescent="0.35">
      <c r="A484" s="2">
        <v>7007744171</v>
      </c>
      <c r="B484" s="2" t="s">
        <v>95</v>
      </c>
      <c r="C484" s="2">
        <f>VLOOKUP(user_activity!A707,users_details!$A$1:$G$34,5,0)</f>
        <v>53</v>
      </c>
      <c r="D484" s="2" t="str" cm="1">
        <f t="array" ref="D484">_xlfn.IFS( AND(C484&gt;=18, C484&lt;=25), "Emerging Adults",  AND(C484&gt;=26, C484&lt;=35),  "Young Adults",  AND(C484&gt;=36, C484&lt;=45),  "Midlife Adults",  AND(C484&gt;=46, C484&lt;=55), "Mature Adults", C484&gt;=56,  "Older Adults", TRUE, "Age Not Mentioned")</f>
        <v>Mature Adults</v>
      </c>
      <c r="E484" s="2" t="str">
        <f>VLOOKUP(user_activity!A707,users_details!$A$1:$G$34,6,0)</f>
        <v>Harlem, Manhattan</v>
      </c>
      <c r="F484" s="2" t="str">
        <f>VLOOKUP(user_activity!A707,users_details!$A$1:$G$34,7,0)</f>
        <v>Harlem</v>
      </c>
      <c r="G484" s="2" t="s">
        <v>71</v>
      </c>
      <c r="H484" s="7">
        <v>42474</v>
      </c>
      <c r="I484" s="9" t="str">
        <f t="shared" si="35"/>
        <v>Thursday</v>
      </c>
      <c r="J484" s="9" t="str">
        <f t="shared" si="36"/>
        <v>April</v>
      </c>
      <c r="K484" s="2">
        <v>8.2399997710000008</v>
      </c>
      <c r="L484" s="2">
        <v>7.4800000190000002</v>
      </c>
      <c r="M484" s="2">
        <v>3.2854149339999998</v>
      </c>
      <c r="N484" s="2">
        <v>2.9500000480000002</v>
      </c>
      <c r="O484" s="2">
        <v>0.34000000400000002</v>
      </c>
      <c r="P484" s="2">
        <v>4.9600000380000004</v>
      </c>
      <c r="Q484" s="2">
        <v>0</v>
      </c>
      <c r="R484" s="2">
        <v>34</v>
      </c>
      <c r="S484" s="2">
        <v>6</v>
      </c>
      <c r="T484" s="2">
        <v>304</v>
      </c>
      <c r="U484" s="2">
        <f t="shared" si="37"/>
        <v>344</v>
      </c>
      <c r="V484" s="2">
        <v>1096</v>
      </c>
      <c r="W484" s="2">
        <v>11179</v>
      </c>
      <c r="X484" s="2">
        <f t="shared" si="38"/>
        <v>11179</v>
      </c>
      <c r="Y484" s="2">
        <v>2668</v>
      </c>
      <c r="Z484" t="str" cm="1">
        <f t="array" ref="Z484">_xlfn.IFS(OR(R484&gt;66, S484&gt;38), "High Engagement", OR(AND(R484&gt;32, R484&lt;=66), AND(S484&gt;19, S484&lt;=38)), "Medium-High Engagement", OR(AND(R484&gt;4, R484&lt;=32), AND(S484&gt;6, S484&lt;=19)),"Medium Engagement", TRUE, "Low Engagement"
)</f>
        <v>Medium-High Engagement</v>
      </c>
      <c r="AA484">
        <f t="shared" si="39"/>
        <v>0.23866177654530818</v>
      </c>
    </row>
    <row r="485" spans="1:27" x14ac:dyDescent="0.35">
      <c r="A485" s="2">
        <v>5577150313</v>
      </c>
      <c r="B485" s="2" t="s">
        <v>91</v>
      </c>
      <c r="C485" s="2">
        <f>VLOOKUP(user_activity!A755,users_details!$A$1:$G$34,5,0)</f>
        <v>53</v>
      </c>
      <c r="D485" s="2" t="str" cm="1">
        <f t="array" ref="D485">_xlfn.IFS( AND(C485&gt;=18, C485&lt;=25), "Emerging Adults",  AND(C485&gt;=26, C485&lt;=35),  "Young Adults",  AND(C485&gt;=36, C485&lt;=45),  "Midlife Adults",  AND(C485&gt;=46, C485&lt;=55), "Mature Adults", C485&gt;=56,  "Older Adults", TRUE, "Age Not Mentioned")</f>
        <v>Mature Adults</v>
      </c>
      <c r="E485" s="2" t="str">
        <f>VLOOKUP(user_activity!A755,users_details!$A$1:$G$34,6,0)</f>
        <v>Harlem, Manhattan</v>
      </c>
      <c r="F485" s="2" t="str">
        <f>VLOOKUP(user_activity!A755,users_details!$A$1:$G$34,7,0)</f>
        <v>Harlem</v>
      </c>
      <c r="G485" s="2" t="s">
        <v>72</v>
      </c>
      <c r="H485" s="7">
        <v>42482</v>
      </c>
      <c r="I485" s="9" t="str">
        <f t="shared" si="35"/>
        <v>Friday</v>
      </c>
      <c r="J485" s="9" t="str">
        <f t="shared" si="36"/>
        <v>April</v>
      </c>
      <c r="K485" s="2">
        <v>6.8499999049999998</v>
      </c>
      <c r="L485" s="2">
        <v>6.8499999049999998</v>
      </c>
      <c r="M485" s="2">
        <v>0</v>
      </c>
      <c r="N485" s="2">
        <v>2.420000076</v>
      </c>
      <c r="O485" s="2">
        <v>0.790000021</v>
      </c>
      <c r="P485" s="2">
        <v>3.2999999519999998</v>
      </c>
      <c r="Q485" s="2">
        <v>0</v>
      </c>
      <c r="R485" s="2">
        <v>62</v>
      </c>
      <c r="S485" s="2">
        <v>30</v>
      </c>
      <c r="T485" s="2">
        <v>200</v>
      </c>
      <c r="U485" s="2">
        <f t="shared" si="37"/>
        <v>292</v>
      </c>
      <c r="V485" s="2">
        <v>823</v>
      </c>
      <c r="W485" s="2">
        <v>9172</v>
      </c>
      <c r="X485" s="2">
        <f t="shared" si="38"/>
        <v>9172</v>
      </c>
      <c r="Y485" s="2">
        <v>3329</v>
      </c>
      <c r="Z485" t="str" cm="1">
        <f t="array" ref="Z485">_xlfn.IFS(OR(R485&gt;66, S485&gt;38), "High Engagement", OR(AND(R485&gt;32, R485&lt;=66), AND(S485&gt;19, S485&lt;=38)), "Medium-High Engagement", OR(AND(R485&gt;4, R485&lt;=32), AND(S485&gt;6, S485&lt;=19)),"Medium Engagement", TRUE, "Low Engagement"
)</f>
        <v>Medium-High Engagement</v>
      </c>
      <c r="AA485">
        <f t="shared" si="39"/>
        <v>0.36295246402093329</v>
      </c>
    </row>
    <row r="486" spans="1:27" x14ac:dyDescent="0.35">
      <c r="A486" s="2">
        <v>7007744171</v>
      </c>
      <c r="B486" s="2" t="s">
        <v>95</v>
      </c>
      <c r="C486" s="2">
        <f>VLOOKUP(user_activity!A769,users_details!$A$1:$G$34,5,0)</f>
        <v>53</v>
      </c>
      <c r="D486" s="2" t="str" cm="1">
        <f t="array" ref="D486">_xlfn.IFS( AND(C486&gt;=18, C486&lt;=25), "Emerging Adults",  AND(C486&gt;=26, C486&lt;=35),  "Young Adults",  AND(C486&gt;=36, C486&lt;=45),  "Midlife Adults",  AND(C486&gt;=46, C486&lt;=55), "Mature Adults", C486&gt;=56,  "Older Adults", TRUE, "Age Not Mentioned")</f>
        <v>Mature Adults</v>
      </c>
      <c r="E486" s="2" t="str">
        <f>VLOOKUP(user_activity!A769,users_details!$A$1:$G$34,6,0)</f>
        <v>Harlem, Manhattan</v>
      </c>
      <c r="F486" s="2" t="str">
        <f>VLOOKUP(user_activity!A769,users_details!$A$1:$G$34,7,0)</f>
        <v>Harlem</v>
      </c>
      <c r="G486" s="2" t="s">
        <v>71</v>
      </c>
      <c r="H486" s="7">
        <v>42465</v>
      </c>
      <c r="I486" s="9" t="str">
        <f t="shared" si="35"/>
        <v>Tuesday</v>
      </c>
      <c r="J486" s="9" t="str">
        <f t="shared" si="36"/>
        <v>April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f t="shared" si="37"/>
        <v>0</v>
      </c>
      <c r="V486" s="2">
        <v>1440</v>
      </c>
      <c r="W486" s="2">
        <v>0</v>
      </c>
      <c r="X486" s="2">
        <f t="shared" si="38"/>
        <v>7405.5</v>
      </c>
      <c r="Y486" s="2">
        <v>1557</v>
      </c>
      <c r="Z486" t="str" cm="1">
        <f t="array" ref="Z486">_xlfn.IFS(OR(R486&gt;66, S486&gt;38), "High Engagement", OR(AND(R486&gt;32, R486&lt;=66), AND(S486&gt;19, S486&lt;=38)), "Medium-High Engagement", OR(AND(R486&gt;4, R486&lt;=32), AND(S486&gt;6, S486&lt;=19)),"Medium Engagement", TRUE, "Low Engagement"
)</f>
        <v>Low Engagement</v>
      </c>
      <c r="AA486">
        <f t="shared" si="39"/>
        <v>0</v>
      </c>
    </row>
    <row r="487" spans="1:27" x14ac:dyDescent="0.35">
      <c r="A487" s="2">
        <v>5577150313</v>
      </c>
      <c r="B487" s="2" t="s">
        <v>91</v>
      </c>
      <c r="C487" s="2">
        <f>VLOOKUP(user_activity!A774,users_details!$A$1:$G$34,5,0)</f>
        <v>53</v>
      </c>
      <c r="D487" s="2" t="str" cm="1">
        <f t="array" ref="D487">_xlfn.IFS( AND(C487&gt;=18, C487&lt;=25), "Emerging Adults",  AND(C487&gt;=26, C487&lt;=35),  "Young Adults",  AND(C487&gt;=36, C487&lt;=45),  "Midlife Adults",  AND(C487&gt;=46, C487&lt;=55), "Mature Adults", C487&gt;=56,  "Older Adults", TRUE, "Age Not Mentioned")</f>
        <v>Mature Adults</v>
      </c>
      <c r="E487" s="2" t="str">
        <f>VLOOKUP(user_activity!A774,users_details!$A$1:$G$34,6,0)</f>
        <v>Harlem, Manhattan</v>
      </c>
      <c r="F487" s="2" t="str">
        <f>VLOOKUP(user_activity!A774,users_details!$A$1:$G$34,7,0)</f>
        <v>Harlem</v>
      </c>
      <c r="G487" s="2" t="s">
        <v>72</v>
      </c>
      <c r="H487" s="7">
        <v>42479</v>
      </c>
      <c r="I487" s="9" t="str">
        <f t="shared" si="35"/>
        <v>Tuesday</v>
      </c>
      <c r="J487" s="9" t="str">
        <f t="shared" si="36"/>
        <v>April</v>
      </c>
      <c r="K487" s="2">
        <v>9.4200000760000009</v>
      </c>
      <c r="L487" s="2">
        <v>9.4200000760000009</v>
      </c>
      <c r="M487" s="2">
        <v>0</v>
      </c>
      <c r="N487" s="2">
        <v>7.0199999809999998</v>
      </c>
      <c r="O487" s="2">
        <v>0.63999998599999997</v>
      </c>
      <c r="P487" s="2">
        <v>1.7599999900000001</v>
      </c>
      <c r="Q487" s="2">
        <v>0</v>
      </c>
      <c r="R487" s="2">
        <v>108</v>
      </c>
      <c r="S487" s="2">
        <v>23</v>
      </c>
      <c r="T487" s="2">
        <v>111</v>
      </c>
      <c r="U487" s="2">
        <f t="shared" si="37"/>
        <v>242</v>
      </c>
      <c r="V487" s="2">
        <v>733</v>
      </c>
      <c r="W487" s="2">
        <v>12574</v>
      </c>
      <c r="X487" s="2">
        <f t="shared" si="38"/>
        <v>12574</v>
      </c>
      <c r="Y487" s="2">
        <v>3501</v>
      </c>
      <c r="Z487" t="str" cm="1">
        <f t="array" ref="Z487">_xlfn.IFS(OR(R487&gt;66, S487&gt;38), "High Engagement", OR(AND(R487&gt;32, R487&lt;=66), AND(S487&gt;19, S487&lt;=38)), "Medium-High Engagement", OR(AND(R487&gt;4, R487&lt;=32), AND(S487&gt;6, S487&lt;=19)),"Medium Engagement", TRUE, "Low Engagement"
)</f>
        <v>High Engagement</v>
      </c>
      <c r="AA487">
        <f t="shared" si="39"/>
        <v>0.27843168442818517</v>
      </c>
    </row>
    <row r="488" spans="1:27" x14ac:dyDescent="0.35">
      <c r="A488" s="2">
        <v>7007744171</v>
      </c>
      <c r="B488" s="2" t="s">
        <v>95</v>
      </c>
      <c r="C488" s="2">
        <f>VLOOKUP(user_activity!A792,users_details!$A$1:$G$34,5,0)</f>
        <v>54</v>
      </c>
      <c r="D488" s="2" t="str" cm="1">
        <f t="array" ref="D488">_xlfn.IFS( AND(C488&gt;=18, C488&lt;=25), "Emerging Adults",  AND(C488&gt;=26, C488&lt;=35),  "Young Adults",  AND(C488&gt;=36, C488&lt;=45),  "Midlife Adults",  AND(C488&gt;=46, C488&lt;=55), "Mature Adults", C488&gt;=56,  "Older Adults", TRUE, "Age Not Mentioned")</f>
        <v>Mature Adults</v>
      </c>
      <c r="E488" s="2" t="str">
        <f>VLOOKUP(user_activity!A792,users_details!$A$1:$G$34,6,0)</f>
        <v>Crown Heights, Brooklyn</v>
      </c>
      <c r="F488" s="2" t="str">
        <f>VLOOKUP(user_activity!A792,users_details!$A$1:$G$34,7,0)</f>
        <v>Crown Heights</v>
      </c>
      <c r="G488" s="2" t="s">
        <v>71</v>
      </c>
      <c r="H488" s="7">
        <v>42486</v>
      </c>
      <c r="I488" s="9" t="str">
        <f t="shared" si="35"/>
        <v>Tuesday</v>
      </c>
      <c r="J488" s="9" t="str">
        <f t="shared" si="36"/>
        <v>April</v>
      </c>
      <c r="K488" s="2">
        <v>10.100000380000001</v>
      </c>
      <c r="L488" s="2">
        <v>10.100000380000001</v>
      </c>
      <c r="M488" s="2">
        <v>0</v>
      </c>
      <c r="N488" s="2">
        <v>0.93000000699999996</v>
      </c>
      <c r="O488" s="2">
        <v>0.939999998</v>
      </c>
      <c r="P488" s="2">
        <v>8.2299995419999998</v>
      </c>
      <c r="Q488" s="2">
        <v>0</v>
      </c>
      <c r="R488" s="2">
        <v>16</v>
      </c>
      <c r="S488" s="2">
        <v>22</v>
      </c>
      <c r="T488" s="2">
        <v>424</v>
      </c>
      <c r="U488" s="2">
        <f t="shared" si="37"/>
        <v>462</v>
      </c>
      <c r="V488" s="2">
        <v>978</v>
      </c>
      <c r="W488" s="2">
        <v>15090</v>
      </c>
      <c r="X488" s="2">
        <f t="shared" si="38"/>
        <v>15090</v>
      </c>
      <c r="Y488" s="2">
        <v>2939</v>
      </c>
      <c r="Z488" t="str" cm="1">
        <f t="array" ref="Z488">_xlfn.IFS(OR(R488&gt;66, S488&gt;38), "High Engagement", OR(AND(R488&gt;32, R488&lt;=66), AND(S488&gt;19, S488&lt;=38)), "Medium-High Engagement", OR(AND(R488&gt;4, R488&lt;=32), AND(S488&gt;6, S488&lt;=19)),"Medium Engagement", TRUE, "Low Engagement"
)</f>
        <v>Medium-High Engagement</v>
      </c>
      <c r="AA488">
        <f t="shared" si="39"/>
        <v>0.19476474486414844</v>
      </c>
    </row>
    <row r="489" spans="1:27" x14ac:dyDescent="0.35">
      <c r="A489" s="2">
        <v>7007744171</v>
      </c>
      <c r="B489" s="2" t="s">
        <v>95</v>
      </c>
      <c r="C489" s="2">
        <f>VLOOKUP(user_activity!A795,users_details!$A$1:$G$34,5,0)</f>
        <v>54</v>
      </c>
      <c r="D489" s="2" t="str" cm="1">
        <f t="array" ref="D489">_xlfn.IFS( AND(C489&gt;=18, C489&lt;=25), "Emerging Adults",  AND(C489&gt;=26, C489&lt;=35),  "Young Adults",  AND(C489&gt;=36, C489&lt;=45),  "Midlife Adults",  AND(C489&gt;=46, C489&lt;=55), "Mature Adults", C489&gt;=56,  "Older Adults", TRUE, "Age Not Mentioned")</f>
        <v>Mature Adults</v>
      </c>
      <c r="E489" s="2" t="str">
        <f>VLOOKUP(user_activity!A795,users_details!$A$1:$G$34,6,0)</f>
        <v>Crown Heights, Brooklyn</v>
      </c>
      <c r="F489" s="2" t="str">
        <f>VLOOKUP(user_activity!A795,users_details!$A$1:$G$34,7,0)</f>
        <v>Crown Heights</v>
      </c>
      <c r="G489" s="2" t="s">
        <v>71</v>
      </c>
      <c r="H489" s="7">
        <v>42488</v>
      </c>
      <c r="I489" s="9" t="str">
        <f t="shared" si="35"/>
        <v>Thursday</v>
      </c>
      <c r="J489" s="9" t="str">
        <f t="shared" si="36"/>
        <v>April</v>
      </c>
      <c r="K489" s="2">
        <v>10.119999890000001</v>
      </c>
      <c r="L489" s="2">
        <v>10.119999890000001</v>
      </c>
      <c r="M489" s="2">
        <v>0</v>
      </c>
      <c r="N489" s="2">
        <v>1.0900000329999999</v>
      </c>
      <c r="O489" s="2">
        <v>0.769999981</v>
      </c>
      <c r="P489" s="2">
        <v>8.2600002289999992</v>
      </c>
      <c r="Q489" s="2">
        <v>0</v>
      </c>
      <c r="R489" s="2">
        <v>16</v>
      </c>
      <c r="S489" s="2">
        <v>16</v>
      </c>
      <c r="T489" s="2">
        <v>401</v>
      </c>
      <c r="U489" s="2">
        <f t="shared" si="37"/>
        <v>433</v>
      </c>
      <c r="V489" s="2">
        <v>1007</v>
      </c>
      <c r="W489" s="2">
        <v>15128</v>
      </c>
      <c r="X489" s="2">
        <f t="shared" si="38"/>
        <v>15128</v>
      </c>
      <c r="Y489" s="2">
        <v>2836</v>
      </c>
      <c r="Z489" t="str" cm="1">
        <f t="array" ref="Z489">_xlfn.IFS(OR(R489&gt;66, S489&gt;38), "High Engagement", OR(AND(R489&gt;32, R489&lt;=66), AND(S489&gt;19, S489&lt;=38)), "Medium-High Engagement", OR(AND(R489&gt;4, R489&lt;=32), AND(S489&gt;6, S489&lt;=19)),"Medium Engagement", TRUE, "Low Engagement"
)</f>
        <v>Medium Engagement</v>
      </c>
      <c r="AA489">
        <f t="shared" si="39"/>
        <v>0.18746694870438921</v>
      </c>
    </row>
    <row r="490" spans="1:27" x14ac:dyDescent="0.35">
      <c r="A490" s="2">
        <v>5577150313</v>
      </c>
      <c r="B490" s="2" t="s">
        <v>91</v>
      </c>
      <c r="C490" s="2">
        <f>VLOOKUP(user_activity!A796,users_details!$A$1:$G$34,5,0)</f>
        <v>54</v>
      </c>
      <c r="D490" s="2" t="str" cm="1">
        <f t="array" ref="D490">_xlfn.IFS( AND(C490&gt;=18, C490&lt;=25), "Emerging Adults",  AND(C490&gt;=26, C490&lt;=35),  "Young Adults",  AND(C490&gt;=36, C490&lt;=45),  "Midlife Adults",  AND(C490&gt;=46, C490&lt;=55), "Mature Adults", C490&gt;=56,  "Older Adults", TRUE, "Age Not Mentioned")</f>
        <v>Mature Adults</v>
      </c>
      <c r="E490" s="2" t="str">
        <f>VLOOKUP(user_activity!A796,users_details!$A$1:$G$34,6,0)</f>
        <v>Crown Heights, Brooklyn</v>
      </c>
      <c r="F490" s="2" t="str">
        <f>VLOOKUP(user_activity!A796,users_details!$A$1:$G$34,7,0)</f>
        <v>Crown Heights</v>
      </c>
      <c r="G490" s="2" t="s">
        <v>72</v>
      </c>
      <c r="H490" s="7">
        <v>42478</v>
      </c>
      <c r="I490" s="9" t="str">
        <f t="shared" si="35"/>
        <v>Monday</v>
      </c>
      <c r="J490" s="9" t="str">
        <f t="shared" si="36"/>
        <v>April</v>
      </c>
      <c r="K490" s="2">
        <v>7.3899998660000001</v>
      </c>
      <c r="L490" s="2">
        <v>7.3899998660000001</v>
      </c>
      <c r="M490" s="2">
        <v>0</v>
      </c>
      <c r="N490" s="2">
        <v>4.8600001339999999</v>
      </c>
      <c r="O490" s="2">
        <v>0.72000002900000004</v>
      </c>
      <c r="P490" s="2">
        <v>1.8200000519999999</v>
      </c>
      <c r="Q490" s="2">
        <v>0</v>
      </c>
      <c r="R490" s="2">
        <v>114</v>
      </c>
      <c r="S490" s="2">
        <v>32</v>
      </c>
      <c r="T490" s="2">
        <v>130</v>
      </c>
      <c r="U490" s="2">
        <f t="shared" si="37"/>
        <v>276</v>
      </c>
      <c r="V490" s="2">
        <v>623</v>
      </c>
      <c r="W490" s="2">
        <v>9893</v>
      </c>
      <c r="X490" s="2">
        <f t="shared" si="38"/>
        <v>9893</v>
      </c>
      <c r="Y490" s="2">
        <v>3625</v>
      </c>
      <c r="Z490" t="str" cm="1">
        <f t="array" ref="Z490">_xlfn.IFS(OR(R490&gt;66, S490&gt;38), "High Engagement", OR(AND(R490&gt;32, R490&lt;=66), AND(S490&gt;19, S490&lt;=38)), "Medium-High Engagement", OR(AND(R490&gt;4, R490&lt;=32), AND(S490&gt;6, S490&lt;=19)),"Medium Engagement", TRUE, "Low Engagement"
)</f>
        <v>High Engagement</v>
      </c>
      <c r="AA490">
        <f t="shared" si="39"/>
        <v>0.36642070150611544</v>
      </c>
    </row>
    <row r="491" spans="1:27" x14ac:dyDescent="0.35">
      <c r="A491" s="2">
        <v>5577150313</v>
      </c>
      <c r="B491" s="2" t="s">
        <v>91</v>
      </c>
      <c r="C491" s="2">
        <f>VLOOKUP(user_activity!A814,users_details!$A$1:$G$34,5,0)</f>
        <v>54</v>
      </c>
      <c r="D491" s="2" t="str" cm="1">
        <f t="array" ref="D491">_xlfn.IFS( AND(C491&gt;=18, C491&lt;=25), "Emerging Adults",  AND(C491&gt;=26, C491&lt;=35),  "Young Adults",  AND(C491&gt;=36, C491&lt;=45),  "Midlife Adults",  AND(C491&gt;=46, C491&lt;=55), "Mature Adults", C491&gt;=56,  "Older Adults", TRUE, "Age Not Mentioned")</f>
        <v>Mature Adults</v>
      </c>
      <c r="E491" s="2" t="str">
        <f>VLOOKUP(user_activity!A814,users_details!$A$1:$G$34,6,0)</f>
        <v>Crown Heights, Brooklyn</v>
      </c>
      <c r="F491" s="2" t="str">
        <f>VLOOKUP(user_activity!A814,users_details!$A$1:$G$34,7,0)</f>
        <v>Crown Heights</v>
      </c>
      <c r="G491" s="2" t="s">
        <v>72</v>
      </c>
      <c r="H491" s="7">
        <v>42556</v>
      </c>
      <c r="I491" s="9" t="str">
        <f t="shared" si="35"/>
        <v>Tuesday</v>
      </c>
      <c r="J491" s="9" t="str">
        <f t="shared" si="36"/>
        <v>July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f t="shared" si="37"/>
        <v>0</v>
      </c>
      <c r="V491" s="2">
        <v>1440</v>
      </c>
      <c r="W491" s="2">
        <v>0</v>
      </c>
      <c r="X491" s="2">
        <f t="shared" si="38"/>
        <v>7405.5</v>
      </c>
      <c r="Y491" s="2">
        <v>1819</v>
      </c>
      <c r="Z491" t="str" cm="1">
        <f t="array" ref="Z491">_xlfn.IFS(OR(R491&gt;66, S491&gt;38), "High Engagement", OR(AND(R491&gt;32, R491&lt;=66), AND(S491&gt;19, S491&lt;=38)), "Medium-High Engagement", OR(AND(R491&gt;4, R491&lt;=32), AND(S491&gt;6, S491&lt;=19)),"Medium Engagement", TRUE, "Low Engagement"
)</f>
        <v>Low Engagement</v>
      </c>
      <c r="AA491">
        <f t="shared" si="39"/>
        <v>0</v>
      </c>
    </row>
    <row r="492" spans="1:27" x14ac:dyDescent="0.35">
      <c r="A492" s="2">
        <v>7007744171</v>
      </c>
      <c r="B492" s="2" t="s">
        <v>95</v>
      </c>
      <c r="C492" s="2">
        <f>VLOOKUP(user_activity!A837,users_details!$A$1:$G$34,5,0)</f>
        <v>56</v>
      </c>
      <c r="D492" s="2" t="str" cm="1">
        <f t="array" ref="D492">_xlfn.IFS( AND(C492&gt;=18, C492&lt;=25), "Emerging Adults",  AND(C492&gt;=26, C492&lt;=35),  "Young Adults",  AND(C492&gt;=36, C492&lt;=45),  "Midlife Adults",  AND(C492&gt;=46, C492&lt;=55), "Mature Adults", C492&gt;=56,  "Older Adults", TRUE, "Age Not Mentioned")</f>
        <v>Older Adults</v>
      </c>
      <c r="E492" s="2" t="str">
        <f>VLOOKUP(user_activity!A837,users_details!$A$1:$G$34,6,0)</f>
        <v>Flatbush, Brooklyn</v>
      </c>
      <c r="F492" s="2" t="str">
        <f>VLOOKUP(user_activity!A837,users_details!$A$1:$G$34,7,0)</f>
        <v>Flatbush</v>
      </c>
      <c r="G492" s="2" t="s">
        <v>71</v>
      </c>
      <c r="H492" s="7">
        <v>42480</v>
      </c>
      <c r="I492" s="9" t="str">
        <f t="shared" si="35"/>
        <v>Wednesday</v>
      </c>
      <c r="J492" s="9" t="str">
        <f t="shared" si="36"/>
        <v>April</v>
      </c>
      <c r="K492" s="2">
        <v>11.31000042</v>
      </c>
      <c r="L492" s="2">
        <v>10.40999985</v>
      </c>
      <c r="M492" s="2">
        <v>4.924840927</v>
      </c>
      <c r="N492" s="2">
        <v>4.7899999619999996</v>
      </c>
      <c r="O492" s="2">
        <v>0.670000017</v>
      </c>
      <c r="P492" s="2">
        <v>5.8600001339999999</v>
      </c>
      <c r="Q492" s="2">
        <v>0</v>
      </c>
      <c r="R492" s="2">
        <v>60</v>
      </c>
      <c r="S492" s="2">
        <v>33</v>
      </c>
      <c r="T492" s="2">
        <v>347</v>
      </c>
      <c r="U492" s="2">
        <f t="shared" si="37"/>
        <v>440</v>
      </c>
      <c r="V492" s="2">
        <v>1000</v>
      </c>
      <c r="W492" s="2">
        <v>15566</v>
      </c>
      <c r="X492" s="2">
        <f t="shared" si="38"/>
        <v>15566</v>
      </c>
      <c r="Y492" s="2">
        <v>3096</v>
      </c>
      <c r="Z492" t="str" cm="1">
        <f t="array" ref="Z492">_xlfn.IFS(OR(R492&gt;66, S492&gt;38), "High Engagement", OR(AND(R492&gt;32, R492&lt;=66), AND(S492&gt;19, S492&lt;=38)), "Medium-High Engagement", OR(AND(R492&gt;4, R492&lt;=32), AND(S492&gt;6, S492&lt;=19)),"Medium Engagement", TRUE, "Low Engagement"
)</f>
        <v>Medium-High Engagement</v>
      </c>
      <c r="AA492">
        <f t="shared" si="39"/>
        <v>0.19889502762430938</v>
      </c>
    </row>
    <row r="493" spans="1:27" x14ac:dyDescent="0.35">
      <c r="A493" s="2">
        <v>7007744171</v>
      </c>
      <c r="B493" s="2" t="s">
        <v>95</v>
      </c>
      <c r="C493" s="2">
        <f>VLOOKUP(user_activity!A838,users_details!$A$1:$G$34,5,0)</f>
        <v>56</v>
      </c>
      <c r="D493" s="2" t="str" cm="1">
        <f t="array" ref="D493">_xlfn.IFS( AND(C493&gt;=18, C493&lt;=25), "Emerging Adults",  AND(C493&gt;=26, C493&lt;=35),  "Young Adults",  AND(C493&gt;=36, C493&lt;=45),  "Midlife Adults",  AND(C493&gt;=46, C493&lt;=55), "Mature Adults", C493&gt;=56,  "Older Adults", TRUE, "Age Not Mentioned")</f>
        <v>Older Adults</v>
      </c>
      <c r="E493" s="2" t="str">
        <f>VLOOKUP(user_activity!A838,users_details!$A$1:$G$34,6,0)</f>
        <v>Flatbush, Brooklyn</v>
      </c>
      <c r="F493" s="2" t="str">
        <f>VLOOKUP(user_activity!A838,users_details!$A$1:$G$34,7,0)</f>
        <v>Flatbush</v>
      </c>
      <c r="G493" s="2" t="s">
        <v>71</v>
      </c>
      <c r="H493" s="7">
        <v>42485</v>
      </c>
      <c r="I493" s="9" t="str">
        <f t="shared" si="35"/>
        <v>Monday</v>
      </c>
      <c r="J493" s="9" t="str">
        <f t="shared" si="36"/>
        <v>April</v>
      </c>
      <c r="K493" s="2">
        <v>13.34000015</v>
      </c>
      <c r="L493" s="2">
        <v>12.19999981</v>
      </c>
      <c r="M493" s="2">
        <v>4.8617920879999996</v>
      </c>
      <c r="N493" s="2">
        <v>4.3099999430000002</v>
      </c>
      <c r="O493" s="2">
        <v>1.3700000050000001</v>
      </c>
      <c r="P493" s="2">
        <v>7.670000076</v>
      </c>
      <c r="Q493" s="2">
        <v>0</v>
      </c>
      <c r="R493" s="2">
        <v>51</v>
      </c>
      <c r="S493" s="2">
        <v>24</v>
      </c>
      <c r="T493" s="2">
        <v>379</v>
      </c>
      <c r="U493" s="2">
        <f t="shared" si="37"/>
        <v>454</v>
      </c>
      <c r="V493" s="2">
        <v>986</v>
      </c>
      <c r="W493" s="2">
        <v>18229</v>
      </c>
      <c r="X493" s="2">
        <f t="shared" si="38"/>
        <v>18229</v>
      </c>
      <c r="Y493" s="2">
        <v>3055</v>
      </c>
      <c r="Z493" t="str" cm="1">
        <f t="array" ref="Z493">_xlfn.IFS(OR(R493&gt;66, S493&gt;38), "High Engagement", OR(AND(R493&gt;32, R493&lt;=66), AND(S493&gt;19, S493&lt;=38)), "Medium-High Engagement", OR(AND(R493&gt;4, R493&lt;=32), AND(S493&gt;6, S493&lt;=19)),"Medium Engagement", TRUE, "Low Engagement"
)</f>
        <v>Medium-High Engagement</v>
      </c>
      <c r="AA493">
        <f t="shared" si="39"/>
        <v>0.16759010368094793</v>
      </c>
    </row>
    <row r="494" spans="1:27" x14ac:dyDescent="0.35">
      <c r="A494" s="2">
        <v>7007744171</v>
      </c>
      <c r="B494" s="2" t="s">
        <v>95</v>
      </c>
      <c r="C494" s="2">
        <f>VLOOKUP(user_activity!A842,users_details!$A$1:$G$34,5,0)</f>
        <v>56</v>
      </c>
      <c r="D494" s="2" t="str" cm="1">
        <f t="array" ref="D494">_xlfn.IFS( AND(C494&gt;=18, C494&lt;=25), "Emerging Adults",  AND(C494&gt;=26, C494&lt;=35),  "Young Adults",  AND(C494&gt;=36, C494&lt;=45),  "Midlife Adults",  AND(C494&gt;=46, C494&lt;=55), "Mature Adults", C494&gt;=56,  "Older Adults", TRUE, "Age Not Mentioned")</f>
        <v>Older Adults</v>
      </c>
      <c r="E494" s="2" t="str">
        <f>VLOOKUP(user_activity!A842,users_details!$A$1:$G$34,6,0)</f>
        <v>Flatbush, Brooklyn</v>
      </c>
      <c r="F494" s="2" t="str">
        <f>VLOOKUP(user_activity!A842,users_details!$A$1:$G$34,7,0)</f>
        <v>Flatbush</v>
      </c>
      <c r="G494" s="2" t="s">
        <v>71</v>
      </c>
      <c r="H494" s="7">
        <v>42487</v>
      </c>
      <c r="I494" s="9" t="str">
        <f t="shared" si="35"/>
        <v>Wednesday</v>
      </c>
      <c r="J494" s="9" t="str">
        <f t="shared" si="36"/>
        <v>April</v>
      </c>
      <c r="K494" s="2">
        <v>10.22000027</v>
      </c>
      <c r="L494" s="2">
        <v>9.0600004199999997</v>
      </c>
      <c r="M494" s="2">
        <v>4.8856048579999998</v>
      </c>
      <c r="N494" s="2">
        <v>4.2699999809999998</v>
      </c>
      <c r="O494" s="2">
        <v>0.66000002599999996</v>
      </c>
      <c r="P494" s="2">
        <v>5.2899999619999996</v>
      </c>
      <c r="Q494" s="2">
        <v>0</v>
      </c>
      <c r="R494" s="2">
        <v>50</v>
      </c>
      <c r="S494" s="2">
        <v>12</v>
      </c>
      <c r="T494" s="2">
        <v>337</v>
      </c>
      <c r="U494" s="2">
        <f t="shared" si="37"/>
        <v>399</v>
      </c>
      <c r="V494" s="2">
        <v>1041</v>
      </c>
      <c r="W494" s="2">
        <v>13541</v>
      </c>
      <c r="X494" s="2">
        <f t="shared" si="38"/>
        <v>13541</v>
      </c>
      <c r="Y494" s="2">
        <v>2830</v>
      </c>
      <c r="Z494" t="str" cm="1">
        <f t="array" ref="Z494">_xlfn.IFS(OR(R494&gt;66, S494&gt;38), "High Engagement", OR(AND(R494&gt;32, R494&lt;=66), AND(S494&gt;19, S494&lt;=38)), "Medium-High Engagement", OR(AND(R494&gt;4, R494&lt;=32), AND(S494&gt;6, S494&lt;=19)),"Medium Engagement", TRUE, "Low Engagement"
)</f>
        <v>Medium-High Engagement</v>
      </c>
      <c r="AA494">
        <f t="shared" si="39"/>
        <v>0.20899490436452256</v>
      </c>
    </row>
    <row r="495" spans="1:27" x14ac:dyDescent="0.35">
      <c r="A495" s="2">
        <v>7007744171</v>
      </c>
      <c r="B495" s="2" t="s">
        <v>95</v>
      </c>
      <c r="C495" s="2">
        <f>VLOOKUP(user_activity!A851,users_details!$A$1:$G$34,5,0)</f>
        <v>56</v>
      </c>
      <c r="D495" s="2" t="str" cm="1">
        <f t="array" ref="D495">_xlfn.IFS( AND(C495&gt;=18, C495&lt;=25), "Emerging Adults",  AND(C495&gt;=26, C495&lt;=35),  "Young Adults",  AND(C495&gt;=36, C495&lt;=45),  "Midlife Adults",  AND(C495&gt;=46, C495&lt;=55), "Mature Adults", C495&gt;=56,  "Older Adults", TRUE, "Age Not Mentioned")</f>
        <v>Older Adults</v>
      </c>
      <c r="E495" s="2" t="str">
        <f>VLOOKUP(user_activity!A851,users_details!$A$1:$G$34,6,0)</f>
        <v>Flatbush, Brooklyn</v>
      </c>
      <c r="F495" s="2" t="str">
        <f>VLOOKUP(user_activity!A851,users_details!$A$1:$G$34,7,0)</f>
        <v>Flatbush</v>
      </c>
      <c r="G495" s="2" t="s">
        <v>71</v>
      </c>
      <c r="H495" s="7">
        <v>42490</v>
      </c>
      <c r="I495" s="9" t="str">
        <f t="shared" si="35"/>
        <v>Saturday</v>
      </c>
      <c r="J495" s="9" t="str">
        <f t="shared" si="36"/>
        <v>April</v>
      </c>
      <c r="K495" s="2">
        <v>2.5199999809999998</v>
      </c>
      <c r="L495" s="2">
        <v>2.5199999809999998</v>
      </c>
      <c r="M495" s="2">
        <v>0</v>
      </c>
      <c r="N495" s="2">
        <v>0</v>
      </c>
      <c r="O495" s="2">
        <v>0</v>
      </c>
      <c r="P495" s="2">
        <v>2.5199999809999998</v>
      </c>
      <c r="Q495" s="2">
        <v>0</v>
      </c>
      <c r="R495" s="2">
        <v>0</v>
      </c>
      <c r="S495" s="2">
        <v>0</v>
      </c>
      <c r="T495" s="2">
        <v>200</v>
      </c>
      <c r="U495" s="2">
        <f t="shared" si="37"/>
        <v>200</v>
      </c>
      <c r="V495" s="2">
        <v>1240</v>
      </c>
      <c r="W495" s="2">
        <v>3761</v>
      </c>
      <c r="X495" s="2">
        <f t="shared" si="38"/>
        <v>3761</v>
      </c>
      <c r="Y495" s="2">
        <v>2051</v>
      </c>
      <c r="Z495" t="str" cm="1">
        <f t="array" ref="Z495">_xlfn.IFS(OR(R495&gt;66, S495&gt;38), "High Engagement", OR(AND(R495&gt;32, R495&lt;=66), AND(S495&gt;19, S495&lt;=38)), "Medium-High Engagement", OR(AND(R495&gt;4, R495&lt;=32), AND(S495&gt;6, S495&lt;=19)),"Medium Engagement", TRUE, "Low Engagement"
)</f>
        <v>Low Engagement</v>
      </c>
      <c r="AA495">
        <f t="shared" si="39"/>
        <v>0.54533368784897629</v>
      </c>
    </row>
    <row r="496" spans="1:27" x14ac:dyDescent="0.35">
      <c r="A496" s="2">
        <v>4388161847</v>
      </c>
      <c r="B496" s="2" t="s">
        <v>75</v>
      </c>
      <c r="C496" s="2">
        <f>VLOOKUP(user_activity!A6,users_details!$A$1:$G$34,5,0)</f>
        <v>18</v>
      </c>
      <c r="D496" s="2" t="str" cm="1">
        <f t="array" ref="D496">_xlfn.IFS( AND(C496&gt;=18, C496&lt;=25), "Emerging Adults",  AND(C496&gt;=26, C496&lt;=35),  "Young Adults",  AND(C496&gt;=36, C496&lt;=45),  "Midlife Adults",  AND(C496&gt;=46, C496&lt;=55), "Mature Adults", C496&gt;=56,  "Older Adults", TRUE, "Age Not Mentioned")</f>
        <v>Emerging Adults</v>
      </c>
      <c r="E496" s="2" t="str">
        <f>VLOOKUP(user_activity!A6,users_details!$A$1:$G$34,6,0)</f>
        <v>Upper West Side, Manhattan</v>
      </c>
      <c r="F496" s="2" t="str">
        <f>VLOOKUP(user_activity!A6,users_details!$A$1:$G$34,7,0)</f>
        <v>Upper West Side</v>
      </c>
      <c r="G496" s="2" t="s">
        <v>71</v>
      </c>
      <c r="H496" s="7">
        <v>42618</v>
      </c>
      <c r="I496" s="9" t="str">
        <f t="shared" si="35"/>
        <v>Monday</v>
      </c>
      <c r="J496" s="9" t="str">
        <f t="shared" si="36"/>
        <v>September</v>
      </c>
      <c r="K496" s="2">
        <v>7.8600001339999999</v>
      </c>
      <c r="L496" s="2">
        <v>7.8600001339999999</v>
      </c>
      <c r="M496" s="2">
        <v>0</v>
      </c>
      <c r="N496" s="2">
        <v>0.34000000400000002</v>
      </c>
      <c r="O496" s="2">
        <v>0.730000019</v>
      </c>
      <c r="P496" s="2">
        <v>6.7899999619999996</v>
      </c>
      <c r="Q496" s="2">
        <v>0</v>
      </c>
      <c r="R496" s="2">
        <v>6</v>
      </c>
      <c r="S496" s="2">
        <v>19</v>
      </c>
      <c r="T496" s="2">
        <v>258</v>
      </c>
      <c r="U496" s="2">
        <f t="shared" si="37"/>
        <v>283</v>
      </c>
      <c r="V496" s="2">
        <v>1020</v>
      </c>
      <c r="W496" s="2">
        <v>10218</v>
      </c>
      <c r="X496" s="2">
        <f t="shared" si="38"/>
        <v>10218</v>
      </c>
      <c r="Y496" s="2">
        <v>3013</v>
      </c>
      <c r="Z496" t="str" cm="1">
        <f t="array" ref="Z496">_xlfn.IFS(OR(R496&gt;66, S496&gt;38), "High Engagement", OR(AND(R496&gt;32, R496&lt;=66), AND(S496&gt;19, S496&lt;=38)), "Medium-High Engagement", OR(AND(R496&gt;4, R496&lt;=32), AND(S496&gt;6, S496&lt;=19)),"Medium Engagement", TRUE, "Low Engagement"
)</f>
        <v>Medium Engagement</v>
      </c>
      <c r="AA496">
        <f t="shared" si="39"/>
        <v>0.29487179487179488</v>
      </c>
    </row>
    <row r="497" spans="1:27" x14ac:dyDescent="0.35">
      <c r="A497" s="2">
        <v>4388161847</v>
      </c>
      <c r="B497" s="2" t="s">
        <v>75</v>
      </c>
      <c r="C497" s="2">
        <f>VLOOKUP(user_activity!A45,users_details!$A$1:$G$34,5,0)</f>
        <v>18</v>
      </c>
      <c r="D497" s="2" t="str" cm="1">
        <f t="array" ref="D497">_xlfn.IFS( AND(C497&gt;=18, C497&lt;=25), "Emerging Adults",  AND(C497&gt;=26, C497&lt;=35),  "Young Adults",  AND(C497&gt;=36, C497&lt;=45),  "Midlife Adults",  AND(C497&gt;=46, C497&lt;=55), "Mature Adults", C497&gt;=56,  "Older Adults", TRUE, "Age Not Mentioned")</f>
        <v>Emerging Adults</v>
      </c>
      <c r="E497" s="2" t="str">
        <f>VLOOKUP(user_activity!A45,users_details!$A$1:$G$34,6,0)</f>
        <v>Hell's Kitchen, Manhattan</v>
      </c>
      <c r="F497" s="2" t="str">
        <f>VLOOKUP(user_activity!A45,users_details!$A$1:$G$34,7,0)</f>
        <v>Hell's Kitchen</v>
      </c>
      <c r="G497" s="2" t="s">
        <v>71</v>
      </c>
      <c r="H497" s="7">
        <v>42483</v>
      </c>
      <c r="I497" s="9" t="str">
        <f t="shared" si="35"/>
        <v>Saturday</v>
      </c>
      <c r="J497" s="9" t="str">
        <f t="shared" si="36"/>
        <v>April</v>
      </c>
      <c r="K497" s="2">
        <v>10.18000031</v>
      </c>
      <c r="L497" s="2">
        <v>10.18000031</v>
      </c>
      <c r="M497" s="2">
        <v>0</v>
      </c>
      <c r="N497" s="2">
        <v>4.5</v>
      </c>
      <c r="O497" s="2">
        <v>0.31999999299999998</v>
      </c>
      <c r="P497" s="2">
        <v>5.3499999049999998</v>
      </c>
      <c r="Q497" s="2">
        <v>0</v>
      </c>
      <c r="R497" s="2">
        <v>58</v>
      </c>
      <c r="S497" s="2">
        <v>5</v>
      </c>
      <c r="T497" s="2">
        <v>215</v>
      </c>
      <c r="U497" s="2">
        <f t="shared" si="37"/>
        <v>278</v>
      </c>
      <c r="V497" s="2">
        <v>749</v>
      </c>
      <c r="W497" s="2">
        <v>13236</v>
      </c>
      <c r="X497" s="2">
        <f t="shared" si="38"/>
        <v>13236</v>
      </c>
      <c r="Y497" s="2">
        <v>3306</v>
      </c>
      <c r="Z497" t="str" cm="1">
        <f t="array" ref="Z497">_xlfn.IFS(OR(R497&gt;66, S497&gt;38), "High Engagement", OR(AND(R497&gt;32, R497&lt;=66), AND(S497&gt;19, S497&lt;=38)), "Medium-High Engagement", OR(AND(R497&gt;4, R497&lt;=32), AND(S497&gt;6, S497&lt;=19)),"Medium Engagement", TRUE, "Low Engagement"
)</f>
        <v>Medium-High Engagement</v>
      </c>
      <c r="AA497">
        <f t="shared" si="39"/>
        <v>0.2497733454215775</v>
      </c>
    </row>
    <row r="498" spans="1:27" x14ac:dyDescent="0.35">
      <c r="A498" s="2">
        <v>4388161847</v>
      </c>
      <c r="B498" s="2" t="s">
        <v>75</v>
      </c>
      <c r="C498" s="2">
        <f>VLOOKUP(user_activity!A106,users_details!$A$1:$G$34,5,0)</f>
        <v>22</v>
      </c>
      <c r="D498" s="2" t="str" cm="1">
        <f t="array" ref="D498">_xlfn.IFS( AND(C498&gt;=18, C498&lt;=25), "Emerging Adults",  AND(C498&gt;=26, C498&lt;=35),  "Young Adults",  AND(C498&gt;=36, C498&lt;=45),  "Midlife Adults",  AND(C498&gt;=46, C498&lt;=55), "Mature Adults", C498&gt;=56,  "Older Adults", TRUE, "Age Not Mentioned")</f>
        <v>Emerging Adults</v>
      </c>
      <c r="E498" s="2" t="str">
        <f>VLOOKUP(user_activity!A106,users_details!$A$1:$G$34,6,0)</f>
        <v>Upper East Side, Manhattan</v>
      </c>
      <c r="F498" s="2" t="str">
        <f>VLOOKUP(user_activity!A106,users_details!$A$1:$G$34,7,0)</f>
        <v>Upper East Side</v>
      </c>
      <c r="G498" s="2" t="s">
        <v>71</v>
      </c>
      <c r="H498" s="7">
        <v>42486</v>
      </c>
      <c r="I498" s="9" t="str">
        <f t="shared" si="35"/>
        <v>Tuesday</v>
      </c>
      <c r="J498" s="9" t="str">
        <f t="shared" si="36"/>
        <v>April</v>
      </c>
      <c r="K498" s="2">
        <v>7.2800002099999999</v>
      </c>
      <c r="L498" s="2">
        <v>7.2800002099999999</v>
      </c>
      <c r="M498" s="2">
        <v>0</v>
      </c>
      <c r="N498" s="2">
        <v>0.939999998</v>
      </c>
      <c r="O498" s="2">
        <v>1.059999943</v>
      </c>
      <c r="P498" s="2">
        <v>5.2699999809999998</v>
      </c>
      <c r="Q498" s="2">
        <v>0</v>
      </c>
      <c r="R498" s="2">
        <v>14</v>
      </c>
      <c r="S498" s="2">
        <v>23</v>
      </c>
      <c r="T498" s="2">
        <v>224</v>
      </c>
      <c r="U498" s="2">
        <f t="shared" si="37"/>
        <v>261</v>
      </c>
      <c r="V498" s="2">
        <v>673</v>
      </c>
      <c r="W498" s="2">
        <v>9461</v>
      </c>
      <c r="X498" s="2">
        <f t="shared" si="38"/>
        <v>9461</v>
      </c>
      <c r="Y498" s="2">
        <v>2929</v>
      </c>
      <c r="Z498" t="str" cm="1">
        <f t="array" ref="Z498">_xlfn.IFS(OR(R498&gt;66, S498&gt;38), "High Engagement", OR(AND(R498&gt;32, R498&lt;=66), AND(S498&gt;19, S498&lt;=38)), "Medium-High Engagement", OR(AND(R498&gt;4, R498&lt;=32), AND(S498&gt;6, S498&lt;=19)),"Medium Engagement", TRUE, "Low Engagement"
)</f>
        <v>Medium-High Engagement</v>
      </c>
      <c r="AA498">
        <f t="shared" si="39"/>
        <v>0.30958672444773278</v>
      </c>
    </row>
    <row r="499" spans="1:27" x14ac:dyDescent="0.35">
      <c r="A499" s="2">
        <v>4388161847</v>
      </c>
      <c r="B499" s="2" t="s">
        <v>75</v>
      </c>
      <c r="C499" s="2">
        <f>VLOOKUP(user_activity!A110,users_details!$A$1:$G$34,5,0)</f>
        <v>22</v>
      </c>
      <c r="D499" s="2" t="str" cm="1">
        <f t="array" ref="D499">_xlfn.IFS( AND(C499&gt;=18, C499&lt;=25), "Emerging Adults",  AND(C499&gt;=26, C499&lt;=35),  "Young Adults",  AND(C499&gt;=36, C499&lt;=45),  "Midlife Adults",  AND(C499&gt;=46, C499&lt;=55), "Mature Adults", C499&gt;=56,  "Older Adults", TRUE, "Age Not Mentioned")</f>
        <v>Emerging Adults</v>
      </c>
      <c r="E499" s="2" t="str">
        <f>VLOOKUP(user_activity!A110,users_details!$A$1:$G$34,6,0)</f>
        <v>Upper East Side, Manhattan</v>
      </c>
      <c r="F499" s="2" t="str">
        <f>VLOOKUP(user_activity!A110,users_details!$A$1:$G$34,7,0)</f>
        <v>Upper East Side</v>
      </c>
      <c r="G499" s="2" t="s">
        <v>71</v>
      </c>
      <c r="H499" s="7">
        <v>42526</v>
      </c>
      <c r="I499" s="9" t="str">
        <f t="shared" si="35"/>
        <v>Sunday</v>
      </c>
      <c r="J499" s="9" t="str">
        <f t="shared" si="36"/>
        <v>June</v>
      </c>
      <c r="K499" s="2">
        <v>10.130000109999999</v>
      </c>
      <c r="L499" s="2">
        <v>10.130000109999999</v>
      </c>
      <c r="M499" s="2">
        <v>0</v>
      </c>
      <c r="N499" s="2">
        <v>2.1099998950000001</v>
      </c>
      <c r="O499" s="2">
        <v>2.0899999139999998</v>
      </c>
      <c r="P499" s="2">
        <v>5.9299998279999997</v>
      </c>
      <c r="Q499" s="2">
        <v>0</v>
      </c>
      <c r="R499" s="2">
        <v>33</v>
      </c>
      <c r="S499" s="2">
        <v>45</v>
      </c>
      <c r="T499" s="2">
        <v>262</v>
      </c>
      <c r="U499" s="2">
        <f t="shared" si="37"/>
        <v>340</v>
      </c>
      <c r="V499" s="2">
        <v>1100</v>
      </c>
      <c r="W499" s="2">
        <v>13175</v>
      </c>
      <c r="X499" s="2">
        <f t="shared" si="38"/>
        <v>13175</v>
      </c>
      <c r="Y499" s="2">
        <v>3425</v>
      </c>
      <c r="Z499" t="str" cm="1">
        <f t="array" ref="Z499">_xlfn.IFS(OR(R499&gt;66, S499&gt;38), "High Engagement", OR(AND(R499&gt;32, R499&lt;=66), AND(S499&gt;19, S499&lt;=38)), "Medium-High Engagement", OR(AND(R499&gt;4, R499&lt;=32), AND(S499&gt;6, S499&lt;=19)),"Medium Engagement", TRUE, "Low Engagement"
)</f>
        <v>High Engagement</v>
      </c>
      <c r="AA499">
        <f t="shared" si="39"/>
        <v>0.25996204933586337</v>
      </c>
    </row>
    <row r="500" spans="1:27" x14ac:dyDescent="0.35">
      <c r="A500" s="2">
        <v>4388161847</v>
      </c>
      <c r="B500" s="2" t="s">
        <v>75</v>
      </c>
      <c r="C500" s="2">
        <f>VLOOKUP(user_activity!A149,users_details!$A$1:$G$34,5,0)</f>
        <v>23</v>
      </c>
      <c r="D500" s="2" t="str" cm="1">
        <f t="array" ref="D500">_xlfn.IFS( AND(C500&gt;=18, C500&lt;=25), "Emerging Adults",  AND(C500&gt;=26, C500&lt;=35),  "Young Adults",  AND(C500&gt;=36, C500&lt;=45),  "Midlife Adults",  AND(C500&gt;=46, C500&lt;=55), "Mature Adults", C500&gt;=56,  "Older Adults", TRUE, "Age Not Mentioned")</f>
        <v>Emerging Adults</v>
      </c>
      <c r="E500" s="2" t="str">
        <f>VLOOKUP(user_activity!A149,users_details!$A$1:$G$34,6,0)</f>
        <v>Washington Heights, Manhattan</v>
      </c>
      <c r="F500" s="2" t="str">
        <f>VLOOKUP(user_activity!A149,users_details!$A$1:$G$34,7,0)</f>
        <v>Washington Heights</v>
      </c>
      <c r="G500" s="2" t="s">
        <v>71</v>
      </c>
      <c r="H500" s="7">
        <v>42708</v>
      </c>
      <c r="I500" s="9" t="str">
        <f t="shared" si="35"/>
        <v>Sunday</v>
      </c>
      <c r="J500" s="9" t="str">
        <f t="shared" si="36"/>
        <v>December</v>
      </c>
      <c r="K500" s="2">
        <v>7.7800002099999999</v>
      </c>
      <c r="L500" s="2">
        <v>7.7800002099999999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f t="shared" si="37"/>
        <v>0</v>
      </c>
      <c r="V500" s="2">
        <v>1440</v>
      </c>
      <c r="W500" s="2">
        <v>10122</v>
      </c>
      <c r="X500" s="2">
        <f t="shared" si="38"/>
        <v>10122</v>
      </c>
      <c r="Y500" s="2">
        <v>2955</v>
      </c>
      <c r="Z500" t="str" cm="1">
        <f t="array" ref="Z500">_xlfn.IFS(OR(R500&gt;66, S500&gt;38), "High Engagement", OR(AND(R500&gt;32, R500&lt;=66), AND(S500&gt;19, S500&lt;=38)), "Medium-High Engagement", OR(AND(R500&gt;4, R500&lt;=32), AND(S500&gt;6, S500&lt;=19)),"Medium Engagement", TRUE, "Low Engagement"
)</f>
        <v>Low Engagement</v>
      </c>
      <c r="AA500">
        <f t="shared" si="39"/>
        <v>0.29193835210432723</v>
      </c>
    </row>
    <row r="501" spans="1:27" x14ac:dyDescent="0.35">
      <c r="A501" s="2">
        <v>4388161847</v>
      </c>
      <c r="B501" s="2" t="s">
        <v>75</v>
      </c>
      <c r="C501" s="2">
        <f>VLOOKUP(user_activity!A157,users_details!$A$1:$G$34,5,0)</f>
        <v>23</v>
      </c>
      <c r="D501" s="2" t="str" cm="1">
        <f t="array" ref="D501">_xlfn.IFS( AND(C501&gt;=18, C501&lt;=25), "Emerging Adults",  AND(C501&gt;=26, C501&lt;=35),  "Young Adults",  AND(C501&gt;=36, C501&lt;=45),  "Midlife Adults",  AND(C501&gt;=46, C501&lt;=55), "Mature Adults", C501&gt;=56,  "Older Adults", TRUE, "Age Not Mentioned")</f>
        <v>Emerging Adults</v>
      </c>
      <c r="E501" s="2" t="str">
        <f>VLOOKUP(user_activity!A157,users_details!$A$1:$G$34,6,0)</f>
        <v>Washington Heights, Manhattan</v>
      </c>
      <c r="F501" s="2" t="str">
        <f>VLOOKUP(user_activity!A157,users_details!$A$1:$G$34,7,0)</f>
        <v>Washington Heights</v>
      </c>
      <c r="G501" s="2" t="s">
        <v>71</v>
      </c>
      <c r="H501" s="7">
        <v>42405</v>
      </c>
      <c r="I501" s="9" t="str">
        <f t="shared" si="35"/>
        <v>Friday</v>
      </c>
      <c r="J501" s="9" t="str">
        <f t="shared" si="36"/>
        <v>February</v>
      </c>
      <c r="K501" s="2">
        <v>8.3999996190000008</v>
      </c>
      <c r="L501" s="2">
        <v>8.3999996190000008</v>
      </c>
      <c r="M501" s="2">
        <v>0</v>
      </c>
      <c r="N501" s="2">
        <v>3.7699999809999998</v>
      </c>
      <c r="O501" s="2">
        <v>7.9999998000000003E-2</v>
      </c>
      <c r="P501" s="2">
        <v>4.5500001909999996</v>
      </c>
      <c r="Q501" s="2">
        <v>0</v>
      </c>
      <c r="R501" s="2">
        <v>33</v>
      </c>
      <c r="S501" s="2">
        <v>4</v>
      </c>
      <c r="T501" s="2">
        <v>204</v>
      </c>
      <c r="U501" s="2">
        <f t="shared" si="37"/>
        <v>241</v>
      </c>
      <c r="V501" s="2">
        <v>935</v>
      </c>
      <c r="W501" s="2">
        <v>10096</v>
      </c>
      <c r="X501" s="2">
        <f t="shared" si="38"/>
        <v>10096</v>
      </c>
      <c r="Y501" s="2">
        <v>3147</v>
      </c>
      <c r="Z501" t="str" cm="1">
        <f t="array" ref="Z501">_xlfn.IFS(OR(R501&gt;66, S501&gt;38), "High Engagement", OR(AND(R501&gt;32, R501&lt;=66), AND(S501&gt;19, S501&lt;=38)), "Medium-High Engagement", OR(AND(R501&gt;4, R501&lt;=32), AND(S501&gt;6, S501&lt;=19)),"Medium Engagement", TRUE, "Low Engagement"
)</f>
        <v>Medium-High Engagement</v>
      </c>
      <c r="AA501">
        <f t="shared" si="39"/>
        <v>0.31170760697305866</v>
      </c>
    </row>
    <row r="502" spans="1:27" x14ac:dyDescent="0.35">
      <c r="A502" s="2">
        <v>4388161847</v>
      </c>
      <c r="B502" s="2" t="s">
        <v>75</v>
      </c>
      <c r="C502" s="2">
        <f>VLOOKUP(user_activity!A182,users_details!$A$1:$G$34,5,0)</f>
        <v>23</v>
      </c>
      <c r="D502" s="2" t="str" cm="1">
        <f t="array" ref="D502">_xlfn.IFS( AND(C502&gt;=18, C502&lt;=25), "Emerging Adults",  AND(C502&gt;=26, C502&lt;=35),  "Young Adults",  AND(C502&gt;=36, C502&lt;=45),  "Midlife Adults",  AND(C502&gt;=46, C502&lt;=55), "Mature Adults", C502&gt;=56,  "Older Adults", TRUE, "Age Not Mentioned")</f>
        <v>Emerging Adults</v>
      </c>
      <c r="E502" s="2" t="str">
        <f>VLOOKUP(user_activity!A182,users_details!$A$1:$G$34,6,0)</f>
        <v>Crown Heights, Brooklyn</v>
      </c>
      <c r="F502" s="2" t="str">
        <f>VLOOKUP(user_activity!A182,users_details!$A$1:$G$34,7,0)</f>
        <v>Crown Heights</v>
      </c>
      <c r="G502" s="2" t="s">
        <v>71</v>
      </c>
      <c r="H502" s="7">
        <v>42709</v>
      </c>
      <c r="I502" s="9" t="str">
        <f t="shared" si="35"/>
        <v>Monday</v>
      </c>
      <c r="J502" s="9" t="str">
        <f t="shared" si="36"/>
        <v>December</v>
      </c>
      <c r="K502" s="2">
        <v>2.5899999139999998</v>
      </c>
      <c r="L502" s="2">
        <v>2.5899999139999998</v>
      </c>
      <c r="M502" s="2">
        <v>0</v>
      </c>
      <c r="N502" s="2">
        <v>0</v>
      </c>
      <c r="O502" s="2">
        <v>0</v>
      </c>
      <c r="P502" s="2">
        <v>2.5899999139999998</v>
      </c>
      <c r="Q502" s="2">
        <v>0</v>
      </c>
      <c r="R502" s="2">
        <v>0</v>
      </c>
      <c r="S502" s="2">
        <v>0</v>
      </c>
      <c r="T502" s="2">
        <v>108</v>
      </c>
      <c r="U502" s="2">
        <f t="shared" si="37"/>
        <v>108</v>
      </c>
      <c r="V502" s="2">
        <v>825</v>
      </c>
      <c r="W502" s="2">
        <v>3369</v>
      </c>
      <c r="X502" s="2">
        <f t="shared" si="38"/>
        <v>3369</v>
      </c>
      <c r="Y502" s="2">
        <v>1623</v>
      </c>
      <c r="Z502" t="str" cm="1">
        <f t="array" ref="Z502">_xlfn.IFS(OR(R502&gt;66, S502&gt;38), "High Engagement", OR(AND(R502&gt;32, R502&lt;=66), AND(S502&gt;19, S502&lt;=38)), "Medium-High Engagement", OR(AND(R502&gt;4, R502&lt;=32), AND(S502&gt;6, S502&lt;=19)),"Medium Engagement", TRUE, "Low Engagement"
)</f>
        <v>Low Engagement</v>
      </c>
      <c r="AA502">
        <f t="shared" si="39"/>
        <v>0.48174532502226181</v>
      </c>
    </row>
    <row r="503" spans="1:27" x14ac:dyDescent="0.35">
      <c r="A503" s="2">
        <v>4388161847</v>
      </c>
      <c r="B503" s="2" t="s">
        <v>75</v>
      </c>
      <c r="C503" s="2">
        <f>VLOOKUP(user_activity!A202,users_details!$A$1:$G$34,5,0)</f>
        <v>23</v>
      </c>
      <c r="D503" s="2" t="str" cm="1">
        <f t="array" ref="D503">_xlfn.IFS( AND(C503&gt;=18, C503&lt;=25), "Emerging Adults",  AND(C503&gt;=26, C503&lt;=35),  "Young Adults",  AND(C503&gt;=36, C503&lt;=45),  "Midlife Adults",  AND(C503&gt;=46, C503&lt;=55), "Mature Adults", C503&gt;=56,  "Older Adults", TRUE, "Age Not Mentioned")</f>
        <v>Emerging Adults</v>
      </c>
      <c r="E503" s="2" t="str">
        <f>VLOOKUP(user_activity!A202,users_details!$A$1:$G$34,6,0)</f>
        <v>Crown Heights, Brooklyn</v>
      </c>
      <c r="F503" s="2" t="str">
        <f>VLOOKUP(user_activity!A202,users_details!$A$1:$G$34,7,0)</f>
        <v>Crown Heights</v>
      </c>
      <c r="G503" s="2" t="s">
        <v>71</v>
      </c>
      <c r="H503" s="7">
        <v>42648</v>
      </c>
      <c r="I503" s="9" t="str">
        <f t="shared" si="35"/>
        <v>Wednesday</v>
      </c>
      <c r="J503" s="9" t="str">
        <f t="shared" si="36"/>
        <v>October</v>
      </c>
      <c r="K503" s="2">
        <v>7.920000076</v>
      </c>
      <c r="L503" s="2">
        <v>7.920000076</v>
      </c>
      <c r="M503" s="2">
        <v>0</v>
      </c>
      <c r="N503" s="2">
        <v>0.810000002</v>
      </c>
      <c r="O503" s="2">
        <v>0.64999997600000003</v>
      </c>
      <c r="P503" s="2">
        <v>6.4600000380000004</v>
      </c>
      <c r="Q503" s="2">
        <v>0</v>
      </c>
      <c r="R503" s="2">
        <v>13</v>
      </c>
      <c r="S503" s="2">
        <v>14</v>
      </c>
      <c r="T503" s="2">
        <v>267</v>
      </c>
      <c r="U503" s="2">
        <f t="shared" si="37"/>
        <v>294</v>
      </c>
      <c r="V503" s="2">
        <v>648</v>
      </c>
      <c r="W503" s="2">
        <v>10299</v>
      </c>
      <c r="X503" s="2">
        <f t="shared" si="38"/>
        <v>10299</v>
      </c>
      <c r="Y503" s="2">
        <v>3061</v>
      </c>
      <c r="Z503" t="str" cm="1">
        <f t="array" ref="Z503">_xlfn.IFS(OR(R503&gt;66, S503&gt;38), "High Engagement", OR(AND(R503&gt;32, R503&lt;=66), AND(S503&gt;19, S503&lt;=38)), "Medium-High Engagement", OR(AND(R503&gt;4, R503&lt;=32), AND(S503&gt;6, S503&lt;=19)),"Medium Engagement", TRUE, "Low Engagement"
)</f>
        <v>Medium Engagement</v>
      </c>
      <c r="AA503">
        <f t="shared" si="39"/>
        <v>0.29721332168171666</v>
      </c>
    </row>
    <row r="504" spans="1:27" x14ac:dyDescent="0.35">
      <c r="A504" s="2">
        <v>4388161847</v>
      </c>
      <c r="B504" s="2" t="s">
        <v>75</v>
      </c>
      <c r="C504" s="2">
        <f>VLOOKUP(user_activity!A219,users_details!$A$1:$G$34,5,0)</f>
        <v>24</v>
      </c>
      <c r="D504" s="2" t="str" cm="1">
        <f t="array" ref="D504">_xlfn.IFS( AND(C504&gt;=18, C504&lt;=25), "Emerging Adults",  AND(C504&gt;=26, C504&lt;=35),  "Young Adults",  AND(C504&gt;=36, C504&lt;=45),  "Midlife Adults",  AND(C504&gt;=46, C504&lt;=55), "Mature Adults", C504&gt;=56,  "Older Adults", TRUE, "Age Not Mentioned")</f>
        <v>Emerging Adults</v>
      </c>
      <c r="E504" s="2" t="str">
        <f>VLOOKUP(user_activity!A219,users_details!$A$1:$G$34,6,0)</f>
        <v>East Village, Manhattan</v>
      </c>
      <c r="F504" s="2" t="str">
        <f>VLOOKUP(user_activity!A219,users_details!$A$1:$G$34,7,0)</f>
        <v>East Village</v>
      </c>
      <c r="G504" s="2" t="s">
        <v>71</v>
      </c>
      <c r="H504" s="7">
        <v>42482</v>
      </c>
      <c r="I504" s="9" t="str">
        <f t="shared" si="35"/>
        <v>Friday</v>
      </c>
      <c r="J504" s="9" t="str">
        <f t="shared" si="36"/>
        <v>April</v>
      </c>
      <c r="K504" s="2">
        <v>9.3400001530000001</v>
      </c>
      <c r="L504" s="2">
        <v>9.3400001530000001</v>
      </c>
      <c r="M504" s="2">
        <v>0</v>
      </c>
      <c r="N504" s="2">
        <v>3.2999999519999998</v>
      </c>
      <c r="O504" s="2">
        <v>1.1100000139999999</v>
      </c>
      <c r="P504" s="2">
        <v>4.920000076</v>
      </c>
      <c r="Q504" s="2">
        <v>0</v>
      </c>
      <c r="R504" s="2">
        <v>77</v>
      </c>
      <c r="S504" s="2">
        <v>25</v>
      </c>
      <c r="T504" s="2">
        <v>220</v>
      </c>
      <c r="U504" s="2">
        <f t="shared" si="37"/>
        <v>322</v>
      </c>
      <c r="V504" s="2">
        <v>945</v>
      </c>
      <c r="W504" s="2">
        <v>12139</v>
      </c>
      <c r="X504" s="2">
        <f t="shared" si="38"/>
        <v>12139</v>
      </c>
      <c r="Y504" s="2">
        <v>3544</v>
      </c>
      <c r="Z504" t="str" cm="1">
        <f t="array" ref="Z504">_xlfn.IFS(OR(R504&gt;66, S504&gt;38), "High Engagement", OR(AND(R504&gt;32, R504&lt;=66), AND(S504&gt;19, S504&lt;=38)), "Medium-High Engagement", OR(AND(R504&gt;4, R504&lt;=32), AND(S504&gt;6, S504&lt;=19)),"Medium Engagement", TRUE, "Low Engagement"
)</f>
        <v>High Engagement</v>
      </c>
      <c r="AA504">
        <f t="shared" si="39"/>
        <v>0.29195156108410908</v>
      </c>
    </row>
    <row r="505" spans="1:27" x14ac:dyDescent="0.35">
      <c r="A505" s="2">
        <v>4388161847</v>
      </c>
      <c r="B505" s="2" t="s">
        <v>75</v>
      </c>
      <c r="C505" s="2">
        <f>VLOOKUP(user_activity!A221,users_details!$A$1:$G$34,5,0)</f>
        <v>24</v>
      </c>
      <c r="D505" s="2" t="str" cm="1">
        <f t="array" ref="D505">_xlfn.IFS( AND(C505&gt;=18, C505&lt;=25), "Emerging Adults",  AND(C505&gt;=26, C505&lt;=35),  "Young Adults",  AND(C505&gt;=36, C505&lt;=45),  "Midlife Adults",  AND(C505&gt;=46, C505&lt;=55), "Mature Adults", C505&gt;=56,  "Older Adults", TRUE, "Age Not Mentioned")</f>
        <v>Emerging Adults</v>
      </c>
      <c r="E505" s="2" t="str">
        <f>VLOOKUP(user_activity!A221,users_details!$A$1:$G$34,6,0)</f>
        <v>East Village, Manhattan</v>
      </c>
      <c r="F505" s="2" t="str">
        <f>VLOOKUP(user_activity!A221,users_details!$A$1:$G$34,7,0)</f>
        <v>East Village</v>
      </c>
      <c r="G505" s="2" t="s">
        <v>71</v>
      </c>
      <c r="H505" s="7">
        <v>42488</v>
      </c>
      <c r="I505" s="9" t="str">
        <f t="shared" si="35"/>
        <v>Thursday</v>
      </c>
      <c r="J505" s="9" t="str">
        <f t="shared" si="36"/>
        <v>April</v>
      </c>
      <c r="K505" s="2">
        <v>7.75</v>
      </c>
      <c r="L505" s="2">
        <v>7.75</v>
      </c>
      <c r="M505" s="2">
        <v>0</v>
      </c>
      <c r="N505" s="2">
        <v>1.289999962</v>
      </c>
      <c r="O505" s="2">
        <v>0.43000000700000002</v>
      </c>
      <c r="P505" s="2">
        <v>6.0300002099999999</v>
      </c>
      <c r="Q505" s="2">
        <v>0</v>
      </c>
      <c r="R505" s="2">
        <v>19</v>
      </c>
      <c r="S505" s="2">
        <v>9</v>
      </c>
      <c r="T505" s="2">
        <v>234</v>
      </c>
      <c r="U505" s="2">
        <f t="shared" si="37"/>
        <v>262</v>
      </c>
      <c r="V505" s="2">
        <v>878</v>
      </c>
      <c r="W505" s="2">
        <v>10074</v>
      </c>
      <c r="X505" s="2">
        <f t="shared" si="38"/>
        <v>10074</v>
      </c>
      <c r="Y505" s="2">
        <v>2969</v>
      </c>
      <c r="Z505" t="str" cm="1">
        <f t="array" ref="Z505">_xlfn.IFS(OR(R505&gt;66, S505&gt;38), "High Engagement", OR(AND(R505&gt;32, R505&lt;=66), AND(S505&gt;19, S505&lt;=38)), "Medium-High Engagement", OR(AND(R505&gt;4, R505&lt;=32), AND(S505&gt;6, S505&lt;=19)),"Medium Engagement", TRUE, "Low Engagement"
)</f>
        <v>Medium Engagement</v>
      </c>
      <c r="AA505">
        <f t="shared" si="39"/>
        <v>0.29471907881675602</v>
      </c>
    </row>
    <row r="506" spans="1:27" x14ac:dyDescent="0.35">
      <c r="A506" s="2">
        <v>4388161847</v>
      </c>
      <c r="B506" s="2" t="s">
        <v>75</v>
      </c>
      <c r="C506" s="2">
        <f>VLOOKUP(user_activity!A250,users_details!$A$1:$G$34,5,0)</f>
        <v>29</v>
      </c>
      <c r="D506" s="2" t="str" cm="1">
        <f t="array" ref="D506">_xlfn.IFS( AND(C506&gt;=18, C506&lt;=25), "Emerging Adults",  AND(C506&gt;=26, C506&lt;=35),  "Young Adults",  AND(C506&gt;=36, C506&lt;=45),  "Midlife Adults",  AND(C506&gt;=46, C506&lt;=55), "Mature Adults", C506&gt;=56,  "Older Adults", TRUE, "Age Not Mentioned")</f>
        <v>Young Adults</v>
      </c>
      <c r="E506" s="2" t="str">
        <f>VLOOKUP(user_activity!A250,users_details!$A$1:$G$34,6,0)</f>
        <v>East Village, Manhattan</v>
      </c>
      <c r="F506" s="2" t="str">
        <f>VLOOKUP(user_activity!A250,users_details!$A$1:$G$34,7,0)</f>
        <v>East Village</v>
      </c>
      <c r="G506" s="2" t="s">
        <v>71</v>
      </c>
      <c r="H506" s="7">
        <v>42485</v>
      </c>
      <c r="I506" s="9" t="str">
        <f t="shared" si="35"/>
        <v>Monday</v>
      </c>
      <c r="J506" s="9" t="str">
        <f t="shared" si="36"/>
        <v>April</v>
      </c>
      <c r="K506" s="2">
        <v>9.9700002669999996</v>
      </c>
      <c r="L506" s="2">
        <v>9.9700002669999996</v>
      </c>
      <c r="M506" s="2">
        <v>0</v>
      </c>
      <c r="N506" s="2">
        <v>0.730000019</v>
      </c>
      <c r="O506" s="2">
        <v>1.3999999759999999</v>
      </c>
      <c r="P506" s="2">
        <v>7.8400001530000001</v>
      </c>
      <c r="Q506" s="2">
        <v>0</v>
      </c>
      <c r="R506" s="2">
        <v>11</v>
      </c>
      <c r="S506" s="2">
        <v>31</v>
      </c>
      <c r="T506" s="2">
        <v>301</v>
      </c>
      <c r="U506" s="2">
        <f t="shared" si="37"/>
        <v>343</v>
      </c>
      <c r="V506" s="2">
        <v>1054</v>
      </c>
      <c r="W506" s="2">
        <v>12961</v>
      </c>
      <c r="X506" s="2">
        <f t="shared" si="38"/>
        <v>12961</v>
      </c>
      <c r="Y506" s="2">
        <v>3288</v>
      </c>
      <c r="Z506" t="str" cm="1">
        <f t="array" ref="Z506">_xlfn.IFS(OR(R506&gt;66, S506&gt;38), "High Engagement", OR(AND(R506&gt;32, R506&lt;=66), AND(S506&gt;19, S506&lt;=38)), "Medium-High Engagement", OR(AND(R506&gt;4, R506&lt;=32), AND(S506&gt;6, S506&lt;=19)),"Medium Engagement", TRUE, "Low Engagement"
)</f>
        <v>Medium-High Engagement</v>
      </c>
      <c r="AA506">
        <f t="shared" si="39"/>
        <v>0.25368412931100998</v>
      </c>
    </row>
    <row r="507" spans="1:27" x14ac:dyDescent="0.35">
      <c r="A507" s="2">
        <v>4388161847</v>
      </c>
      <c r="B507" s="2" t="s">
        <v>75</v>
      </c>
      <c r="C507" s="2">
        <f>VLOOKUP(user_activity!A262,users_details!$A$1:$G$34,5,0)</f>
        <v>29</v>
      </c>
      <c r="D507" s="2" t="str" cm="1">
        <f t="array" ref="D507">_xlfn.IFS( AND(C507&gt;=18, C507&lt;=25), "Emerging Adults",  AND(C507&gt;=26, C507&lt;=35),  "Young Adults",  AND(C507&gt;=36, C507&lt;=45),  "Midlife Adults",  AND(C507&gt;=46, C507&lt;=55), "Mature Adults", C507&gt;=56,  "Older Adults", TRUE, "Age Not Mentioned")</f>
        <v>Young Adults</v>
      </c>
      <c r="E507" s="2" t="str">
        <f>VLOOKUP(user_activity!A262,users_details!$A$1:$G$34,6,0)</f>
        <v>East Village, Manhattan</v>
      </c>
      <c r="F507" s="2" t="str">
        <f>VLOOKUP(user_activity!A262,users_details!$A$1:$G$34,7,0)</f>
        <v>East Village</v>
      </c>
      <c r="G507" s="2" t="s">
        <v>71</v>
      </c>
      <c r="H507" s="7">
        <v>42489</v>
      </c>
      <c r="I507" s="9" t="str">
        <f t="shared" si="35"/>
        <v>Friday</v>
      </c>
      <c r="J507" s="9" t="str">
        <f t="shared" si="36"/>
        <v>April</v>
      </c>
      <c r="K507" s="2">
        <v>7.0999999049999998</v>
      </c>
      <c r="L507" s="2">
        <v>7.0999999049999998</v>
      </c>
      <c r="M507" s="2">
        <v>0</v>
      </c>
      <c r="N507" s="2">
        <v>0.80000001200000004</v>
      </c>
      <c r="O507" s="2">
        <v>0.88999998599999997</v>
      </c>
      <c r="P507" s="2">
        <v>5.420000076</v>
      </c>
      <c r="Q507" s="2">
        <v>0</v>
      </c>
      <c r="R507" s="2">
        <v>13</v>
      </c>
      <c r="S507" s="2">
        <v>16</v>
      </c>
      <c r="T507" s="2">
        <v>236</v>
      </c>
      <c r="U507" s="2">
        <f t="shared" si="37"/>
        <v>265</v>
      </c>
      <c r="V507" s="2">
        <v>1175</v>
      </c>
      <c r="W507" s="2">
        <v>9232</v>
      </c>
      <c r="X507" s="2">
        <f t="shared" si="38"/>
        <v>9232</v>
      </c>
      <c r="Y507" s="2">
        <v>2979</v>
      </c>
      <c r="Z507" t="str" cm="1">
        <f t="array" ref="Z507">_xlfn.IFS(OR(R507&gt;66, S507&gt;38), "High Engagement", OR(AND(R507&gt;32, R507&lt;=66), AND(S507&gt;19, S507&lt;=38)), "Medium-High Engagement", OR(AND(R507&gt;4, R507&lt;=32), AND(S507&gt;6, S507&lt;=19)),"Medium Engagement", TRUE, "Low Engagement"
)</f>
        <v>Medium Engagement</v>
      </c>
      <c r="AA507">
        <f t="shared" si="39"/>
        <v>0.32268197573656848</v>
      </c>
    </row>
    <row r="508" spans="1:27" x14ac:dyDescent="0.35">
      <c r="A508" s="2">
        <v>4388161847</v>
      </c>
      <c r="B508" s="2" t="s">
        <v>75</v>
      </c>
      <c r="C508" s="2">
        <f>VLOOKUP(user_activity!A285,users_details!$A$1:$G$34,5,0)</f>
        <v>29</v>
      </c>
      <c r="D508" s="2" t="str" cm="1">
        <f t="array" ref="D508">_xlfn.IFS( AND(C508&gt;=18, C508&lt;=25), "Emerging Adults",  AND(C508&gt;=26, C508&lt;=35),  "Young Adults",  AND(C508&gt;=36, C508&lt;=45),  "Midlife Adults",  AND(C508&gt;=46, C508&lt;=55), "Mature Adults", C508&gt;=56,  "Older Adults", TRUE, "Age Not Mentioned")</f>
        <v>Young Adults</v>
      </c>
      <c r="E508" s="2" t="str">
        <f>VLOOKUP(user_activity!A285,users_details!$A$1:$G$34,6,0)</f>
        <v>East Village, Manhattan</v>
      </c>
      <c r="F508" s="2" t="str">
        <f>VLOOKUP(user_activity!A285,users_details!$A$1:$G$34,7,0)</f>
        <v>East Village</v>
      </c>
      <c r="G508" s="2" t="s">
        <v>71</v>
      </c>
      <c r="H508" s="7">
        <v>42477</v>
      </c>
      <c r="I508" s="9" t="str">
        <f t="shared" si="35"/>
        <v>Sunday</v>
      </c>
      <c r="J508" s="9" t="str">
        <f t="shared" si="36"/>
        <v>April</v>
      </c>
      <c r="K508" s="2">
        <v>3.579999924</v>
      </c>
      <c r="L508" s="2">
        <v>3.579999924</v>
      </c>
      <c r="M508" s="2">
        <v>0</v>
      </c>
      <c r="N508" s="2">
        <v>0</v>
      </c>
      <c r="O508" s="2">
        <v>0</v>
      </c>
      <c r="P508" s="2">
        <v>3.579999924</v>
      </c>
      <c r="Q508" s="2">
        <v>0</v>
      </c>
      <c r="R508" s="2">
        <v>0</v>
      </c>
      <c r="S508" s="2">
        <v>0</v>
      </c>
      <c r="T508" s="2">
        <v>201</v>
      </c>
      <c r="U508" s="2">
        <f t="shared" si="37"/>
        <v>201</v>
      </c>
      <c r="V508" s="2">
        <v>721</v>
      </c>
      <c r="W508" s="2">
        <v>4660</v>
      </c>
      <c r="X508" s="2">
        <f t="shared" si="38"/>
        <v>4660</v>
      </c>
      <c r="Y508" s="2">
        <v>2572</v>
      </c>
      <c r="Z508" t="str" cm="1">
        <f t="array" ref="Z508">_xlfn.IFS(OR(R508&gt;66, S508&gt;38), "High Engagement", OR(AND(R508&gt;32, R508&lt;=66), AND(S508&gt;19, S508&lt;=38)), "Medium-High Engagement", OR(AND(R508&gt;4, R508&lt;=32), AND(S508&gt;6, S508&lt;=19)),"Medium Engagement", TRUE, "Low Engagement"
)</f>
        <v>Low Engagement</v>
      </c>
      <c r="AA508">
        <f t="shared" si="39"/>
        <v>0.55193133047210297</v>
      </c>
    </row>
    <row r="509" spans="1:27" x14ac:dyDescent="0.35">
      <c r="A509" s="2">
        <v>4388161847</v>
      </c>
      <c r="B509" s="2" t="s">
        <v>75</v>
      </c>
      <c r="C509" s="2">
        <f>VLOOKUP(user_activity!A322,users_details!$A$1:$G$34,5,0)</f>
        <v>30</v>
      </c>
      <c r="D509" s="2" t="str" cm="1">
        <f t="array" ref="D509">_xlfn.IFS( AND(C509&gt;=18, C509&lt;=25), "Emerging Adults",  AND(C509&gt;=26, C509&lt;=35),  "Young Adults",  AND(C509&gt;=36, C509&lt;=45),  "Midlife Adults",  AND(C509&gt;=46, C509&lt;=55), "Mature Adults", C509&gt;=56,  "Older Adults", TRUE, "Age Not Mentioned")</f>
        <v>Young Adults</v>
      </c>
      <c r="E509" s="2" t="str">
        <f>VLOOKUP(user_activity!A322,users_details!$A$1:$G$34,6,0)</f>
        <v>Midtown, Manhattan</v>
      </c>
      <c r="F509" s="2" t="str">
        <f>VLOOKUP(user_activity!A322,users_details!$A$1:$G$34,7,0)</f>
        <v>Midtown</v>
      </c>
      <c r="G509" s="2" t="s">
        <v>71</v>
      </c>
      <c r="H509" s="7">
        <v>42480</v>
      </c>
      <c r="I509" s="9" t="str">
        <f t="shared" si="35"/>
        <v>Wednesday</v>
      </c>
      <c r="J509" s="9" t="str">
        <f t="shared" si="36"/>
        <v>April</v>
      </c>
      <c r="K509" s="2">
        <v>8.1199998860000004</v>
      </c>
      <c r="L509" s="2">
        <v>8.1199998860000004</v>
      </c>
      <c r="M509" s="2">
        <v>0</v>
      </c>
      <c r="N509" s="2">
        <v>1.1000000240000001</v>
      </c>
      <c r="O509" s="2">
        <v>1.7200000289999999</v>
      </c>
      <c r="P509" s="2">
        <v>5.2899999619999996</v>
      </c>
      <c r="Q509" s="2">
        <v>0</v>
      </c>
      <c r="R509" s="2">
        <v>19</v>
      </c>
      <c r="S509" s="2">
        <v>42</v>
      </c>
      <c r="T509" s="2">
        <v>228</v>
      </c>
      <c r="U509" s="2">
        <f t="shared" si="37"/>
        <v>289</v>
      </c>
      <c r="V509" s="2">
        <v>696</v>
      </c>
      <c r="W509" s="2">
        <v>10553</v>
      </c>
      <c r="X509" s="2">
        <f t="shared" si="38"/>
        <v>10553</v>
      </c>
      <c r="Y509" s="2">
        <v>3083</v>
      </c>
      <c r="Z509" t="str" cm="1">
        <f t="array" ref="Z509">_xlfn.IFS(OR(R509&gt;66, S509&gt;38), "High Engagement", OR(AND(R509&gt;32, R509&lt;=66), AND(S509&gt;19, S509&lt;=38)), "Medium-High Engagement", OR(AND(R509&gt;4, R509&lt;=32), AND(S509&gt;6, S509&lt;=19)),"Medium Engagement", TRUE, "Low Engagement"
)</f>
        <v>High Engagement</v>
      </c>
      <c r="AA509">
        <f t="shared" si="39"/>
        <v>0.29214441391073626</v>
      </c>
    </row>
    <row r="510" spans="1:27" x14ac:dyDescent="0.35">
      <c r="A510" s="2">
        <v>4388161847</v>
      </c>
      <c r="B510" s="2" t="s">
        <v>75</v>
      </c>
      <c r="C510" s="2">
        <f>VLOOKUP(user_activity!A337,users_details!$A$1:$G$34,5,0)</f>
        <v>30</v>
      </c>
      <c r="D510" s="2" t="str" cm="1">
        <f t="array" ref="D510">_xlfn.IFS( AND(C510&gt;=18, C510&lt;=25), "Emerging Adults",  AND(C510&gt;=26, C510&lt;=35),  "Young Adults",  AND(C510&gt;=36, C510&lt;=45),  "Midlife Adults",  AND(C510&gt;=46, C510&lt;=55), "Mature Adults", C510&gt;=56,  "Older Adults", TRUE, "Age Not Mentioned")</f>
        <v>Young Adults</v>
      </c>
      <c r="E510" s="2" t="str">
        <f>VLOOKUP(user_activity!A337,users_details!$A$1:$G$34,6,0)</f>
        <v>Clinton Hill, Brooklyn</v>
      </c>
      <c r="F510" s="2" t="str">
        <f>VLOOKUP(user_activity!A337,users_details!$A$1:$G$34,7,0)</f>
        <v>Clinton Hill</v>
      </c>
      <c r="G510" s="2" t="s">
        <v>71</v>
      </c>
      <c r="H510" s="7">
        <v>42490</v>
      </c>
      <c r="I510" s="9" t="str">
        <f t="shared" si="35"/>
        <v>Saturday</v>
      </c>
      <c r="J510" s="9" t="str">
        <f t="shared" si="36"/>
        <v>April</v>
      </c>
      <c r="K510" s="2">
        <v>9.6400003430000005</v>
      </c>
      <c r="L510" s="2">
        <v>9.6400003430000005</v>
      </c>
      <c r="M510" s="2">
        <v>0</v>
      </c>
      <c r="N510" s="2">
        <v>0.69999998799999996</v>
      </c>
      <c r="O510" s="2">
        <v>2</v>
      </c>
      <c r="P510" s="2">
        <v>6.9400000569999998</v>
      </c>
      <c r="Q510" s="2">
        <v>0</v>
      </c>
      <c r="R510" s="2">
        <v>14</v>
      </c>
      <c r="S510" s="2">
        <v>43</v>
      </c>
      <c r="T510" s="2">
        <v>300</v>
      </c>
      <c r="U510" s="2">
        <f t="shared" si="37"/>
        <v>357</v>
      </c>
      <c r="V510" s="2">
        <v>537</v>
      </c>
      <c r="W510" s="2">
        <v>12533</v>
      </c>
      <c r="X510" s="2">
        <f t="shared" si="38"/>
        <v>12533</v>
      </c>
      <c r="Y510" s="2">
        <v>3283</v>
      </c>
      <c r="Z510" t="str" cm="1">
        <f t="array" ref="Z510">_xlfn.IFS(OR(R510&gt;66, S510&gt;38), "High Engagement", OR(AND(R510&gt;32, R510&lt;=66), AND(S510&gt;19, S510&lt;=38)), "Medium-High Engagement", OR(AND(R510&gt;4, R510&lt;=32), AND(S510&gt;6, S510&lt;=19)),"Medium Engagement", TRUE, "Low Engagement"
)</f>
        <v>High Engagement</v>
      </c>
      <c r="AA510">
        <f t="shared" si="39"/>
        <v>0.26194845607595946</v>
      </c>
    </row>
    <row r="511" spans="1:27" x14ac:dyDescent="0.35">
      <c r="A511" s="2">
        <v>4388161847</v>
      </c>
      <c r="B511" s="2" t="s">
        <v>75</v>
      </c>
      <c r="C511" s="2">
        <f>VLOOKUP(user_activity!A379,users_details!$A$1:$G$34,5,0)</f>
        <v>32</v>
      </c>
      <c r="D511" s="2" t="str" cm="1">
        <f t="array" ref="D511">_xlfn.IFS( AND(C511&gt;=18, C511&lt;=25), "Emerging Adults",  AND(C511&gt;=26, C511&lt;=35),  "Young Adults",  AND(C511&gt;=36, C511&lt;=45),  "Midlife Adults",  AND(C511&gt;=46, C511&lt;=55), "Mature Adults", C511&gt;=56,  "Older Adults", TRUE, "Age Not Mentioned")</f>
        <v>Young Adults</v>
      </c>
      <c r="E511" s="2" t="str">
        <f>VLOOKUP(user_activity!A379,users_details!$A$1:$G$34,6,0)</f>
        <v>East Harlem, Manhattan</v>
      </c>
      <c r="F511" s="2" t="str">
        <f>VLOOKUP(user_activity!A379,users_details!$A$1:$G$34,7,0)</f>
        <v>East Harlem</v>
      </c>
      <c r="G511" s="2" t="s">
        <v>71</v>
      </c>
      <c r="H511" s="7">
        <v>42484</v>
      </c>
      <c r="I511" s="9" t="str">
        <f t="shared" si="35"/>
        <v>Sunday</v>
      </c>
      <c r="J511" s="9" t="str">
        <f t="shared" si="36"/>
        <v>April</v>
      </c>
      <c r="K511" s="2">
        <v>7.8800001139999996</v>
      </c>
      <c r="L511" s="2">
        <v>7.8800001139999996</v>
      </c>
      <c r="M511" s="2">
        <v>0</v>
      </c>
      <c r="N511" s="2">
        <v>1.0800000430000001</v>
      </c>
      <c r="O511" s="2">
        <v>0.50999998999999996</v>
      </c>
      <c r="P511" s="2">
        <v>6.3000001909999996</v>
      </c>
      <c r="Q511" s="2">
        <v>0</v>
      </c>
      <c r="R511" s="2">
        <v>14</v>
      </c>
      <c r="S511" s="2">
        <v>8</v>
      </c>
      <c r="T511" s="2">
        <v>239</v>
      </c>
      <c r="U511" s="2">
        <f t="shared" si="37"/>
        <v>261</v>
      </c>
      <c r="V511" s="2">
        <v>584</v>
      </c>
      <c r="W511" s="2">
        <v>10243</v>
      </c>
      <c r="X511" s="2">
        <f t="shared" si="38"/>
        <v>10243</v>
      </c>
      <c r="Y511" s="2">
        <v>2885</v>
      </c>
      <c r="Z511" t="str" cm="1">
        <f t="array" ref="Z511">_xlfn.IFS(OR(R511&gt;66, S511&gt;38), "High Engagement", OR(AND(R511&gt;32, R511&lt;=66), AND(S511&gt;19, S511&lt;=38)), "Medium-High Engagement", OR(AND(R511&gt;4, R511&lt;=32), AND(S511&gt;6, S511&lt;=19)),"Medium Engagement", TRUE, "Low Engagement"
)</f>
        <v>Medium Engagement</v>
      </c>
      <c r="AA511">
        <f t="shared" si="39"/>
        <v>0.28165576491262323</v>
      </c>
    </row>
    <row r="512" spans="1:27" x14ac:dyDescent="0.35">
      <c r="A512" s="2">
        <v>4388161847</v>
      </c>
      <c r="B512" s="2" t="s">
        <v>75</v>
      </c>
      <c r="C512" s="2">
        <f>VLOOKUP(user_activity!A384,users_details!$A$1:$G$34,5,0)</f>
        <v>32</v>
      </c>
      <c r="D512" s="2" t="str" cm="1">
        <f t="array" ref="D512">_xlfn.IFS( AND(C512&gt;=18, C512&lt;=25), "Emerging Adults",  AND(C512&gt;=26, C512&lt;=35),  "Young Adults",  AND(C512&gt;=36, C512&lt;=45),  "Midlife Adults",  AND(C512&gt;=46, C512&lt;=55), "Mature Adults", C512&gt;=56,  "Older Adults", TRUE, "Age Not Mentioned")</f>
        <v>Young Adults</v>
      </c>
      <c r="E512" s="2" t="str">
        <f>VLOOKUP(user_activity!A384,users_details!$A$1:$G$34,6,0)</f>
        <v>Greenpoint, Brooklyn</v>
      </c>
      <c r="F512" s="2" t="str">
        <f>VLOOKUP(user_activity!A384,users_details!$A$1:$G$34,7,0)</f>
        <v>Greenpoint</v>
      </c>
      <c r="G512" s="2" t="s">
        <v>71</v>
      </c>
      <c r="H512" s="7">
        <v>42434</v>
      </c>
      <c r="I512" s="9" t="str">
        <f t="shared" si="35"/>
        <v>Saturday</v>
      </c>
      <c r="J512" s="9" t="str">
        <f t="shared" si="36"/>
        <v>March</v>
      </c>
      <c r="K512" s="2">
        <v>9.7899999619999996</v>
      </c>
      <c r="L512" s="2">
        <v>9.7899999619999996</v>
      </c>
      <c r="M512" s="2">
        <v>0</v>
      </c>
      <c r="N512" s="2">
        <v>1.1299999949999999</v>
      </c>
      <c r="O512" s="2">
        <v>0.77999997099999996</v>
      </c>
      <c r="P512" s="2">
        <v>7.8800001139999996</v>
      </c>
      <c r="Q512" s="2">
        <v>0</v>
      </c>
      <c r="R512" s="2">
        <v>18</v>
      </c>
      <c r="S512" s="2">
        <v>18</v>
      </c>
      <c r="T512" s="2">
        <v>306</v>
      </c>
      <c r="U512" s="2">
        <f t="shared" si="37"/>
        <v>342</v>
      </c>
      <c r="V512" s="2">
        <v>984</v>
      </c>
      <c r="W512" s="2">
        <v>12727</v>
      </c>
      <c r="X512" s="2">
        <f t="shared" si="38"/>
        <v>12727</v>
      </c>
      <c r="Y512" s="2">
        <v>3290</v>
      </c>
      <c r="Z512" t="str" cm="1">
        <f t="array" ref="Z512">_xlfn.IFS(OR(R512&gt;66, S512&gt;38), "High Engagement", OR(AND(R512&gt;32, R512&lt;=66), AND(S512&gt;19, S512&lt;=38)), "Medium-High Engagement", OR(AND(R512&gt;4, R512&lt;=32), AND(S512&gt;6, S512&lt;=19)),"Medium Engagement", TRUE, "Low Engagement"
)</f>
        <v>Medium Engagement</v>
      </c>
      <c r="AA512">
        <f t="shared" si="39"/>
        <v>0.25850553940441579</v>
      </c>
    </row>
    <row r="513" spans="1:27" x14ac:dyDescent="0.35">
      <c r="A513" s="2">
        <v>4388161847</v>
      </c>
      <c r="B513" s="2" t="s">
        <v>75</v>
      </c>
      <c r="C513" s="2">
        <f>VLOOKUP(user_activity!A429,users_details!$A$1:$G$34,5,0)</f>
        <v>32</v>
      </c>
      <c r="D513" s="2" t="str" cm="1">
        <f t="array" ref="D513">_xlfn.IFS( AND(C513&gt;=18, C513&lt;=25), "Emerging Adults",  AND(C513&gt;=26, C513&lt;=35),  "Young Adults",  AND(C513&gt;=36, C513&lt;=45),  "Midlife Adults",  AND(C513&gt;=46, C513&lt;=55), "Mature Adults", C513&gt;=56,  "Older Adults", TRUE, "Age Not Mentioned")</f>
        <v>Young Adults</v>
      </c>
      <c r="E513" s="2" t="str">
        <f>VLOOKUP(user_activity!A429,users_details!$A$1:$G$34,6,0)</f>
        <v>East Harlem, Manhattan</v>
      </c>
      <c r="F513" s="2" t="str">
        <f>VLOOKUP(user_activity!A429,users_details!$A$1:$G$34,7,0)</f>
        <v>East Harlem</v>
      </c>
      <c r="G513" s="2" t="s">
        <v>71</v>
      </c>
      <c r="H513" s="7">
        <v>42476</v>
      </c>
      <c r="I513" s="9" t="str">
        <f t="shared" si="35"/>
        <v>Saturday</v>
      </c>
      <c r="J513" s="9" t="str">
        <f t="shared" si="36"/>
        <v>April</v>
      </c>
      <c r="K513" s="2">
        <v>5.0599999430000002</v>
      </c>
      <c r="L513" s="2">
        <v>5.0599999430000002</v>
      </c>
      <c r="M513" s="2">
        <v>0</v>
      </c>
      <c r="N513" s="2">
        <v>0.209999993</v>
      </c>
      <c r="O513" s="2">
        <v>0.40000000600000002</v>
      </c>
      <c r="P513" s="2">
        <v>4.4499998090000004</v>
      </c>
      <c r="Q513" s="2">
        <v>0</v>
      </c>
      <c r="R513" s="2">
        <v>6</v>
      </c>
      <c r="S513" s="2">
        <v>9</v>
      </c>
      <c r="T513" s="2">
        <v>253</v>
      </c>
      <c r="U513" s="2">
        <f t="shared" si="37"/>
        <v>268</v>
      </c>
      <c r="V513" s="2">
        <v>609</v>
      </c>
      <c r="W513" s="2">
        <v>6580</v>
      </c>
      <c r="X513" s="2">
        <f t="shared" si="38"/>
        <v>6580</v>
      </c>
      <c r="Y513" s="2">
        <v>3073</v>
      </c>
      <c r="Z513" t="str" cm="1">
        <f t="array" ref="Z513">_xlfn.IFS(OR(R513&gt;66, S513&gt;38), "High Engagement", OR(AND(R513&gt;32, R513&lt;=66), AND(S513&gt;19, S513&lt;=38)), "Medium-High Engagement", OR(AND(R513&gt;4, R513&lt;=32), AND(S513&gt;6, S513&lt;=19)),"Medium Engagement", TRUE, "Low Engagement"
)</f>
        <v>Medium Engagement</v>
      </c>
      <c r="AA513">
        <f t="shared" si="39"/>
        <v>0.46702127659574466</v>
      </c>
    </row>
    <row r="514" spans="1:27" x14ac:dyDescent="0.35">
      <c r="A514" s="2">
        <v>4388161847</v>
      </c>
      <c r="B514" s="2" t="s">
        <v>75</v>
      </c>
      <c r="C514" s="2">
        <f>VLOOKUP(user_activity!A468,users_details!$A$1:$G$34,5,0)</f>
        <v>33</v>
      </c>
      <c r="D514" s="2" t="str" cm="1">
        <f t="array" ref="D514">_xlfn.IFS( AND(C514&gt;=18, C514&lt;=25), "Emerging Adults",  AND(C514&gt;=26, C514&lt;=35),  "Young Adults",  AND(C514&gt;=36, C514&lt;=45),  "Midlife Adults",  AND(C514&gt;=46, C514&lt;=55), "Mature Adults", C514&gt;=56,  "Older Adults", TRUE, "Age Not Mentioned")</f>
        <v>Young Adults</v>
      </c>
      <c r="E514" s="2" t="str">
        <f>VLOOKUP(user_activity!A468,users_details!$A$1:$G$34,6,0)</f>
        <v>Harlem, Manhattan</v>
      </c>
      <c r="F514" s="2" t="str">
        <f>VLOOKUP(user_activity!A468,users_details!$A$1:$G$34,7,0)</f>
        <v>Harlem</v>
      </c>
      <c r="G514" s="2" t="s">
        <v>71</v>
      </c>
      <c r="H514" s="7">
        <v>42374</v>
      </c>
      <c r="I514" s="9" t="str">
        <f t="shared" ref="I514:I577" si="40">TEXT(H514, "dddd")</f>
        <v>Tuesday</v>
      </c>
      <c r="J514" s="9" t="str">
        <f t="shared" ref="J514:J577" si="41">TEXT(H514, "mmmm")</f>
        <v>January</v>
      </c>
      <c r="K514" s="2">
        <v>7.8899998660000001</v>
      </c>
      <c r="L514" s="2">
        <v>7.8899998660000001</v>
      </c>
      <c r="M514" s="2">
        <v>0</v>
      </c>
      <c r="N514" s="2">
        <v>1.0099999900000001</v>
      </c>
      <c r="O514" s="2">
        <v>0.68000000699999996</v>
      </c>
      <c r="P514" s="2">
        <v>6.1999998090000004</v>
      </c>
      <c r="Q514" s="2">
        <v>0</v>
      </c>
      <c r="R514" s="2">
        <v>12</v>
      </c>
      <c r="S514" s="2">
        <v>15</v>
      </c>
      <c r="T514" s="2">
        <v>241</v>
      </c>
      <c r="U514" s="2">
        <f t="shared" ref="U514:U577" si="42">R514+S514+T514</f>
        <v>268</v>
      </c>
      <c r="V514" s="2">
        <v>579</v>
      </c>
      <c r="W514" s="2">
        <v>10255</v>
      </c>
      <c r="X514" s="2">
        <f t="shared" ref="X514:X577" si="43">IF(W514=0,MEDIAN($W$2:$W$941),W514)</f>
        <v>10255</v>
      </c>
      <c r="Y514" s="2">
        <v>2926</v>
      </c>
      <c r="Z514" t="str" cm="1">
        <f t="array" ref="Z514">_xlfn.IFS(OR(R514&gt;66, S514&gt;38), "High Engagement", OR(AND(R514&gt;32, R514&lt;=66), AND(S514&gt;19, S514&lt;=38)), "Medium-High Engagement", OR(AND(R514&gt;4, R514&lt;=32), AND(S514&gt;6, S514&lt;=19)),"Medium Engagement", TRUE, "Low Engagement"
)</f>
        <v>Medium Engagement</v>
      </c>
      <c r="AA514">
        <f t="shared" si="39"/>
        <v>0.28532423208191127</v>
      </c>
    </row>
    <row r="515" spans="1:27" x14ac:dyDescent="0.35">
      <c r="A515" s="2">
        <v>4388161847</v>
      </c>
      <c r="B515" s="2" t="s">
        <v>75</v>
      </c>
      <c r="C515" s="2">
        <f>VLOOKUP(user_activity!A483,users_details!$A$1:$G$34,5,0)</f>
        <v>33</v>
      </c>
      <c r="D515" s="2" t="str" cm="1">
        <f t="array" ref="D515">_xlfn.IFS( AND(C515&gt;=18, C515&lt;=25), "Emerging Adults",  AND(C515&gt;=26, C515&lt;=35),  "Young Adults",  AND(C515&gt;=36, C515&lt;=45),  "Midlife Adults",  AND(C515&gt;=46, C515&lt;=55), "Mature Adults", C515&gt;=56,  "Older Adults", TRUE, "Age Not Mentioned")</f>
        <v>Young Adults</v>
      </c>
      <c r="E515" s="2" t="str">
        <f>VLOOKUP(user_activity!A483,users_details!$A$1:$G$34,6,0)</f>
        <v>Greenpoint, Brooklyn</v>
      </c>
      <c r="F515" s="2" t="str">
        <f>VLOOKUP(user_activity!A483,users_details!$A$1:$G$34,7,0)</f>
        <v>Greenpoint</v>
      </c>
      <c r="G515" s="2" t="s">
        <v>71</v>
      </c>
      <c r="H515" s="7">
        <v>42465</v>
      </c>
      <c r="I515" s="9" t="str">
        <f t="shared" si="40"/>
        <v>Tuesday</v>
      </c>
      <c r="J515" s="9" t="str">
        <f t="shared" si="41"/>
        <v>April</v>
      </c>
      <c r="K515" s="2">
        <v>9.5200004580000002</v>
      </c>
      <c r="L515" s="2">
        <v>9.5200004580000002</v>
      </c>
      <c r="M515" s="2">
        <v>0</v>
      </c>
      <c r="N515" s="2">
        <v>2.789999962</v>
      </c>
      <c r="O515" s="2">
        <v>0.93000000699999996</v>
      </c>
      <c r="P515" s="2">
        <v>5.8000001909999996</v>
      </c>
      <c r="Q515" s="2">
        <v>0</v>
      </c>
      <c r="R515" s="2">
        <v>35</v>
      </c>
      <c r="S515" s="2">
        <v>21</v>
      </c>
      <c r="T515" s="2">
        <v>251</v>
      </c>
      <c r="U515" s="2">
        <f t="shared" si="42"/>
        <v>307</v>
      </c>
      <c r="V515" s="2">
        <v>632</v>
      </c>
      <c r="W515" s="2">
        <v>12375</v>
      </c>
      <c r="X515" s="2">
        <f t="shared" si="43"/>
        <v>12375</v>
      </c>
      <c r="Y515" s="2">
        <v>3162</v>
      </c>
      <c r="Z515" t="str" cm="1">
        <f t="array" ref="Z515">_xlfn.IFS(OR(R515&gt;66, S515&gt;38), "High Engagement", OR(AND(R515&gt;32, R515&lt;=66), AND(S515&gt;19, S515&lt;=38)), "Medium-High Engagement", OR(AND(R515&gt;4, R515&lt;=32), AND(S515&gt;6, S515&lt;=19)),"Medium Engagement", TRUE, "Low Engagement"
)</f>
        <v>Medium-High Engagement</v>
      </c>
      <c r="AA515">
        <f t="shared" ref="AA515:AA578" si="44">IF(W515&gt;0, Y515/W515, 0)</f>
        <v>0.25551515151515153</v>
      </c>
    </row>
    <row r="516" spans="1:27" x14ac:dyDescent="0.35">
      <c r="A516" s="2">
        <v>4388161847</v>
      </c>
      <c r="B516" s="2" t="s">
        <v>75</v>
      </c>
      <c r="C516" s="2">
        <f>VLOOKUP(user_activity!A600,users_details!$A$1:$G$34,5,0)</f>
        <v>39</v>
      </c>
      <c r="D516" s="2" t="str" cm="1">
        <f t="array" ref="D516">_xlfn.IFS( AND(C516&gt;=18, C516&lt;=25), "Emerging Adults",  AND(C516&gt;=26, C516&lt;=35),  "Young Adults",  AND(C516&gt;=36, C516&lt;=45),  "Midlife Adults",  AND(C516&gt;=46, C516&lt;=55), "Mature Adults", C516&gt;=56,  "Older Adults", TRUE, "Age Not Mentioned")</f>
        <v>Midlife Adults</v>
      </c>
      <c r="E516" s="2" t="str">
        <f>VLOOKUP(user_activity!A600,users_details!$A$1:$G$34,6,0)</f>
        <v>East Village, Manhattan</v>
      </c>
      <c r="F516" s="2" t="str">
        <f>VLOOKUP(user_activity!A600,users_details!$A$1:$G$34,7,0)</f>
        <v>East Village</v>
      </c>
      <c r="G516" s="2" t="s">
        <v>71</v>
      </c>
      <c r="H516" s="7">
        <v>42556</v>
      </c>
      <c r="I516" s="9" t="str">
        <f t="shared" si="40"/>
        <v>Tuesday</v>
      </c>
      <c r="J516" s="9" t="str">
        <f t="shared" si="41"/>
        <v>July</v>
      </c>
      <c r="K516" s="2">
        <v>17.540000920000001</v>
      </c>
      <c r="L516" s="2">
        <v>17.540000920000001</v>
      </c>
      <c r="M516" s="2">
        <v>0</v>
      </c>
      <c r="N516" s="2">
        <v>9.4499998089999995</v>
      </c>
      <c r="O516" s="2">
        <v>2.7699999809999998</v>
      </c>
      <c r="P516" s="2">
        <v>5.329999924</v>
      </c>
      <c r="Q516" s="2">
        <v>0</v>
      </c>
      <c r="R516" s="2">
        <v>120</v>
      </c>
      <c r="S516" s="2">
        <v>56</v>
      </c>
      <c r="T516" s="2">
        <v>260</v>
      </c>
      <c r="U516" s="2">
        <f t="shared" si="42"/>
        <v>436</v>
      </c>
      <c r="V516" s="2">
        <v>508</v>
      </c>
      <c r="W516" s="2">
        <v>22770</v>
      </c>
      <c r="X516" s="2">
        <f t="shared" si="43"/>
        <v>22770</v>
      </c>
      <c r="Y516" s="2">
        <v>4022</v>
      </c>
      <c r="Z516" t="str" cm="1">
        <f t="array" ref="Z516">_xlfn.IFS(OR(R516&gt;66, S516&gt;38), "High Engagement", OR(AND(R516&gt;32, R516&lt;=66), AND(S516&gt;19, S516&lt;=38)), "Medium-High Engagement", OR(AND(R516&gt;4, R516&lt;=32), AND(S516&gt;6, S516&lt;=19)),"Medium Engagement", TRUE, "Low Engagement"
)</f>
        <v>High Engagement</v>
      </c>
      <c r="AA516">
        <f t="shared" si="44"/>
        <v>0.17663592446201143</v>
      </c>
    </row>
    <row r="517" spans="1:27" x14ac:dyDescent="0.35">
      <c r="A517" s="2">
        <v>4388161847</v>
      </c>
      <c r="B517" s="2" t="s">
        <v>75</v>
      </c>
      <c r="C517" s="2">
        <f>VLOOKUP(user_activity!A629,users_details!$A$1:$G$34,5,0)</f>
        <v>41</v>
      </c>
      <c r="D517" s="2" t="str" cm="1">
        <f t="array" ref="D517">_xlfn.IFS( AND(C517&gt;=18, C517&lt;=25), "Emerging Adults",  AND(C517&gt;=26, C517&lt;=35),  "Young Adults",  AND(C517&gt;=36, C517&lt;=45),  "Midlife Adults",  AND(C517&gt;=46, C517&lt;=55), "Mature Adults", C517&gt;=56,  "Older Adults", TRUE, "Age Not Mentioned")</f>
        <v>Midlife Adults</v>
      </c>
      <c r="E517" s="2" t="str">
        <f>VLOOKUP(user_activity!A629,users_details!$A$1:$G$34,6,0)</f>
        <v>East Harlem, Manhattan</v>
      </c>
      <c r="F517" s="2" t="str">
        <f>VLOOKUP(user_activity!A629,users_details!$A$1:$G$34,7,0)</f>
        <v>East Harlem</v>
      </c>
      <c r="G517" s="2" t="s">
        <v>71</v>
      </c>
      <c r="H517" s="7">
        <v>42481</v>
      </c>
      <c r="I517" s="9" t="str">
        <f t="shared" si="40"/>
        <v>Thursday</v>
      </c>
      <c r="J517" s="9" t="str">
        <f t="shared" si="41"/>
        <v>April</v>
      </c>
      <c r="K517" s="2">
        <v>7.7300000190000002</v>
      </c>
      <c r="L517" s="2">
        <v>7.7300000190000002</v>
      </c>
      <c r="M517" s="2">
        <v>0</v>
      </c>
      <c r="N517" s="2">
        <v>0.37000000500000002</v>
      </c>
      <c r="O517" s="2">
        <v>0.38999998600000002</v>
      </c>
      <c r="P517" s="2">
        <v>6.9800000190000002</v>
      </c>
      <c r="Q517" s="2">
        <v>0</v>
      </c>
      <c r="R517" s="2">
        <v>7</v>
      </c>
      <c r="S517" s="2">
        <v>12</v>
      </c>
      <c r="T517" s="2">
        <v>272</v>
      </c>
      <c r="U517" s="2">
        <f t="shared" si="42"/>
        <v>291</v>
      </c>
      <c r="V517" s="2">
        <v>853</v>
      </c>
      <c r="W517" s="2">
        <v>10055</v>
      </c>
      <c r="X517" s="2">
        <f t="shared" si="43"/>
        <v>10055</v>
      </c>
      <c r="Y517" s="2">
        <v>3069</v>
      </c>
      <c r="Z517" t="str" cm="1">
        <f t="array" ref="Z517">_xlfn.IFS(OR(R517&gt;66, S517&gt;38), "High Engagement", OR(AND(R517&gt;32, R517&lt;=66), AND(S517&gt;19, S517&lt;=38)), "Medium-High Engagement", OR(AND(R517&gt;4, R517&lt;=32), AND(S517&gt;6, S517&lt;=19)),"Medium Engagement", TRUE, "Low Engagement"
)</f>
        <v>Medium Engagement</v>
      </c>
      <c r="AA517">
        <f t="shared" si="44"/>
        <v>0.30522128294380907</v>
      </c>
    </row>
    <row r="518" spans="1:27" x14ac:dyDescent="0.35">
      <c r="A518" s="2">
        <v>4388161847</v>
      </c>
      <c r="B518" s="2" t="s">
        <v>75</v>
      </c>
      <c r="C518" s="2">
        <f>VLOOKUP(user_activity!A630,users_details!$A$1:$G$34,5,0)</f>
        <v>41</v>
      </c>
      <c r="D518" s="2" t="str" cm="1">
        <f t="array" ref="D518">_xlfn.IFS( AND(C518&gt;=18, C518&lt;=25), "Emerging Adults",  AND(C518&gt;=26, C518&lt;=35),  "Young Adults",  AND(C518&gt;=36, C518&lt;=45),  "Midlife Adults",  AND(C518&gt;=46, C518&lt;=55), "Mature Adults", C518&gt;=56,  "Older Adults", TRUE, "Age Not Mentioned")</f>
        <v>Midlife Adults</v>
      </c>
      <c r="E518" s="2" t="str">
        <f>VLOOKUP(user_activity!A630,users_details!$A$1:$G$34,6,0)</f>
        <v>East Harlem, Manhattan</v>
      </c>
      <c r="F518" s="2" t="str">
        <f>VLOOKUP(user_activity!A630,users_details!$A$1:$G$34,7,0)</f>
        <v>East Harlem</v>
      </c>
      <c r="G518" s="2" t="s">
        <v>71</v>
      </c>
      <c r="H518" s="7">
        <v>42479</v>
      </c>
      <c r="I518" s="9" t="str">
        <f t="shared" si="40"/>
        <v>Tuesday</v>
      </c>
      <c r="J518" s="9" t="str">
        <f t="shared" si="41"/>
        <v>April</v>
      </c>
      <c r="K518" s="2">
        <v>7.829999924</v>
      </c>
      <c r="L518" s="2">
        <v>7.829999924</v>
      </c>
      <c r="M518" s="2">
        <v>0</v>
      </c>
      <c r="N518" s="2">
        <v>1.3700000050000001</v>
      </c>
      <c r="O518" s="2">
        <v>0.689999998</v>
      </c>
      <c r="P518" s="2">
        <v>5.7699999809999998</v>
      </c>
      <c r="Q518" s="2">
        <v>0</v>
      </c>
      <c r="R518" s="2">
        <v>20</v>
      </c>
      <c r="S518" s="2">
        <v>16</v>
      </c>
      <c r="T518" s="2">
        <v>249</v>
      </c>
      <c r="U518" s="2">
        <f t="shared" si="42"/>
        <v>285</v>
      </c>
      <c r="V518" s="2">
        <v>704</v>
      </c>
      <c r="W518" s="2">
        <v>10181</v>
      </c>
      <c r="X518" s="2">
        <f t="shared" si="43"/>
        <v>10181</v>
      </c>
      <c r="Y518" s="2">
        <v>3015</v>
      </c>
      <c r="Z518" t="str" cm="1">
        <f t="array" ref="Z518">_xlfn.IFS(OR(R518&gt;66, S518&gt;38), "High Engagement", OR(AND(R518&gt;32, R518&lt;=66), AND(S518&gt;19, S518&lt;=38)), "Medium-High Engagement", OR(AND(R518&gt;4, R518&lt;=32), AND(S518&gt;6, S518&lt;=19)),"Medium Engagement", TRUE, "Low Engagement"
)</f>
        <v>Medium Engagement</v>
      </c>
      <c r="AA518">
        <f t="shared" si="44"/>
        <v>0.29613986838228074</v>
      </c>
    </row>
    <row r="519" spans="1:27" x14ac:dyDescent="0.35">
      <c r="A519" s="2">
        <v>4388161847</v>
      </c>
      <c r="B519" s="2" t="s">
        <v>75</v>
      </c>
      <c r="C519" s="2">
        <f>VLOOKUP(user_activity!A656,users_details!$A$1:$G$34,5,0)</f>
        <v>45</v>
      </c>
      <c r="D519" s="2" t="str" cm="1">
        <f t="array" ref="D519">_xlfn.IFS( AND(C519&gt;=18, C519&lt;=25), "Emerging Adults",  AND(C519&gt;=26, C519&lt;=35),  "Young Adults",  AND(C519&gt;=36, C519&lt;=45),  "Midlife Adults",  AND(C519&gt;=46, C519&lt;=55), "Mature Adults", C519&gt;=56,  "Older Adults", TRUE, "Age Not Mentioned")</f>
        <v>Midlife Adults</v>
      </c>
      <c r="E519" s="2" t="str">
        <f>VLOOKUP(user_activity!A656,users_details!$A$1:$G$34,6,0)</f>
        <v>Harlem, Manhattan</v>
      </c>
      <c r="F519" s="2" t="str">
        <f>VLOOKUP(user_activity!A656,users_details!$A$1:$G$34,7,0)</f>
        <v>Harlem</v>
      </c>
      <c r="G519" s="2" t="s">
        <v>71</v>
      </c>
      <c r="H519" s="7">
        <v>42474</v>
      </c>
      <c r="I519" s="9" t="str">
        <f t="shared" si="40"/>
        <v>Thursday</v>
      </c>
      <c r="J519" s="9" t="str">
        <f t="shared" si="41"/>
        <v>April</v>
      </c>
      <c r="K519" s="2">
        <v>6.8200001720000003</v>
      </c>
      <c r="L519" s="2">
        <v>6.8200001720000003</v>
      </c>
      <c r="M519" s="2">
        <v>0</v>
      </c>
      <c r="N519" s="2">
        <v>0.12999999500000001</v>
      </c>
      <c r="O519" s="2">
        <v>1.0700000519999999</v>
      </c>
      <c r="P519" s="2">
        <v>5.6199998860000004</v>
      </c>
      <c r="Q519" s="2">
        <v>0</v>
      </c>
      <c r="R519" s="2">
        <v>10</v>
      </c>
      <c r="S519" s="2">
        <v>35</v>
      </c>
      <c r="T519" s="2">
        <v>219</v>
      </c>
      <c r="U519" s="2">
        <f t="shared" si="42"/>
        <v>264</v>
      </c>
      <c r="V519" s="2">
        <v>945</v>
      </c>
      <c r="W519" s="2">
        <v>8863</v>
      </c>
      <c r="X519" s="2">
        <f t="shared" si="43"/>
        <v>8863</v>
      </c>
      <c r="Y519" s="2">
        <v>2998</v>
      </c>
      <c r="Z519" t="str" cm="1">
        <f t="array" ref="Z519">_xlfn.IFS(OR(R519&gt;66, S519&gt;38), "High Engagement", OR(AND(R519&gt;32, R519&lt;=66), AND(S519&gt;19, S519&lt;=38)), "Medium-High Engagement", OR(AND(R519&gt;4, R519&lt;=32), AND(S519&gt;6, S519&lt;=19)),"Medium Engagement", TRUE, "Low Engagement"
)</f>
        <v>Medium-High Engagement</v>
      </c>
      <c r="AA519">
        <f t="shared" si="44"/>
        <v>0.33826018278235359</v>
      </c>
    </row>
    <row r="520" spans="1:27" x14ac:dyDescent="0.35">
      <c r="A520" s="2">
        <v>4388161847</v>
      </c>
      <c r="B520" s="2" t="s">
        <v>75</v>
      </c>
      <c r="C520" s="2">
        <f>VLOOKUP(user_activity!A687,users_details!$A$1:$G$34,5,0)</f>
        <v>49</v>
      </c>
      <c r="D520" s="2" t="str" cm="1">
        <f t="array" ref="D520">_xlfn.IFS( AND(C520&gt;=18, C520&lt;=25), "Emerging Adults",  AND(C520&gt;=26, C520&lt;=35),  "Young Adults",  AND(C520&gt;=36, C520&lt;=45),  "Midlife Adults",  AND(C520&gt;=46, C520&lt;=55), "Mature Adults", C520&gt;=56,  "Older Adults", TRUE, "Age Not Mentioned")</f>
        <v>Mature Adults</v>
      </c>
      <c r="E520" s="2" t="str">
        <f>VLOOKUP(user_activity!A687,users_details!$A$1:$G$34,6,0)</f>
        <v>Upper West Side, Manhattan</v>
      </c>
      <c r="F520" s="2" t="str">
        <f>VLOOKUP(user_activity!A687,users_details!$A$1:$G$34,7,0)</f>
        <v>Upper West Side</v>
      </c>
      <c r="G520" s="2" t="s">
        <v>71</v>
      </c>
      <c r="H520" s="7">
        <v>42587</v>
      </c>
      <c r="I520" s="9" t="str">
        <f t="shared" si="40"/>
        <v>Friday</v>
      </c>
      <c r="J520" s="9" t="str">
        <f t="shared" si="41"/>
        <v>August</v>
      </c>
      <c r="K520" s="2">
        <v>14.380000109999999</v>
      </c>
      <c r="L520" s="2">
        <v>14.380000109999999</v>
      </c>
      <c r="M520" s="2">
        <v>0</v>
      </c>
      <c r="N520" s="2">
        <v>9.8900003430000005</v>
      </c>
      <c r="O520" s="2">
        <v>1.2599999900000001</v>
      </c>
      <c r="P520" s="2">
        <v>3.2300000190000002</v>
      </c>
      <c r="Q520" s="2">
        <v>0</v>
      </c>
      <c r="R520" s="2">
        <v>107</v>
      </c>
      <c r="S520" s="2">
        <v>38</v>
      </c>
      <c r="T520" s="2">
        <v>178</v>
      </c>
      <c r="U520" s="2">
        <f t="shared" si="42"/>
        <v>323</v>
      </c>
      <c r="V520" s="2">
        <v>576</v>
      </c>
      <c r="W520" s="2">
        <v>17298</v>
      </c>
      <c r="X520" s="2">
        <f t="shared" si="43"/>
        <v>17298</v>
      </c>
      <c r="Y520" s="2">
        <v>3934</v>
      </c>
      <c r="Z520" t="str" cm="1">
        <f t="array" ref="Z520">_xlfn.IFS(OR(R520&gt;66, S520&gt;38), "High Engagement", OR(AND(R520&gt;32, R520&lt;=66), AND(S520&gt;19, S520&lt;=38)), "Medium-High Engagement", OR(AND(R520&gt;4, R520&lt;=32), AND(S520&gt;6, S520&lt;=19)),"Medium Engagement", TRUE, "Low Engagement"
)</f>
        <v>High Engagement</v>
      </c>
      <c r="AA520">
        <f t="shared" si="44"/>
        <v>0.22742513585385593</v>
      </c>
    </row>
    <row r="521" spans="1:27" x14ac:dyDescent="0.35">
      <c r="A521" s="2">
        <v>4388161847</v>
      </c>
      <c r="B521" s="2" t="s">
        <v>75</v>
      </c>
      <c r="C521" s="2">
        <f>VLOOKUP(user_activity!A689,users_details!$A$1:$G$34,5,0)</f>
        <v>49</v>
      </c>
      <c r="D521" s="2" t="str" cm="1">
        <f t="array" ref="D521">_xlfn.IFS( AND(C521&gt;=18, C521&lt;=25), "Emerging Adults",  AND(C521&gt;=26, C521&lt;=35),  "Young Adults",  AND(C521&gt;=36, C521&lt;=45),  "Midlife Adults",  AND(C521&gt;=46, C521&lt;=55), "Mature Adults", C521&gt;=56,  "Older Adults", TRUE, "Age Not Mentioned")</f>
        <v>Mature Adults</v>
      </c>
      <c r="E521" s="2" t="str">
        <f>VLOOKUP(user_activity!A689,users_details!$A$1:$G$34,6,0)</f>
        <v>Upper West Side, Manhattan</v>
      </c>
      <c r="F521" s="2" t="str">
        <f>VLOOKUP(user_activity!A689,users_details!$A$1:$G$34,7,0)</f>
        <v>Upper West Side</v>
      </c>
      <c r="G521" s="2" t="s">
        <v>71</v>
      </c>
      <c r="H521" s="7">
        <v>42475</v>
      </c>
      <c r="I521" s="9" t="str">
        <f t="shared" si="40"/>
        <v>Friday</v>
      </c>
      <c r="J521" s="9" t="str">
        <f t="shared" si="41"/>
        <v>April</v>
      </c>
      <c r="K521" s="2">
        <v>6.7300000190000002</v>
      </c>
      <c r="L521" s="2">
        <v>6.7300000190000002</v>
      </c>
      <c r="M521" s="2">
        <v>0</v>
      </c>
      <c r="N521" s="2">
        <v>0</v>
      </c>
      <c r="O521" s="2">
        <v>0</v>
      </c>
      <c r="P521" s="2">
        <v>6.7300000190000002</v>
      </c>
      <c r="Q521" s="2">
        <v>0</v>
      </c>
      <c r="R521" s="2">
        <v>0</v>
      </c>
      <c r="S521" s="2">
        <v>0</v>
      </c>
      <c r="T521" s="2">
        <v>299</v>
      </c>
      <c r="U521" s="2">
        <f t="shared" si="42"/>
        <v>299</v>
      </c>
      <c r="V521" s="2">
        <v>837</v>
      </c>
      <c r="W521" s="2">
        <v>8758</v>
      </c>
      <c r="X521" s="2">
        <f t="shared" si="43"/>
        <v>8758</v>
      </c>
      <c r="Y521" s="2">
        <v>3066</v>
      </c>
      <c r="Z521" t="str" cm="1">
        <f t="array" ref="Z521">_xlfn.IFS(OR(R521&gt;66, S521&gt;38), "High Engagement", OR(AND(R521&gt;32, R521&lt;=66), AND(S521&gt;19, S521&lt;=38)), "Medium-High Engagement", OR(AND(R521&gt;4, R521&lt;=32), AND(S521&gt;6, S521&lt;=19)),"Medium Engagement", TRUE, "Low Engagement"
)</f>
        <v>Low Engagement</v>
      </c>
      <c r="AA521">
        <f t="shared" si="44"/>
        <v>0.35007992692395523</v>
      </c>
    </row>
    <row r="522" spans="1:27" x14ac:dyDescent="0.35">
      <c r="A522" s="2">
        <v>4388161847</v>
      </c>
      <c r="B522" s="2" t="s">
        <v>75</v>
      </c>
      <c r="C522" s="2">
        <f>VLOOKUP(user_activity!A713,users_details!$A$1:$G$34,5,0)</f>
        <v>53</v>
      </c>
      <c r="D522" s="2" t="str" cm="1">
        <f t="array" ref="D522">_xlfn.IFS( AND(C522&gt;=18, C522&lt;=25), "Emerging Adults",  AND(C522&gt;=26, C522&lt;=35),  "Young Adults",  AND(C522&gt;=36, C522&lt;=45),  "Midlife Adults",  AND(C522&gt;=46, C522&lt;=55), "Mature Adults", C522&gt;=56,  "Older Adults", TRUE, "Age Not Mentioned")</f>
        <v>Mature Adults</v>
      </c>
      <c r="E522" s="2" t="str">
        <f>VLOOKUP(user_activity!A713,users_details!$A$1:$G$34,6,0)</f>
        <v>Harlem, Manhattan</v>
      </c>
      <c r="F522" s="2" t="str">
        <f>VLOOKUP(user_activity!A713,users_details!$A$1:$G$34,7,0)</f>
        <v>Harlem</v>
      </c>
      <c r="G522" s="2" t="s">
        <v>71</v>
      </c>
      <c r="H522" s="7">
        <v>42679</v>
      </c>
      <c r="I522" s="9" t="str">
        <f t="shared" si="40"/>
        <v>Saturday</v>
      </c>
      <c r="J522" s="9" t="str">
        <f t="shared" si="41"/>
        <v>November</v>
      </c>
      <c r="K522" s="2">
        <v>7.8400001530000001</v>
      </c>
      <c r="L522" s="2">
        <v>7.8400001530000001</v>
      </c>
      <c r="M522" s="2">
        <v>0</v>
      </c>
      <c r="N522" s="2">
        <v>0.52999997099999996</v>
      </c>
      <c r="O522" s="2">
        <v>0.790000021</v>
      </c>
      <c r="P522" s="2">
        <v>6.5300002099999999</v>
      </c>
      <c r="Q522" s="2">
        <v>0</v>
      </c>
      <c r="R522" s="2">
        <v>8</v>
      </c>
      <c r="S522" s="2">
        <v>18</v>
      </c>
      <c r="T522" s="2">
        <v>256</v>
      </c>
      <c r="U522" s="2">
        <f t="shared" si="42"/>
        <v>282</v>
      </c>
      <c r="V522" s="2">
        <v>858</v>
      </c>
      <c r="W522" s="2">
        <v>10201</v>
      </c>
      <c r="X522" s="2">
        <f t="shared" si="43"/>
        <v>10201</v>
      </c>
      <c r="Y522" s="2">
        <v>2954</v>
      </c>
      <c r="Z522" t="str" cm="1">
        <f t="array" ref="Z522">_xlfn.IFS(OR(R522&gt;66, S522&gt;38), "High Engagement", OR(AND(R522&gt;32, R522&lt;=66), AND(S522&gt;19, S522&lt;=38)), "Medium-High Engagement", OR(AND(R522&gt;4, R522&lt;=32), AND(S522&gt;6, S522&lt;=19)),"Medium Engagement", TRUE, "Low Engagement"
)</f>
        <v>Medium Engagement</v>
      </c>
      <c r="AA522">
        <f t="shared" si="44"/>
        <v>0.28957945299480442</v>
      </c>
    </row>
    <row r="523" spans="1:27" x14ac:dyDescent="0.35">
      <c r="A523" s="2">
        <v>4388161847</v>
      </c>
      <c r="B523" s="2" t="s">
        <v>75</v>
      </c>
      <c r="C523" s="2">
        <f>VLOOKUP(user_activity!A811,users_details!$A$1:$G$34,5,0)</f>
        <v>54</v>
      </c>
      <c r="D523" s="2" t="str" cm="1">
        <f t="array" ref="D523">_xlfn.IFS( AND(C523&gt;=18, C523&lt;=25), "Emerging Adults",  AND(C523&gt;=26, C523&lt;=35),  "Young Adults",  AND(C523&gt;=36, C523&lt;=45),  "Midlife Adults",  AND(C523&gt;=46, C523&lt;=55), "Mature Adults", C523&gt;=56,  "Older Adults", TRUE, "Age Not Mentioned")</f>
        <v>Mature Adults</v>
      </c>
      <c r="E523" s="2" t="str">
        <f>VLOOKUP(user_activity!A811,users_details!$A$1:$G$34,6,0)</f>
        <v>Crown Heights, Brooklyn</v>
      </c>
      <c r="F523" s="2" t="str">
        <f>VLOOKUP(user_activity!A811,users_details!$A$1:$G$34,7,0)</f>
        <v>Crown Heights</v>
      </c>
      <c r="G523" s="2" t="s">
        <v>71</v>
      </c>
      <c r="H523" s="7">
        <v>42478</v>
      </c>
      <c r="I523" s="9" t="str">
        <f t="shared" si="40"/>
        <v>Monday</v>
      </c>
      <c r="J523" s="9" t="str">
        <f t="shared" si="41"/>
        <v>April</v>
      </c>
      <c r="K523" s="2">
        <v>9.1000003809999992</v>
      </c>
      <c r="L523" s="2">
        <v>9.1000003809999992</v>
      </c>
      <c r="M523" s="2">
        <v>0</v>
      </c>
      <c r="N523" s="2">
        <v>3.5599999430000002</v>
      </c>
      <c r="O523" s="2">
        <v>0.40000000600000002</v>
      </c>
      <c r="P523" s="2">
        <v>5.1399998660000001</v>
      </c>
      <c r="Q523" s="2">
        <v>0</v>
      </c>
      <c r="R523" s="2">
        <v>27</v>
      </c>
      <c r="S523" s="2">
        <v>8</v>
      </c>
      <c r="T523" s="2">
        <v>239</v>
      </c>
      <c r="U523" s="2">
        <f t="shared" si="42"/>
        <v>274</v>
      </c>
      <c r="V523" s="2">
        <v>1017</v>
      </c>
      <c r="W523" s="2">
        <v>11009</v>
      </c>
      <c r="X523" s="2">
        <f t="shared" si="43"/>
        <v>11009</v>
      </c>
      <c r="Y523" s="2">
        <v>3274</v>
      </c>
      <c r="Z523" t="str" cm="1">
        <f t="array" ref="Z523">_xlfn.IFS(OR(R523&gt;66, S523&gt;38), "High Engagement", OR(AND(R523&gt;32, R523&lt;=66), AND(S523&gt;19, S523&lt;=38)), "Medium-High Engagement", OR(AND(R523&gt;4, R523&lt;=32), AND(S523&gt;6, S523&lt;=19)),"Medium Engagement", TRUE, "Low Engagement"
)</f>
        <v>Medium Engagement</v>
      </c>
      <c r="AA523">
        <f t="shared" si="44"/>
        <v>0.29739304205649925</v>
      </c>
    </row>
    <row r="524" spans="1:27" x14ac:dyDescent="0.35">
      <c r="A524" s="2">
        <v>4388161847</v>
      </c>
      <c r="B524" s="2" t="s">
        <v>75</v>
      </c>
      <c r="C524" s="2">
        <f>VLOOKUP(user_activity!A868,users_details!$A$1:$G$34,5,0)</f>
        <v>58</v>
      </c>
      <c r="D524" s="2" t="str" cm="1">
        <f t="array" ref="D524">_xlfn.IFS( AND(C524&gt;=18, C524&lt;=25), "Emerging Adults",  AND(C524&gt;=26, C524&lt;=35),  "Young Adults",  AND(C524&gt;=36, C524&lt;=45),  "Midlife Adults",  AND(C524&gt;=46, C524&lt;=55), "Mature Adults", C524&gt;=56,  "Older Adults", TRUE, "Age Not Mentioned")</f>
        <v>Older Adults</v>
      </c>
      <c r="E524" s="2" t="str">
        <f>VLOOKUP(user_activity!A868,users_details!$A$1:$G$34,6,0)</f>
        <v>East Village, Manhattan</v>
      </c>
      <c r="F524" s="2" t="str">
        <f>VLOOKUP(user_activity!A868,users_details!$A$1:$G$34,7,0)</f>
        <v>East Village</v>
      </c>
      <c r="G524" s="2" t="s">
        <v>71</v>
      </c>
      <c r="H524" s="7">
        <v>42487</v>
      </c>
      <c r="I524" s="9" t="str">
        <f t="shared" si="40"/>
        <v>Wednesday</v>
      </c>
      <c r="J524" s="9" t="str">
        <f t="shared" si="41"/>
        <v>April</v>
      </c>
      <c r="K524" s="2">
        <v>8.6099996569999995</v>
      </c>
      <c r="L524" s="2">
        <v>8.6099996569999995</v>
      </c>
      <c r="M524" s="2">
        <v>0</v>
      </c>
      <c r="N524" s="2">
        <v>0.69999998799999996</v>
      </c>
      <c r="O524" s="2">
        <v>2.5099999899999998</v>
      </c>
      <c r="P524" s="2">
        <v>5.3899998660000001</v>
      </c>
      <c r="Q524" s="2">
        <v>0</v>
      </c>
      <c r="R524" s="2">
        <v>11</v>
      </c>
      <c r="S524" s="2">
        <v>48</v>
      </c>
      <c r="T524" s="2">
        <v>241</v>
      </c>
      <c r="U524" s="2">
        <f t="shared" si="42"/>
        <v>300</v>
      </c>
      <c r="V524" s="2">
        <v>684</v>
      </c>
      <c r="W524" s="2">
        <v>11193</v>
      </c>
      <c r="X524" s="2">
        <f t="shared" si="43"/>
        <v>11193</v>
      </c>
      <c r="Y524" s="2">
        <v>3074</v>
      </c>
      <c r="Z524" t="str" cm="1">
        <f t="array" ref="Z524">_xlfn.IFS(OR(R524&gt;66, S524&gt;38), "High Engagement", OR(AND(R524&gt;32, R524&lt;=66), AND(S524&gt;19, S524&lt;=38)), "Medium-High Engagement", OR(AND(R524&gt;4, R524&lt;=32), AND(S524&gt;6, S524&lt;=19)),"Medium Engagement", TRUE, "Low Engagement"
)</f>
        <v>High Engagement</v>
      </c>
      <c r="AA524">
        <f t="shared" si="44"/>
        <v>0.27463593317251855</v>
      </c>
    </row>
    <row r="525" spans="1:27" x14ac:dyDescent="0.35">
      <c r="A525" s="2">
        <v>4388161847</v>
      </c>
      <c r="B525" s="2" t="s">
        <v>75</v>
      </c>
      <c r="C525" s="2">
        <f>VLOOKUP(user_activity!A916,users_details!$A$1:$G$34,5,0)</f>
        <v>60</v>
      </c>
      <c r="D525" s="2" t="str" cm="1">
        <f t="array" ref="D525">_xlfn.IFS( AND(C525&gt;=18, C525&lt;=25), "Emerging Adults",  AND(C525&gt;=26, C525&lt;=35),  "Young Adults",  AND(C525&gt;=36, C525&lt;=45),  "Midlife Adults",  AND(C525&gt;=46, C525&lt;=55), "Mature Adults", C525&gt;=56,  "Older Adults", TRUE, "Age Not Mentioned")</f>
        <v>Older Adults</v>
      </c>
      <c r="E525" s="2" t="str">
        <f>VLOOKUP(user_activity!A916,users_details!$A$1:$G$34,6,0)</f>
        <v>East Village, Manhattan</v>
      </c>
      <c r="F525" s="2" t="str">
        <f>VLOOKUP(user_activity!A916,users_details!$A$1:$G$34,7,0)</f>
        <v>East Village</v>
      </c>
      <c r="G525" s="2" t="s">
        <v>71</v>
      </c>
      <c r="H525" s="7">
        <v>42473</v>
      </c>
      <c r="I525" s="9" t="str">
        <f t="shared" si="40"/>
        <v>Wednesday</v>
      </c>
      <c r="J525" s="9" t="str">
        <f t="shared" si="41"/>
        <v>April</v>
      </c>
      <c r="K525" s="2">
        <v>8.4499998089999995</v>
      </c>
      <c r="L525" s="2">
        <v>8.4499998089999995</v>
      </c>
      <c r="M525" s="2">
        <v>0</v>
      </c>
      <c r="N525" s="2">
        <v>5.9999998999999998E-2</v>
      </c>
      <c r="O525" s="2">
        <v>0.62999999500000003</v>
      </c>
      <c r="P525" s="2">
        <v>3.880000114</v>
      </c>
      <c r="Q525" s="2">
        <v>0</v>
      </c>
      <c r="R525" s="2">
        <v>1</v>
      </c>
      <c r="S525" s="2">
        <v>14</v>
      </c>
      <c r="T525" s="2">
        <v>150</v>
      </c>
      <c r="U525" s="2">
        <f t="shared" si="42"/>
        <v>165</v>
      </c>
      <c r="V525" s="2">
        <v>1275</v>
      </c>
      <c r="W525" s="2">
        <v>10993</v>
      </c>
      <c r="X525" s="2">
        <f t="shared" si="43"/>
        <v>10993</v>
      </c>
      <c r="Y525" s="2">
        <v>3092</v>
      </c>
      <c r="Z525" t="str" cm="1">
        <f t="array" ref="Z525">_xlfn.IFS(OR(R525&gt;66, S525&gt;38), "High Engagement", OR(AND(R525&gt;32, R525&lt;=66), AND(S525&gt;19, S525&lt;=38)), "Medium-High Engagement", OR(AND(R525&gt;4, R525&lt;=32), AND(S525&gt;6, S525&lt;=19)),"Medium Engagement", TRUE, "Low Engagement"
)</f>
        <v>Medium Engagement</v>
      </c>
      <c r="AA525">
        <f t="shared" si="44"/>
        <v>0.28126989902665334</v>
      </c>
    </row>
    <row r="526" spans="1:27" x14ac:dyDescent="0.35">
      <c r="A526" s="2">
        <v>4388161847</v>
      </c>
      <c r="B526" s="2" t="s">
        <v>75</v>
      </c>
      <c r="C526" s="2">
        <f>VLOOKUP(user_activity!A940,users_details!$A$1:$G$34,5,0)</f>
        <v>60</v>
      </c>
      <c r="D526" s="2" t="str" cm="1">
        <f t="array" ref="D526">_xlfn.IFS( AND(C526&gt;=18, C526&lt;=25), "Emerging Adults",  AND(C526&gt;=26, C526&lt;=35),  "Young Adults",  AND(C526&gt;=36, C526&lt;=45),  "Midlife Adults",  AND(C526&gt;=46, C526&lt;=55), "Mature Adults", C526&gt;=56,  "Older Adults", TRUE, "Age Not Mentioned")</f>
        <v>Older Adults</v>
      </c>
      <c r="E526" s="2" t="str">
        <f>VLOOKUP(user_activity!A940,users_details!$A$1:$G$34,6,0)</f>
        <v>East Village, Manhattan</v>
      </c>
      <c r="F526" s="2" t="str">
        <f>VLOOKUP(user_activity!A940,users_details!$A$1:$G$34,7,0)</f>
        <v>East Village</v>
      </c>
      <c r="G526" s="2" t="s">
        <v>71</v>
      </c>
      <c r="H526" s="7">
        <v>42495</v>
      </c>
      <c r="I526" s="9" t="str">
        <f t="shared" si="40"/>
        <v>Thursday</v>
      </c>
      <c r="J526" s="9" t="str">
        <f t="shared" si="41"/>
        <v>May</v>
      </c>
      <c r="K526" s="2">
        <v>7.3800001139999996</v>
      </c>
      <c r="L526" s="2">
        <v>7.3800001139999996</v>
      </c>
      <c r="M526" s="2">
        <v>0</v>
      </c>
      <c r="N526" s="2">
        <v>0.62999999500000003</v>
      </c>
      <c r="O526" s="2">
        <v>1.6699999569999999</v>
      </c>
      <c r="P526" s="2">
        <v>5.0900001530000001</v>
      </c>
      <c r="Q526" s="2">
        <v>0</v>
      </c>
      <c r="R526" s="2">
        <v>12</v>
      </c>
      <c r="S526" s="2">
        <v>39</v>
      </c>
      <c r="T526" s="2">
        <v>199</v>
      </c>
      <c r="U526" s="2">
        <f t="shared" si="42"/>
        <v>250</v>
      </c>
      <c r="V526" s="2">
        <v>896</v>
      </c>
      <c r="W526" s="2">
        <v>9603</v>
      </c>
      <c r="X526" s="2">
        <f t="shared" si="43"/>
        <v>9603</v>
      </c>
      <c r="Y526" s="2">
        <v>2899</v>
      </c>
      <c r="Z526" t="str" cm="1">
        <f t="array" ref="Z526">_xlfn.IFS(OR(R526&gt;66, S526&gt;38), "High Engagement", OR(AND(R526&gt;32, R526&lt;=66), AND(S526&gt;19, S526&lt;=38)), "Medium-High Engagement", OR(AND(R526&gt;4, R526&lt;=32), AND(S526&gt;6, S526&lt;=19)),"Medium Engagement", TRUE, "Low Engagement"
)</f>
        <v>High Engagement</v>
      </c>
      <c r="AA526">
        <f t="shared" si="44"/>
        <v>0.30188482765802355</v>
      </c>
    </row>
    <row r="527" spans="1:27" x14ac:dyDescent="0.35">
      <c r="A527" s="2">
        <v>1503960366</v>
      </c>
      <c r="B527" s="2" t="s">
        <v>82</v>
      </c>
      <c r="C527" s="2">
        <f>VLOOKUP(user_activity!A13,users_details!$A$1:$G$34,5,0)</f>
        <v>18</v>
      </c>
      <c r="D527" s="2" t="str" cm="1">
        <f t="array" ref="D527">_xlfn.IFS( AND(C527&gt;=18, C527&lt;=25), "Emerging Adults",  AND(C527&gt;=26, C527&lt;=35),  "Young Adults",  AND(C527&gt;=36, C527&lt;=45),  "Midlife Adults",  AND(C527&gt;=46, C527&lt;=55), "Mature Adults", C527&gt;=56,  "Older Adults", TRUE, "Age Not Mentioned")</f>
        <v>Emerging Adults</v>
      </c>
      <c r="E527" s="2" t="str">
        <f>VLOOKUP(user_activity!A13,users_details!$A$1:$G$34,6,0)</f>
        <v>Hell's Kitchen, Manhattan</v>
      </c>
      <c r="F527" s="2" t="str">
        <f>VLOOKUP(user_activity!A13,users_details!$A$1:$G$34,7,0)</f>
        <v>Hell's Kitchen</v>
      </c>
      <c r="G527" s="2" t="s">
        <v>72</v>
      </c>
      <c r="H527" s="7">
        <v>42495</v>
      </c>
      <c r="I527" s="9" t="str">
        <f t="shared" si="40"/>
        <v>Thursday</v>
      </c>
      <c r="J527" s="9" t="str">
        <f t="shared" si="41"/>
        <v>May</v>
      </c>
      <c r="K527" s="2">
        <v>8.8999996190000008</v>
      </c>
      <c r="L527" s="2">
        <v>8.8999996190000008</v>
      </c>
      <c r="M527" s="2">
        <v>0</v>
      </c>
      <c r="N527" s="2">
        <v>2.920000076</v>
      </c>
      <c r="O527" s="2">
        <v>1.0800000430000001</v>
      </c>
      <c r="P527" s="2">
        <v>4.8800001139999996</v>
      </c>
      <c r="Q527" s="2">
        <v>0</v>
      </c>
      <c r="R527" s="2">
        <v>45</v>
      </c>
      <c r="S527" s="2">
        <v>24</v>
      </c>
      <c r="T527" s="2">
        <v>250</v>
      </c>
      <c r="U527" s="2">
        <f t="shared" si="42"/>
        <v>319</v>
      </c>
      <c r="V527" s="2">
        <v>857</v>
      </c>
      <c r="W527" s="2">
        <v>14070</v>
      </c>
      <c r="X527" s="2">
        <f t="shared" si="43"/>
        <v>14070</v>
      </c>
      <c r="Y527" s="2">
        <v>1959</v>
      </c>
      <c r="Z527" t="str" cm="1">
        <f t="array" ref="Z527">_xlfn.IFS(OR(R527&gt;66, S527&gt;38), "High Engagement", OR(AND(R527&gt;32, R527&lt;=66), AND(S527&gt;19, S527&lt;=38)), "Medium-High Engagement", OR(AND(R527&gt;4, R527&lt;=32), AND(S527&gt;6, S527&lt;=19)),"Medium Engagement", TRUE, "Low Engagement"
)</f>
        <v>Medium-High Engagement</v>
      </c>
      <c r="AA527">
        <f t="shared" si="44"/>
        <v>0.13923240938166312</v>
      </c>
    </row>
    <row r="528" spans="1:27" x14ac:dyDescent="0.35">
      <c r="A528" s="2">
        <v>1503960366</v>
      </c>
      <c r="B528" s="2" t="s">
        <v>82</v>
      </c>
      <c r="C528" s="2">
        <f>VLOOKUP(user_activity!A18,users_details!$A$1:$G$34,5,0)</f>
        <v>18</v>
      </c>
      <c r="D528" s="2" t="str" cm="1">
        <f t="array" ref="D528">_xlfn.IFS( AND(C528&gt;=18, C528&lt;=25), "Emerging Adults",  AND(C528&gt;=26, C528&lt;=35),  "Young Adults",  AND(C528&gt;=36, C528&lt;=45),  "Midlife Adults",  AND(C528&gt;=46, C528&lt;=55), "Mature Adults", C528&gt;=56,  "Older Adults", TRUE, "Age Not Mentioned")</f>
        <v>Emerging Adults</v>
      </c>
      <c r="E528" s="2" t="str">
        <f>VLOOKUP(user_activity!A18,users_details!$A$1:$G$34,6,0)</f>
        <v>Upper West Side, Manhattan</v>
      </c>
      <c r="F528" s="2" t="str">
        <f>VLOOKUP(user_activity!A18,users_details!$A$1:$G$34,7,0)</f>
        <v>Upper West Side</v>
      </c>
      <c r="G528" s="2" t="s">
        <v>72</v>
      </c>
      <c r="H528" s="7">
        <v>42709</v>
      </c>
      <c r="I528" s="9" t="str">
        <f t="shared" si="40"/>
        <v>Monday</v>
      </c>
      <c r="J528" s="9" t="str">
        <f t="shared" si="41"/>
        <v>December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f t="shared" si="42"/>
        <v>0</v>
      </c>
      <c r="V528" s="2">
        <v>1440</v>
      </c>
      <c r="W528" s="2">
        <v>0</v>
      </c>
      <c r="X528" s="2">
        <f t="shared" si="43"/>
        <v>7405.5</v>
      </c>
      <c r="Y528" s="2">
        <v>0</v>
      </c>
      <c r="Z528" t="str" cm="1">
        <f t="array" ref="Z528">_xlfn.IFS(OR(R528&gt;66, S528&gt;38), "High Engagement", OR(AND(R528&gt;32, R528&lt;=66), AND(S528&gt;19, S528&lt;=38)), "Medium-High Engagement", OR(AND(R528&gt;4, R528&lt;=32), AND(S528&gt;6, S528&lt;=19)),"Medium Engagement", TRUE, "Low Engagement"
)</f>
        <v>Low Engagement</v>
      </c>
      <c r="AA528">
        <f t="shared" si="44"/>
        <v>0</v>
      </c>
    </row>
    <row r="529" spans="1:27" x14ac:dyDescent="0.35">
      <c r="A529" s="2">
        <v>8583815059</v>
      </c>
      <c r="B529" s="2" t="s">
        <v>92</v>
      </c>
      <c r="C529" s="2">
        <f>VLOOKUP(user_activity!A43,users_details!$A$1:$G$34,5,0)</f>
        <v>18</v>
      </c>
      <c r="D529" s="2" t="str" cm="1">
        <f t="array" ref="D529">_xlfn.IFS( AND(C529&gt;=18, C529&lt;=25), "Emerging Adults",  AND(C529&gt;=26, C529&lt;=35),  "Young Adults",  AND(C529&gt;=36, C529&lt;=45),  "Midlife Adults",  AND(C529&gt;=46, C529&lt;=55), "Mature Adults", C529&gt;=56,  "Older Adults", TRUE, "Age Not Mentioned")</f>
        <v>Emerging Adults</v>
      </c>
      <c r="E529" s="2" t="str">
        <f>VLOOKUP(user_activity!A43,users_details!$A$1:$G$34,6,0)</f>
        <v>Upper West Side, Manhattan</v>
      </c>
      <c r="F529" s="2" t="str">
        <f>VLOOKUP(user_activity!A43,users_details!$A$1:$G$34,7,0)</f>
        <v>Upper West Side</v>
      </c>
      <c r="G529" s="2" t="s">
        <v>72</v>
      </c>
      <c r="H529" s="7">
        <v>42480</v>
      </c>
      <c r="I529" s="9" t="str">
        <f t="shared" si="40"/>
        <v>Wednesday</v>
      </c>
      <c r="J529" s="9" t="str">
        <f t="shared" si="41"/>
        <v>April</v>
      </c>
      <c r="K529" s="2">
        <v>4.1100001339999999</v>
      </c>
      <c r="L529" s="2">
        <v>4.1100001339999999</v>
      </c>
      <c r="M529" s="2">
        <v>0</v>
      </c>
      <c r="N529" s="2">
        <v>0</v>
      </c>
      <c r="O529" s="2">
        <v>1.039999962</v>
      </c>
      <c r="P529" s="2">
        <v>3.0699999330000001</v>
      </c>
      <c r="Q529" s="2">
        <v>0</v>
      </c>
      <c r="R529" s="2">
        <v>0</v>
      </c>
      <c r="S529" s="2">
        <v>27</v>
      </c>
      <c r="T529" s="2">
        <v>167</v>
      </c>
      <c r="U529" s="2">
        <f t="shared" si="42"/>
        <v>194</v>
      </c>
      <c r="V529" s="2">
        <v>1246</v>
      </c>
      <c r="W529" s="2">
        <v>5273</v>
      </c>
      <c r="X529" s="2">
        <f t="shared" si="43"/>
        <v>5273</v>
      </c>
      <c r="Y529" s="2">
        <v>2647</v>
      </c>
      <c r="Z529" t="str" cm="1">
        <f t="array" ref="Z529">_xlfn.IFS(OR(R529&gt;66, S529&gt;38), "High Engagement", OR(AND(R529&gt;32, R529&lt;=66), AND(S529&gt;19, S529&lt;=38)), "Medium-High Engagement", OR(AND(R529&gt;4, R529&lt;=32), AND(S529&gt;6, S529&lt;=19)),"Medium Engagement", TRUE, "Low Engagement"
)</f>
        <v>Medium-High Engagement</v>
      </c>
      <c r="AA529">
        <f t="shared" si="44"/>
        <v>0.5019912763132941</v>
      </c>
    </row>
    <row r="530" spans="1:27" x14ac:dyDescent="0.35">
      <c r="A530" s="2">
        <v>8583815059</v>
      </c>
      <c r="B530" s="2" t="s">
        <v>92</v>
      </c>
      <c r="C530" s="2">
        <f>VLOOKUP(user_activity!A50,users_details!$A$1:$G$34,5,0)</f>
        <v>18</v>
      </c>
      <c r="D530" s="2" t="str" cm="1">
        <f t="array" ref="D530">_xlfn.IFS( AND(C530&gt;=18, C530&lt;=25), "Emerging Adults",  AND(C530&gt;=26, C530&lt;=35),  "Young Adults",  AND(C530&gt;=36, C530&lt;=45),  "Midlife Adults",  AND(C530&gt;=46, C530&lt;=55), "Mature Adults", C530&gt;=56,  "Older Adults", TRUE, "Age Not Mentioned")</f>
        <v>Emerging Adults</v>
      </c>
      <c r="E530" s="2" t="str">
        <f>VLOOKUP(user_activity!A50,users_details!$A$1:$G$34,6,0)</f>
        <v>Hell's Kitchen, Manhattan</v>
      </c>
      <c r="F530" s="2" t="str">
        <f>VLOOKUP(user_activity!A50,users_details!$A$1:$G$34,7,0)</f>
        <v>Hell's Kitchen</v>
      </c>
      <c r="G530" s="2" t="s">
        <v>72</v>
      </c>
      <c r="H530" s="7">
        <v>42526</v>
      </c>
      <c r="I530" s="9" t="str">
        <f t="shared" si="40"/>
        <v>Sunday</v>
      </c>
      <c r="J530" s="9" t="str">
        <f t="shared" si="41"/>
        <v>June</v>
      </c>
      <c r="K530" s="2">
        <v>4.5599999430000002</v>
      </c>
      <c r="L530" s="2">
        <v>4.5599999430000002</v>
      </c>
      <c r="M530" s="2">
        <v>0</v>
      </c>
      <c r="N530" s="2">
        <v>0.14000000100000001</v>
      </c>
      <c r="O530" s="2">
        <v>1.190000057</v>
      </c>
      <c r="P530" s="2">
        <v>3.2300000190000002</v>
      </c>
      <c r="Q530" s="2">
        <v>0</v>
      </c>
      <c r="R530" s="2">
        <v>2</v>
      </c>
      <c r="S530" s="2">
        <v>22</v>
      </c>
      <c r="T530" s="2">
        <v>166</v>
      </c>
      <c r="U530" s="2">
        <f t="shared" si="42"/>
        <v>190</v>
      </c>
      <c r="V530" s="2">
        <v>1250</v>
      </c>
      <c r="W530" s="2">
        <v>5843</v>
      </c>
      <c r="X530" s="2">
        <f t="shared" si="43"/>
        <v>5843</v>
      </c>
      <c r="Y530" s="2">
        <v>2683</v>
      </c>
      <c r="Z530" t="str" cm="1">
        <f t="array" ref="Z530">_xlfn.IFS(OR(R530&gt;66, S530&gt;38), "High Engagement", OR(AND(R530&gt;32, R530&lt;=66), AND(S530&gt;19, S530&lt;=38)), "Medium-High Engagement", OR(AND(R530&gt;4, R530&lt;=32), AND(S530&gt;6, S530&lt;=19)),"Medium Engagement", TRUE, "Low Engagement"
)</f>
        <v>Medium-High Engagement</v>
      </c>
      <c r="AA530">
        <f t="shared" si="44"/>
        <v>0.45918192709224714</v>
      </c>
    </row>
    <row r="531" spans="1:27" x14ac:dyDescent="0.35">
      <c r="A531" s="2">
        <v>8583815059</v>
      </c>
      <c r="B531" s="2" t="s">
        <v>92</v>
      </c>
      <c r="C531" s="2">
        <f>VLOOKUP(user_activity!A121,users_details!$A$1:$G$34,5,0)</f>
        <v>22</v>
      </c>
      <c r="D531" s="2" t="str" cm="1">
        <f t="array" ref="D531">_xlfn.IFS( AND(C531&gt;=18, C531&lt;=25), "Emerging Adults",  AND(C531&gt;=26, C531&lt;=35),  "Young Adults",  AND(C531&gt;=36, C531&lt;=45),  "Midlife Adults",  AND(C531&gt;=46, C531&lt;=55), "Mature Adults", C531&gt;=56,  "Older Adults", TRUE, "Age Not Mentioned")</f>
        <v>Emerging Adults</v>
      </c>
      <c r="E531" s="2" t="str">
        <f>VLOOKUP(user_activity!A121,users_details!$A$1:$G$34,6,0)</f>
        <v>Washington Heights, Manhattan</v>
      </c>
      <c r="F531" s="2" t="str">
        <f>VLOOKUP(user_activity!A121,users_details!$A$1:$G$34,7,0)</f>
        <v>Washington Heights</v>
      </c>
      <c r="G531" s="2" t="s">
        <v>72</v>
      </c>
      <c r="H531" s="7">
        <v>42487</v>
      </c>
      <c r="I531" s="9" t="str">
        <f t="shared" si="40"/>
        <v>Wednesday</v>
      </c>
      <c r="J531" s="9" t="str">
        <f t="shared" si="41"/>
        <v>April</v>
      </c>
      <c r="K531" s="2">
        <v>9.7299995419999998</v>
      </c>
      <c r="L531" s="2">
        <v>9.7299995419999998</v>
      </c>
      <c r="M531" s="2">
        <v>0</v>
      </c>
      <c r="N531" s="2">
        <v>6.5999999049999998</v>
      </c>
      <c r="O531" s="2">
        <v>0.27000001099999998</v>
      </c>
      <c r="P531" s="2">
        <v>2.869999886</v>
      </c>
      <c r="Q531" s="2">
        <v>0</v>
      </c>
      <c r="R531" s="2">
        <v>77</v>
      </c>
      <c r="S531" s="2">
        <v>5</v>
      </c>
      <c r="T531" s="2">
        <v>129</v>
      </c>
      <c r="U531" s="2">
        <f t="shared" si="42"/>
        <v>211</v>
      </c>
      <c r="V531" s="2">
        <v>1229</v>
      </c>
      <c r="W531" s="2">
        <v>12474</v>
      </c>
      <c r="X531" s="2">
        <f t="shared" si="43"/>
        <v>12474</v>
      </c>
      <c r="Y531" s="2">
        <v>3142</v>
      </c>
      <c r="Z531" t="str" cm="1">
        <f t="array" ref="Z531">_xlfn.IFS(OR(R531&gt;66, S531&gt;38), "High Engagement", OR(AND(R531&gt;32, R531&lt;=66), AND(S531&gt;19, S531&lt;=38)), "Medium-High Engagement", OR(AND(R531&gt;4, R531&lt;=32), AND(S531&gt;6, S531&lt;=19)),"Medium Engagement", TRUE, "Low Engagement"
)</f>
        <v>High Engagement</v>
      </c>
      <c r="AA531">
        <f t="shared" si="44"/>
        <v>0.25188391855058523</v>
      </c>
    </row>
    <row r="532" spans="1:27" x14ac:dyDescent="0.35">
      <c r="A532" s="2">
        <v>8583815059</v>
      </c>
      <c r="B532" s="2" t="s">
        <v>92</v>
      </c>
      <c r="C532" s="2">
        <f>VLOOKUP(user_activity!A136,users_details!$A$1:$G$34,5,0)</f>
        <v>22</v>
      </c>
      <c r="D532" s="2" t="str" cm="1">
        <f t="array" ref="D532">_xlfn.IFS( AND(C532&gt;=18, C532&lt;=25), "Emerging Adults",  AND(C532&gt;=26, C532&lt;=35),  "Young Adults",  AND(C532&gt;=36, C532&lt;=45),  "Midlife Adults",  AND(C532&gt;=46, C532&lt;=55), "Mature Adults", C532&gt;=56,  "Older Adults", TRUE, "Age Not Mentioned")</f>
        <v>Emerging Adults</v>
      </c>
      <c r="E532" s="2" t="str">
        <f>VLOOKUP(user_activity!A136,users_details!$A$1:$G$34,6,0)</f>
        <v>Upper East Side, Manhattan</v>
      </c>
      <c r="F532" s="2" t="str">
        <f>VLOOKUP(user_activity!A136,users_details!$A$1:$G$34,7,0)</f>
        <v>Upper East Side</v>
      </c>
      <c r="G532" s="2" t="s">
        <v>72</v>
      </c>
      <c r="H532" s="7">
        <v>42374</v>
      </c>
      <c r="I532" s="9" t="str">
        <f t="shared" si="40"/>
        <v>Tuesday</v>
      </c>
      <c r="J532" s="9" t="str">
        <f t="shared" si="41"/>
        <v>January</v>
      </c>
      <c r="K532" s="2">
        <v>3.5199999809999998</v>
      </c>
      <c r="L532" s="2">
        <v>3.5199999809999998</v>
      </c>
      <c r="M532" s="2">
        <v>0</v>
      </c>
      <c r="N532" s="2">
        <v>0.77999997099999996</v>
      </c>
      <c r="O532" s="2">
        <v>0.119999997</v>
      </c>
      <c r="P532" s="2">
        <v>2.039999962</v>
      </c>
      <c r="Q532" s="2">
        <v>0</v>
      </c>
      <c r="R532" s="2">
        <v>10</v>
      </c>
      <c r="S532" s="2">
        <v>2</v>
      </c>
      <c r="T532" s="2">
        <v>117</v>
      </c>
      <c r="U532" s="2">
        <f t="shared" si="42"/>
        <v>129</v>
      </c>
      <c r="V532" s="2">
        <v>1311</v>
      </c>
      <c r="W532" s="2">
        <v>4512</v>
      </c>
      <c r="X532" s="2">
        <f t="shared" si="43"/>
        <v>4512</v>
      </c>
      <c r="Y532" s="2">
        <v>2596</v>
      </c>
      <c r="Z532" t="str" cm="1">
        <f t="array" ref="Z532">_xlfn.IFS(OR(R532&gt;66, S532&gt;38), "High Engagement", OR(AND(R532&gt;32, R532&lt;=66), AND(S532&gt;19, S532&lt;=38)), "Medium-High Engagement", OR(AND(R532&gt;4, R532&lt;=32), AND(S532&gt;6, S532&lt;=19)),"Medium Engagement", TRUE, "Low Engagement"
)</f>
        <v>Medium Engagement</v>
      </c>
      <c r="AA532">
        <f t="shared" si="44"/>
        <v>0.57535460992907805</v>
      </c>
    </row>
    <row r="533" spans="1:27" x14ac:dyDescent="0.35">
      <c r="A533" s="2">
        <v>8583815059</v>
      </c>
      <c r="B533" s="2" t="s">
        <v>92</v>
      </c>
      <c r="C533" s="2">
        <f>VLOOKUP(user_activity!A143,users_details!$A$1:$G$34,5,0)</f>
        <v>22</v>
      </c>
      <c r="D533" s="2" t="str" cm="1">
        <f t="array" ref="D533">_xlfn.IFS( AND(C533&gt;=18, C533&lt;=25), "Emerging Adults",  AND(C533&gt;=26, C533&lt;=35),  "Young Adults",  AND(C533&gt;=36, C533&lt;=45),  "Midlife Adults",  AND(C533&gt;=46, C533&lt;=55), "Mature Adults", C533&gt;=56,  "Older Adults", TRUE, "Age Not Mentioned")</f>
        <v>Emerging Adults</v>
      </c>
      <c r="E533" s="2" t="str">
        <f>VLOOKUP(user_activity!A143,users_details!$A$1:$G$34,6,0)</f>
        <v>Upper East Side, Manhattan</v>
      </c>
      <c r="F533" s="2" t="str">
        <f>VLOOKUP(user_activity!A143,users_details!$A$1:$G$34,7,0)</f>
        <v>Upper East Side</v>
      </c>
      <c r="G533" s="2" t="s">
        <v>72</v>
      </c>
      <c r="H533" s="7">
        <v>42474</v>
      </c>
      <c r="I533" s="9" t="str">
        <f t="shared" si="40"/>
        <v>Thursday</v>
      </c>
      <c r="J533" s="9" t="str">
        <f t="shared" si="41"/>
        <v>April</v>
      </c>
      <c r="K533" s="2">
        <v>2.4500000480000002</v>
      </c>
      <c r="L533" s="2">
        <v>2.4500000480000002</v>
      </c>
      <c r="M533" s="2">
        <v>0</v>
      </c>
      <c r="N533" s="2">
        <v>0</v>
      </c>
      <c r="O533" s="2">
        <v>0</v>
      </c>
      <c r="P533" s="2">
        <v>2.4300000669999999</v>
      </c>
      <c r="Q533" s="2">
        <v>0</v>
      </c>
      <c r="R533" s="2">
        <v>0</v>
      </c>
      <c r="S533" s="2">
        <v>0</v>
      </c>
      <c r="T533" s="2">
        <v>134</v>
      </c>
      <c r="U533" s="2">
        <f t="shared" si="42"/>
        <v>134</v>
      </c>
      <c r="V533" s="2">
        <v>1306</v>
      </c>
      <c r="W533" s="2">
        <v>3135</v>
      </c>
      <c r="X533" s="2">
        <f t="shared" si="43"/>
        <v>3135</v>
      </c>
      <c r="Y533" s="2">
        <v>2443</v>
      </c>
      <c r="Z533" t="str" cm="1">
        <f t="array" ref="Z533">_xlfn.IFS(OR(R533&gt;66, S533&gt;38), "High Engagement", OR(AND(R533&gt;32, R533&lt;=66), AND(S533&gt;19, S533&lt;=38)), "Medium-High Engagement", OR(AND(R533&gt;4, R533&lt;=32), AND(S533&gt;6, S533&lt;=19)),"Medium Engagement", TRUE, "Low Engagement"
)</f>
        <v>Low Engagement</v>
      </c>
      <c r="AA533">
        <f t="shared" si="44"/>
        <v>0.77926634768740033</v>
      </c>
    </row>
    <row r="534" spans="1:27" x14ac:dyDescent="0.35">
      <c r="A534" s="2">
        <v>8583815059</v>
      </c>
      <c r="B534" s="2" t="s">
        <v>92</v>
      </c>
      <c r="C534" s="2">
        <f>VLOOKUP(user_activity!A194,users_details!$A$1:$G$34,5,0)</f>
        <v>23</v>
      </c>
      <c r="D534" s="2" t="str" cm="1">
        <f t="array" ref="D534">_xlfn.IFS( AND(C534&gt;=18, C534&lt;=25), "Emerging Adults",  AND(C534&gt;=26, C534&lt;=35),  "Young Adults",  AND(C534&gt;=36, C534&lt;=45),  "Midlife Adults",  AND(C534&gt;=46, C534&lt;=55), "Mature Adults", C534&gt;=56,  "Older Adults", TRUE, "Age Not Mentioned")</f>
        <v>Emerging Adults</v>
      </c>
      <c r="E534" s="2" t="str">
        <f>VLOOKUP(user_activity!A194,users_details!$A$1:$G$34,6,0)</f>
        <v>Washington Heights, Manhattan</v>
      </c>
      <c r="F534" s="2" t="str">
        <f>VLOOKUP(user_activity!A194,users_details!$A$1:$G$34,7,0)</f>
        <v>Washington Heights</v>
      </c>
      <c r="G534" s="2" t="s">
        <v>72</v>
      </c>
      <c r="H534" s="7">
        <v>42648</v>
      </c>
      <c r="I534" s="9" t="str">
        <f t="shared" si="40"/>
        <v>Wednesday</v>
      </c>
      <c r="J534" s="9" t="str">
        <f t="shared" si="41"/>
        <v>October</v>
      </c>
      <c r="K534" s="2">
        <v>6.4299998279999997</v>
      </c>
      <c r="L534" s="2">
        <v>6.4299998279999997</v>
      </c>
      <c r="M534" s="2">
        <v>0</v>
      </c>
      <c r="N534" s="2">
        <v>0.689999998</v>
      </c>
      <c r="O534" s="2">
        <v>2.0099999899999998</v>
      </c>
      <c r="P534" s="2">
        <v>3.7200000289999999</v>
      </c>
      <c r="Q534" s="2">
        <v>0</v>
      </c>
      <c r="R534" s="2">
        <v>9</v>
      </c>
      <c r="S534" s="2">
        <v>43</v>
      </c>
      <c r="T534" s="2">
        <v>162</v>
      </c>
      <c r="U534" s="2">
        <f t="shared" si="42"/>
        <v>214</v>
      </c>
      <c r="V534" s="2">
        <v>1226</v>
      </c>
      <c r="W534" s="2">
        <v>8240</v>
      </c>
      <c r="X534" s="2">
        <f t="shared" si="43"/>
        <v>8240</v>
      </c>
      <c r="Y534" s="2">
        <v>2846</v>
      </c>
      <c r="Z534" t="str" cm="1">
        <f t="array" ref="Z534">_xlfn.IFS(OR(R534&gt;66, S534&gt;38), "High Engagement", OR(AND(R534&gt;32, R534&lt;=66), AND(S534&gt;19, S534&lt;=38)), "Medium-High Engagement", OR(AND(R534&gt;4, R534&lt;=32), AND(S534&gt;6, S534&lt;=19)),"Medium Engagement", TRUE, "Low Engagement"
)</f>
        <v>High Engagement</v>
      </c>
      <c r="AA534">
        <f t="shared" si="44"/>
        <v>0.3453883495145631</v>
      </c>
    </row>
    <row r="535" spans="1:27" x14ac:dyDescent="0.35">
      <c r="A535" s="2">
        <v>1503960366</v>
      </c>
      <c r="B535" s="2" t="s">
        <v>82</v>
      </c>
      <c r="C535" s="2">
        <f>VLOOKUP(user_activity!A195,users_details!$A$1:$G$34,5,0)</f>
        <v>23</v>
      </c>
      <c r="D535" s="2" t="str" cm="1">
        <f t="array" ref="D535">_xlfn.IFS( AND(C535&gt;=18, C535&lt;=25), "Emerging Adults",  AND(C535&gt;=26, C535&lt;=35),  "Young Adults",  AND(C535&gt;=36, C535&lt;=45),  "Midlife Adults",  AND(C535&gt;=46, C535&lt;=55), "Mature Adults", C535&gt;=56,  "Older Adults", TRUE, "Age Not Mentioned")</f>
        <v>Emerging Adults</v>
      </c>
      <c r="E535" s="2" t="str">
        <f>VLOOKUP(user_activity!A195,users_details!$A$1:$G$34,6,0)</f>
        <v>Washington Heights, Manhattan</v>
      </c>
      <c r="F535" s="2" t="str">
        <f>VLOOKUP(user_activity!A195,users_details!$A$1:$G$34,7,0)</f>
        <v>Washington Heights</v>
      </c>
      <c r="G535" s="2" t="s">
        <v>72</v>
      </c>
      <c r="H535" s="7">
        <v>42474</v>
      </c>
      <c r="I535" s="9" t="str">
        <f t="shared" si="40"/>
        <v>Thursday</v>
      </c>
      <c r="J535" s="9" t="str">
        <f t="shared" si="41"/>
        <v>April</v>
      </c>
      <c r="K535" s="2">
        <v>6.7399997709999999</v>
      </c>
      <c r="L535" s="2">
        <v>6.7399997709999999</v>
      </c>
      <c r="M535" s="2">
        <v>0</v>
      </c>
      <c r="N535" s="2">
        <v>2.4400000569999998</v>
      </c>
      <c r="O535" s="2">
        <v>0.40000000600000002</v>
      </c>
      <c r="P535" s="2">
        <v>3.9100000860000002</v>
      </c>
      <c r="Q535" s="2">
        <v>0</v>
      </c>
      <c r="R535" s="2">
        <v>30</v>
      </c>
      <c r="S535" s="2">
        <v>11</v>
      </c>
      <c r="T535" s="2">
        <v>181</v>
      </c>
      <c r="U535" s="2">
        <f t="shared" si="42"/>
        <v>222</v>
      </c>
      <c r="V535" s="2">
        <v>1218</v>
      </c>
      <c r="W535" s="2">
        <v>10460</v>
      </c>
      <c r="X535" s="2">
        <f t="shared" si="43"/>
        <v>10460</v>
      </c>
      <c r="Y535" s="2">
        <v>1776</v>
      </c>
      <c r="Z535" t="str" cm="1">
        <f t="array" ref="Z535">_xlfn.IFS(OR(R535&gt;66, S535&gt;38), "High Engagement", OR(AND(R535&gt;32, R535&lt;=66), AND(S535&gt;19, S535&lt;=38)), "Medium-High Engagement", OR(AND(R535&gt;4, R535&lt;=32), AND(S535&gt;6, S535&lt;=19)),"Medium Engagement", TRUE, "Low Engagement"
)</f>
        <v>Medium Engagement</v>
      </c>
      <c r="AA535">
        <f t="shared" si="44"/>
        <v>0.16978967495219885</v>
      </c>
    </row>
    <row r="536" spans="1:27" x14ac:dyDescent="0.35">
      <c r="A536" s="2">
        <v>1503960366</v>
      </c>
      <c r="B536" s="2" t="s">
        <v>82</v>
      </c>
      <c r="C536" s="2">
        <f>VLOOKUP(user_activity!A200,users_details!$A$1:$G$34,5,0)</f>
        <v>23</v>
      </c>
      <c r="D536" s="2" t="str" cm="1">
        <f t="array" ref="D536">_xlfn.IFS( AND(C536&gt;=18, C536&lt;=25), "Emerging Adults",  AND(C536&gt;=26, C536&lt;=35),  "Young Adults",  AND(C536&gt;=36, C536&lt;=45),  "Midlife Adults",  AND(C536&gt;=46, C536&lt;=55), "Mature Adults", C536&gt;=56,  "Older Adults", TRUE, "Age Not Mentioned")</f>
        <v>Emerging Adults</v>
      </c>
      <c r="E536" s="2" t="str">
        <f>VLOOKUP(user_activity!A200,users_details!$A$1:$G$34,6,0)</f>
        <v>Washington Heights, Manhattan</v>
      </c>
      <c r="F536" s="2" t="str">
        <f>VLOOKUP(user_activity!A200,users_details!$A$1:$G$34,7,0)</f>
        <v>Washington Heights</v>
      </c>
      <c r="G536" s="2" t="s">
        <v>72</v>
      </c>
      <c r="H536" s="7">
        <v>42477</v>
      </c>
      <c r="I536" s="9" t="str">
        <f t="shared" si="40"/>
        <v>Sunday</v>
      </c>
      <c r="J536" s="9" t="str">
        <f t="shared" si="41"/>
        <v>April</v>
      </c>
      <c r="K536" s="2">
        <v>6.4800000190000002</v>
      </c>
      <c r="L536" s="2">
        <v>6.4800000190000002</v>
      </c>
      <c r="M536" s="2">
        <v>0</v>
      </c>
      <c r="N536" s="2">
        <v>3.1900000569999998</v>
      </c>
      <c r="O536" s="2">
        <v>0.77999997099999996</v>
      </c>
      <c r="P536" s="2">
        <v>2.5099999899999998</v>
      </c>
      <c r="Q536" s="2">
        <v>0</v>
      </c>
      <c r="R536" s="2">
        <v>38</v>
      </c>
      <c r="S536" s="2">
        <v>20</v>
      </c>
      <c r="T536" s="2">
        <v>164</v>
      </c>
      <c r="U536" s="2">
        <f t="shared" si="42"/>
        <v>222</v>
      </c>
      <c r="V536" s="2">
        <v>539</v>
      </c>
      <c r="W536" s="2">
        <v>9705</v>
      </c>
      <c r="X536" s="2">
        <f t="shared" si="43"/>
        <v>9705</v>
      </c>
      <c r="Y536" s="2">
        <v>1728</v>
      </c>
      <c r="Z536" t="str" cm="1">
        <f t="array" ref="Z536">_xlfn.IFS(OR(R536&gt;66, S536&gt;38), "High Engagement", OR(AND(R536&gt;32, R536&lt;=66), AND(S536&gt;19, S536&lt;=38)), "Medium-High Engagement", OR(AND(R536&gt;4, R536&lt;=32), AND(S536&gt;6, S536&lt;=19)),"Medium Engagement", TRUE, "Low Engagement"
)</f>
        <v>Medium-High Engagement</v>
      </c>
      <c r="AA536">
        <f t="shared" si="44"/>
        <v>0.17805255023183925</v>
      </c>
    </row>
    <row r="537" spans="1:27" x14ac:dyDescent="0.35">
      <c r="A537" s="2">
        <v>1503960366</v>
      </c>
      <c r="B537" s="2" t="s">
        <v>82</v>
      </c>
      <c r="C537" s="2">
        <f>VLOOKUP(user_activity!A214,users_details!$A$1:$G$34,5,0)</f>
        <v>24</v>
      </c>
      <c r="D537" s="2" t="str" cm="1">
        <f t="array" ref="D537">_xlfn.IFS( AND(C537&gt;=18, C537&lt;=25), "Emerging Adults",  AND(C537&gt;=26, C537&lt;=35),  "Young Adults",  AND(C537&gt;=36, C537&lt;=45),  "Midlife Adults",  AND(C537&gt;=46, C537&lt;=55), "Mature Adults", C537&gt;=56,  "Older Adults", TRUE, "Age Not Mentioned")</f>
        <v>Emerging Adults</v>
      </c>
      <c r="E537" s="2" t="str">
        <f>VLOOKUP(user_activity!A214,users_details!$A$1:$G$34,6,0)</f>
        <v>East Village, Manhattan</v>
      </c>
      <c r="F537" s="2" t="str">
        <f>VLOOKUP(user_activity!A214,users_details!$A$1:$G$34,7,0)</f>
        <v>East Village</v>
      </c>
      <c r="G537" s="2" t="s">
        <v>72</v>
      </c>
      <c r="H537" s="7">
        <v>42556</v>
      </c>
      <c r="I537" s="9" t="str">
        <f t="shared" si="40"/>
        <v>Tuesday</v>
      </c>
      <c r="J537" s="9" t="str">
        <f t="shared" si="41"/>
        <v>July</v>
      </c>
      <c r="K537" s="2">
        <v>7.7100000380000004</v>
      </c>
      <c r="L537" s="2">
        <v>7.7100000380000004</v>
      </c>
      <c r="M537" s="2">
        <v>0</v>
      </c>
      <c r="N537" s="2">
        <v>2.460000038</v>
      </c>
      <c r="O537" s="2">
        <v>2.119999886</v>
      </c>
      <c r="P537" s="2">
        <v>3.130000114</v>
      </c>
      <c r="Q537" s="2">
        <v>0</v>
      </c>
      <c r="R537" s="2">
        <v>37</v>
      </c>
      <c r="S537" s="2">
        <v>46</v>
      </c>
      <c r="T537" s="2">
        <v>175</v>
      </c>
      <c r="U537" s="2">
        <f t="shared" si="42"/>
        <v>258</v>
      </c>
      <c r="V537" s="2">
        <v>833</v>
      </c>
      <c r="W537" s="2">
        <v>11992</v>
      </c>
      <c r="X537" s="2">
        <f t="shared" si="43"/>
        <v>11992</v>
      </c>
      <c r="Y537" s="2">
        <v>1821</v>
      </c>
      <c r="Z537" t="str" cm="1">
        <f t="array" ref="Z537">_xlfn.IFS(OR(R537&gt;66, S537&gt;38), "High Engagement", OR(AND(R537&gt;32, R537&lt;=66), AND(S537&gt;19, S537&lt;=38)), "Medium-High Engagement", OR(AND(R537&gt;4, R537&lt;=32), AND(S537&gt;6, S537&lt;=19)),"Medium Engagement", TRUE, "Low Engagement"
)</f>
        <v>High Engagement</v>
      </c>
      <c r="AA537">
        <f t="shared" si="44"/>
        <v>0.15185123415610408</v>
      </c>
    </row>
    <row r="538" spans="1:27" x14ac:dyDescent="0.35">
      <c r="A538" s="2">
        <v>1503960366</v>
      </c>
      <c r="B538" s="2" t="s">
        <v>82</v>
      </c>
      <c r="C538" s="2">
        <f>VLOOKUP(user_activity!A216,users_details!$A$1:$G$34,5,0)</f>
        <v>24</v>
      </c>
      <c r="D538" s="2" t="str" cm="1">
        <f t="array" ref="D538">_xlfn.IFS( AND(C538&gt;=18, C538&lt;=25), "Emerging Adults",  AND(C538&gt;=26, C538&lt;=35),  "Young Adults",  AND(C538&gt;=36, C538&lt;=45),  "Midlife Adults",  AND(C538&gt;=46, C538&lt;=55), "Mature Adults", C538&gt;=56,  "Older Adults", TRUE, "Age Not Mentioned")</f>
        <v>Emerging Adults</v>
      </c>
      <c r="E538" s="2" t="str">
        <f>VLOOKUP(user_activity!A216,users_details!$A$1:$G$34,6,0)</f>
        <v>East Village, Manhattan</v>
      </c>
      <c r="F538" s="2" t="str">
        <f>VLOOKUP(user_activity!A216,users_details!$A$1:$G$34,7,0)</f>
        <v>East Village</v>
      </c>
      <c r="G538" s="2" t="s">
        <v>72</v>
      </c>
      <c r="H538" s="7">
        <v>42482</v>
      </c>
      <c r="I538" s="9" t="str">
        <f t="shared" si="40"/>
        <v>Friday</v>
      </c>
      <c r="J538" s="9" t="str">
        <f t="shared" si="41"/>
        <v>April</v>
      </c>
      <c r="K538" s="2">
        <v>8.1300001139999996</v>
      </c>
      <c r="L538" s="2">
        <v>8.1300001139999996</v>
      </c>
      <c r="M538" s="2">
        <v>0</v>
      </c>
      <c r="N538" s="2">
        <v>4.7600002290000001</v>
      </c>
      <c r="O538" s="2">
        <v>1.1200000050000001</v>
      </c>
      <c r="P538" s="2">
        <v>2.2400000100000002</v>
      </c>
      <c r="Q538" s="2">
        <v>0</v>
      </c>
      <c r="R538" s="2">
        <v>66</v>
      </c>
      <c r="S538" s="2">
        <v>27</v>
      </c>
      <c r="T538" s="2">
        <v>130</v>
      </c>
      <c r="U538" s="2">
        <f t="shared" si="42"/>
        <v>223</v>
      </c>
      <c r="V538" s="2">
        <v>1217</v>
      </c>
      <c r="W538" s="2">
        <v>12764</v>
      </c>
      <c r="X538" s="2">
        <f t="shared" si="43"/>
        <v>12764</v>
      </c>
      <c r="Y538" s="2">
        <v>1827</v>
      </c>
      <c r="Z538" t="str" cm="1">
        <f t="array" ref="Z538">_xlfn.IFS(OR(R538&gt;66, S538&gt;38), "High Engagement", OR(AND(R538&gt;32, R538&lt;=66), AND(S538&gt;19, S538&lt;=38)), "Medium-High Engagement", OR(AND(R538&gt;4, R538&lt;=32), AND(S538&gt;6, S538&lt;=19)),"Medium Engagement", TRUE, "Low Engagement"
)</f>
        <v>Medium-High Engagement</v>
      </c>
      <c r="AA538">
        <f t="shared" si="44"/>
        <v>0.14313694766530868</v>
      </c>
    </row>
    <row r="539" spans="1:27" x14ac:dyDescent="0.35">
      <c r="A539" s="2">
        <v>8583815059</v>
      </c>
      <c r="B539" s="2" t="s">
        <v>92</v>
      </c>
      <c r="C539" s="2">
        <f>VLOOKUP(user_activity!A223,users_details!$A$1:$G$34,5,0)</f>
        <v>24</v>
      </c>
      <c r="D539" s="2" t="str" cm="1">
        <f t="array" ref="D539">_xlfn.IFS( AND(C539&gt;=18, C539&lt;=25), "Emerging Adults",  AND(C539&gt;=26, C539&lt;=35),  "Young Adults",  AND(C539&gt;=36, C539&lt;=45),  "Midlife Adults",  AND(C539&gt;=46, C539&lt;=55), "Mature Adults", C539&gt;=56,  "Older Adults", TRUE, "Age Not Mentioned")</f>
        <v>Emerging Adults</v>
      </c>
      <c r="E539" s="2" t="str">
        <f>VLOOKUP(user_activity!A223,users_details!$A$1:$G$34,6,0)</f>
        <v>East Village, Manhattan</v>
      </c>
      <c r="F539" s="2" t="str">
        <f>VLOOKUP(user_activity!A223,users_details!$A$1:$G$34,7,0)</f>
        <v>East Village</v>
      </c>
      <c r="G539" s="2" t="s">
        <v>72</v>
      </c>
      <c r="H539" s="7">
        <v>42618</v>
      </c>
      <c r="I539" s="9" t="str">
        <f t="shared" si="40"/>
        <v>Monday</v>
      </c>
      <c r="J539" s="9" t="str">
        <f t="shared" si="41"/>
        <v>September</v>
      </c>
      <c r="K539" s="2">
        <v>7.6999998090000004</v>
      </c>
      <c r="L539" s="2">
        <v>7.6999998090000004</v>
      </c>
      <c r="M539" s="2">
        <v>0</v>
      </c>
      <c r="N539" s="2">
        <v>5.7600002290000001</v>
      </c>
      <c r="O539" s="2">
        <v>0.17000000200000001</v>
      </c>
      <c r="P539" s="2">
        <v>1.730000019</v>
      </c>
      <c r="Q539" s="2">
        <v>0</v>
      </c>
      <c r="R539" s="2">
        <v>66</v>
      </c>
      <c r="S539" s="2">
        <v>4</v>
      </c>
      <c r="T539" s="2">
        <v>110</v>
      </c>
      <c r="U539" s="2">
        <f t="shared" si="42"/>
        <v>180</v>
      </c>
      <c r="V539" s="2">
        <v>1260</v>
      </c>
      <c r="W539" s="2">
        <v>9877</v>
      </c>
      <c r="X539" s="2">
        <f t="shared" si="43"/>
        <v>9877</v>
      </c>
      <c r="Y539" s="2">
        <v>2947</v>
      </c>
      <c r="Z539" t="str" cm="1">
        <f t="array" ref="Z539">_xlfn.IFS(OR(R539&gt;66, S539&gt;38), "High Engagement", OR(AND(R539&gt;32, R539&lt;=66), AND(S539&gt;19, S539&lt;=38)), "Medium-High Engagement", OR(AND(R539&gt;4, R539&lt;=32), AND(S539&gt;6, S539&lt;=19)),"Medium Engagement", TRUE, "Low Engagement"
)</f>
        <v>Medium-High Engagement</v>
      </c>
      <c r="AA539">
        <f t="shared" si="44"/>
        <v>0.29836995038979447</v>
      </c>
    </row>
    <row r="540" spans="1:27" x14ac:dyDescent="0.35">
      <c r="A540" s="2">
        <v>1503960366</v>
      </c>
      <c r="B540" s="2" t="s">
        <v>82</v>
      </c>
      <c r="C540" s="2">
        <f>VLOOKUP(user_activity!A225,users_details!$A$1:$G$34,5,0)</f>
        <v>24</v>
      </c>
      <c r="D540" s="2" t="str" cm="1">
        <f t="array" ref="D540">_xlfn.IFS( AND(C540&gt;=18, C540&lt;=25), "Emerging Adults",  AND(C540&gt;=26, C540&lt;=35),  "Young Adults",  AND(C540&gt;=36, C540&lt;=45),  "Midlife Adults",  AND(C540&gt;=46, C540&lt;=55), "Mature Adults", C540&gt;=56,  "Older Adults", TRUE, "Age Not Mentioned")</f>
        <v>Emerging Adults</v>
      </c>
      <c r="E540" s="2" t="str">
        <f>VLOOKUP(user_activity!A225,users_details!$A$1:$G$34,6,0)</f>
        <v>East Village, Manhattan</v>
      </c>
      <c r="F540" s="2" t="str">
        <f>VLOOKUP(user_activity!A225,users_details!$A$1:$G$34,7,0)</f>
        <v>East Village</v>
      </c>
      <c r="G540" s="2" t="s">
        <v>72</v>
      </c>
      <c r="H540" s="7">
        <v>42679</v>
      </c>
      <c r="I540" s="9" t="str">
        <f t="shared" si="40"/>
        <v>Saturday</v>
      </c>
      <c r="J540" s="9" t="str">
        <f t="shared" si="41"/>
        <v>November</v>
      </c>
      <c r="K540" s="2">
        <v>8.1300001139999996</v>
      </c>
      <c r="L540" s="2">
        <v>8.1300001139999996</v>
      </c>
      <c r="M540" s="2">
        <v>0</v>
      </c>
      <c r="N540" s="2">
        <v>2.5599999430000002</v>
      </c>
      <c r="O540" s="2">
        <v>1.0099999900000001</v>
      </c>
      <c r="P540" s="2">
        <v>4.5500001909999996</v>
      </c>
      <c r="Q540" s="2">
        <v>0</v>
      </c>
      <c r="R540" s="2">
        <v>36</v>
      </c>
      <c r="S540" s="2">
        <v>23</v>
      </c>
      <c r="T540" s="2">
        <v>251</v>
      </c>
      <c r="U540" s="2">
        <f t="shared" si="42"/>
        <v>310</v>
      </c>
      <c r="V540" s="2">
        <v>669</v>
      </c>
      <c r="W540" s="2">
        <v>12770</v>
      </c>
      <c r="X540" s="2">
        <f t="shared" si="43"/>
        <v>12770</v>
      </c>
      <c r="Y540" s="2">
        <v>1783</v>
      </c>
      <c r="Z540" t="str" cm="1">
        <f t="array" ref="Z540">_xlfn.IFS(OR(R540&gt;66, S540&gt;38), "High Engagement", OR(AND(R540&gt;32, R540&lt;=66), AND(S540&gt;19, S540&lt;=38)), "Medium-High Engagement", OR(AND(R540&gt;4, R540&lt;=32), AND(S540&gt;6, S540&lt;=19)),"Medium Engagement", TRUE, "Low Engagement"
)</f>
        <v>Medium-High Engagement</v>
      </c>
      <c r="AA540">
        <f t="shared" si="44"/>
        <v>0.13962411902897415</v>
      </c>
    </row>
    <row r="541" spans="1:27" x14ac:dyDescent="0.35">
      <c r="A541" s="2">
        <v>8583815059</v>
      </c>
      <c r="B541" s="2" t="s">
        <v>92</v>
      </c>
      <c r="C541" s="2">
        <f>VLOOKUP(user_activity!A232,users_details!$A$1:$G$34,5,0)</f>
        <v>24</v>
      </c>
      <c r="D541" s="2" t="str" cm="1">
        <f t="array" ref="D541">_xlfn.IFS( AND(C541&gt;=18, C541&lt;=25), "Emerging Adults",  AND(C541&gt;=26, C541&lt;=35),  "Young Adults",  AND(C541&gt;=36, C541&lt;=45),  "Midlife Adults",  AND(C541&gt;=46, C541&lt;=55), "Mature Adults", C541&gt;=56,  "Older Adults", TRUE, "Age Not Mentioned")</f>
        <v>Emerging Adults</v>
      </c>
      <c r="E541" s="2" t="str">
        <f>VLOOKUP(user_activity!A232,users_details!$A$1:$G$34,6,0)</f>
        <v>East Village, Manhattan</v>
      </c>
      <c r="F541" s="2" t="str">
        <f>VLOOKUP(user_activity!A232,users_details!$A$1:$G$34,7,0)</f>
        <v>East Village</v>
      </c>
      <c r="G541" s="2" t="s">
        <v>72</v>
      </c>
      <c r="H541" s="7">
        <v>42473</v>
      </c>
      <c r="I541" s="9" t="str">
        <f t="shared" si="40"/>
        <v>Wednesday</v>
      </c>
      <c r="J541" s="9" t="str">
        <f t="shared" si="41"/>
        <v>April</v>
      </c>
      <c r="K541" s="2">
        <v>4.3499999049999998</v>
      </c>
      <c r="L541" s="2">
        <v>4.3499999049999998</v>
      </c>
      <c r="M541" s="2">
        <v>0</v>
      </c>
      <c r="N541" s="2">
        <v>0.15000000599999999</v>
      </c>
      <c r="O541" s="2">
        <v>0.97000002900000004</v>
      </c>
      <c r="P541" s="2">
        <v>3.2300000190000002</v>
      </c>
      <c r="Q541" s="2">
        <v>0</v>
      </c>
      <c r="R541" s="2">
        <v>2</v>
      </c>
      <c r="S541" s="2">
        <v>23</v>
      </c>
      <c r="T541" s="2">
        <v>163</v>
      </c>
      <c r="U541" s="2">
        <f t="shared" si="42"/>
        <v>188</v>
      </c>
      <c r="V541" s="2">
        <v>1252</v>
      </c>
      <c r="W541" s="2">
        <v>5571</v>
      </c>
      <c r="X541" s="2">
        <f t="shared" si="43"/>
        <v>5571</v>
      </c>
      <c r="Y541" s="2">
        <v>2654</v>
      </c>
      <c r="Z541" t="str" cm="1">
        <f t="array" ref="Z541">_xlfn.IFS(OR(R541&gt;66, S541&gt;38), "High Engagement", OR(AND(R541&gt;32, R541&lt;=66), AND(S541&gt;19, S541&lt;=38)), "Medium-High Engagement", OR(AND(R541&gt;4, R541&lt;=32), AND(S541&gt;6, S541&lt;=19)),"Medium Engagement", TRUE, "Low Engagement"
)</f>
        <v>Medium-High Engagement</v>
      </c>
      <c r="AA541">
        <f t="shared" si="44"/>
        <v>0.47639562017591097</v>
      </c>
    </row>
    <row r="542" spans="1:27" x14ac:dyDescent="0.35">
      <c r="A542" s="2">
        <v>8583815059</v>
      </c>
      <c r="B542" s="2" t="s">
        <v>92</v>
      </c>
      <c r="C542" s="2">
        <f>VLOOKUP(user_activity!A258,users_details!$A$1:$G$34,5,0)</f>
        <v>29</v>
      </c>
      <c r="D542" s="2" t="str" cm="1">
        <f t="array" ref="D542">_xlfn.IFS( AND(C542&gt;=18, C542&lt;=25), "Emerging Adults",  AND(C542&gt;=26, C542&lt;=35),  "Young Adults",  AND(C542&gt;=36, C542&lt;=45),  "Midlife Adults",  AND(C542&gt;=46, C542&lt;=55), "Mature Adults", C542&gt;=56,  "Older Adults", TRUE, "Age Not Mentioned")</f>
        <v>Young Adults</v>
      </c>
      <c r="E542" s="2" t="str">
        <f>VLOOKUP(user_activity!A258,users_details!$A$1:$G$34,6,0)</f>
        <v>Crown Heights, Brooklyn</v>
      </c>
      <c r="F542" s="2" t="str">
        <f>VLOOKUP(user_activity!A258,users_details!$A$1:$G$34,7,0)</f>
        <v>Crown Heights</v>
      </c>
      <c r="G542" s="2" t="s">
        <v>72</v>
      </c>
      <c r="H542" s="7">
        <v>42709</v>
      </c>
      <c r="I542" s="9" t="str">
        <f t="shared" si="40"/>
        <v>Monday</v>
      </c>
      <c r="J542" s="9" t="str">
        <f t="shared" si="41"/>
        <v>December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f t="shared" si="42"/>
        <v>0</v>
      </c>
      <c r="V542" s="2">
        <v>1440</v>
      </c>
      <c r="W542" s="2">
        <v>0</v>
      </c>
      <c r="X542" s="2">
        <f t="shared" si="43"/>
        <v>7405.5</v>
      </c>
      <c r="Y542" s="2">
        <v>0</v>
      </c>
      <c r="Z542" t="str" cm="1">
        <f t="array" ref="Z542">_xlfn.IFS(OR(R542&gt;66, S542&gt;38), "High Engagement", OR(AND(R542&gt;32, R542&lt;=66), AND(S542&gt;19, S542&lt;=38)), "Medium-High Engagement", OR(AND(R542&gt;4, R542&lt;=32), AND(S542&gt;6, S542&lt;=19)),"Medium Engagement", TRUE, "Low Engagement"
)</f>
        <v>Low Engagement</v>
      </c>
      <c r="AA542">
        <f t="shared" si="44"/>
        <v>0</v>
      </c>
    </row>
    <row r="543" spans="1:27" x14ac:dyDescent="0.35">
      <c r="A543" s="2">
        <v>1503960366</v>
      </c>
      <c r="B543" s="2" t="s">
        <v>82</v>
      </c>
      <c r="C543" s="2">
        <f>VLOOKUP(user_activity!A260,users_details!$A$1:$G$34,5,0)</f>
        <v>29</v>
      </c>
      <c r="D543" s="2" t="str" cm="1">
        <f t="array" ref="D543">_xlfn.IFS( AND(C543&gt;=18, C543&lt;=25), "Emerging Adults",  AND(C543&gt;=26, C543&lt;=35),  "Young Adults",  AND(C543&gt;=36, C543&lt;=45),  "Midlife Adults",  AND(C543&gt;=46, C543&lt;=55), "Mature Adults", C543&gt;=56,  "Older Adults", TRUE, "Age Not Mentioned")</f>
        <v>Young Adults</v>
      </c>
      <c r="E543" s="2" t="str">
        <f>VLOOKUP(user_activity!A260,users_details!$A$1:$G$34,6,0)</f>
        <v>Crown Heights, Brooklyn</v>
      </c>
      <c r="F543" s="2" t="str">
        <f>VLOOKUP(user_activity!A260,users_details!$A$1:$G$34,7,0)</f>
        <v>Crown Heights</v>
      </c>
      <c r="G543" s="2" t="s">
        <v>72</v>
      </c>
      <c r="H543" s="7">
        <v>42479</v>
      </c>
      <c r="I543" s="9" t="str">
        <f t="shared" si="40"/>
        <v>Tuesday</v>
      </c>
      <c r="J543" s="9" t="str">
        <f t="shared" si="41"/>
        <v>April</v>
      </c>
      <c r="K543" s="2">
        <v>9.8800001139999996</v>
      </c>
      <c r="L543" s="2">
        <v>9.8800001139999996</v>
      </c>
      <c r="M543" s="2">
        <v>0</v>
      </c>
      <c r="N543" s="2">
        <v>3.5299999710000001</v>
      </c>
      <c r="O543" s="2">
        <v>1.3200000519999999</v>
      </c>
      <c r="P543" s="2">
        <v>5.0300002099999999</v>
      </c>
      <c r="Q543" s="2">
        <v>0</v>
      </c>
      <c r="R543" s="2">
        <v>50</v>
      </c>
      <c r="S543" s="2">
        <v>31</v>
      </c>
      <c r="T543" s="2">
        <v>264</v>
      </c>
      <c r="U543" s="2">
        <f t="shared" si="42"/>
        <v>345</v>
      </c>
      <c r="V543" s="2">
        <v>775</v>
      </c>
      <c r="W543" s="2">
        <v>15506</v>
      </c>
      <c r="X543" s="2">
        <f t="shared" si="43"/>
        <v>15506</v>
      </c>
      <c r="Y543" s="2">
        <v>2035</v>
      </c>
      <c r="Z543" t="str" cm="1">
        <f t="array" ref="Z543">_xlfn.IFS(OR(R543&gt;66, S543&gt;38), "High Engagement", OR(AND(R543&gt;32, R543&lt;=66), AND(S543&gt;19, S543&lt;=38)), "Medium-High Engagement", OR(AND(R543&gt;4, R543&lt;=32), AND(S543&gt;6, S543&lt;=19)),"Medium Engagement", TRUE, "Low Engagement"
)</f>
        <v>Medium-High Engagement</v>
      </c>
      <c r="AA543">
        <f t="shared" si="44"/>
        <v>0.13123952018573457</v>
      </c>
    </row>
    <row r="544" spans="1:27" x14ac:dyDescent="0.35">
      <c r="A544" s="2">
        <v>8583815059</v>
      </c>
      <c r="B544" s="2" t="s">
        <v>92</v>
      </c>
      <c r="C544" s="2">
        <f>VLOOKUP(user_activity!A274,users_details!$A$1:$G$34,5,0)</f>
        <v>29</v>
      </c>
      <c r="D544" s="2" t="str" cm="1">
        <f t="array" ref="D544">_xlfn.IFS( AND(C544&gt;=18, C544&lt;=25), "Emerging Adults",  AND(C544&gt;=26, C544&lt;=35),  "Young Adults",  AND(C544&gt;=36, C544&lt;=45),  "Midlife Adults",  AND(C544&gt;=46, C544&lt;=55), "Mature Adults", C544&gt;=56,  "Older Adults", TRUE, "Age Not Mentioned")</f>
        <v>Young Adults</v>
      </c>
      <c r="E544" s="2" t="str">
        <f>VLOOKUP(user_activity!A274,users_details!$A$1:$G$34,6,0)</f>
        <v>East Village, Manhattan</v>
      </c>
      <c r="F544" s="2" t="str">
        <f>VLOOKUP(user_activity!A274,users_details!$A$1:$G$34,7,0)</f>
        <v>East Village</v>
      </c>
      <c r="G544" s="2" t="s">
        <v>72</v>
      </c>
      <c r="H544" s="7">
        <v>42482</v>
      </c>
      <c r="I544" s="9" t="str">
        <f t="shared" si="40"/>
        <v>Friday</v>
      </c>
      <c r="J544" s="9" t="str">
        <f t="shared" si="41"/>
        <v>April</v>
      </c>
      <c r="K544" s="2">
        <v>6.7800002099999999</v>
      </c>
      <c r="L544" s="2">
        <v>6.7800002099999999</v>
      </c>
      <c r="M544" s="2">
        <v>0</v>
      </c>
      <c r="N544" s="2">
        <v>0.28999999199999998</v>
      </c>
      <c r="O544" s="2">
        <v>2.4100000860000002</v>
      </c>
      <c r="P544" s="2">
        <v>4.079999924</v>
      </c>
      <c r="Q544" s="2">
        <v>0</v>
      </c>
      <c r="R544" s="2">
        <v>4</v>
      </c>
      <c r="S544" s="2">
        <v>54</v>
      </c>
      <c r="T544" s="2">
        <v>212</v>
      </c>
      <c r="U544" s="2">
        <f t="shared" si="42"/>
        <v>270</v>
      </c>
      <c r="V544" s="2">
        <v>1170</v>
      </c>
      <c r="W544" s="2">
        <v>8687</v>
      </c>
      <c r="X544" s="2">
        <f t="shared" si="43"/>
        <v>8687</v>
      </c>
      <c r="Y544" s="2">
        <v>2944</v>
      </c>
      <c r="Z544" t="str" cm="1">
        <f t="array" ref="Z544">_xlfn.IFS(OR(R544&gt;66, S544&gt;38), "High Engagement", OR(AND(R544&gt;32, R544&lt;=66), AND(S544&gt;19, S544&lt;=38)), "Medium-High Engagement", OR(AND(R544&gt;4, R544&lt;=32), AND(S544&gt;6, S544&lt;=19)),"Medium Engagement", TRUE, "Low Engagement"
)</f>
        <v>High Engagement</v>
      </c>
      <c r="AA544">
        <f t="shared" si="44"/>
        <v>0.33889720271670309</v>
      </c>
    </row>
    <row r="545" spans="1:27" x14ac:dyDescent="0.35">
      <c r="A545" s="2">
        <v>8583815059</v>
      </c>
      <c r="B545" s="2" t="s">
        <v>92</v>
      </c>
      <c r="C545" s="2">
        <f>VLOOKUP(user_activity!A293,users_details!$A$1:$G$34,5,0)</f>
        <v>29</v>
      </c>
      <c r="D545" s="2" t="str" cm="1">
        <f t="array" ref="D545">_xlfn.IFS( AND(C545&gt;=18, C545&lt;=25), "Emerging Adults",  AND(C545&gt;=26, C545&lt;=35),  "Young Adults",  AND(C545&gt;=36, C545&lt;=45),  "Midlife Adults",  AND(C545&gt;=46, C545&lt;=55), "Mature Adults", C545&gt;=56,  "Older Adults", TRUE, "Age Not Mentioned")</f>
        <v>Young Adults</v>
      </c>
      <c r="E545" s="2" t="str">
        <f>VLOOKUP(user_activity!A293,users_details!$A$1:$G$34,6,0)</f>
        <v>East Village, Manhattan</v>
      </c>
      <c r="F545" s="2" t="str">
        <f>VLOOKUP(user_activity!A293,users_details!$A$1:$G$34,7,0)</f>
        <v>East Village</v>
      </c>
      <c r="G545" s="2" t="s">
        <v>72</v>
      </c>
      <c r="H545" s="7">
        <v>42488</v>
      </c>
      <c r="I545" s="9" t="str">
        <f t="shared" si="40"/>
        <v>Thursday</v>
      </c>
      <c r="J545" s="9" t="str">
        <f t="shared" si="41"/>
        <v>April</v>
      </c>
      <c r="K545" s="2">
        <v>4.8200001720000003</v>
      </c>
      <c r="L545" s="2">
        <v>4.8200001720000003</v>
      </c>
      <c r="M545" s="2">
        <v>0</v>
      </c>
      <c r="N545" s="2">
        <v>0</v>
      </c>
      <c r="O545" s="2">
        <v>1.2000000479999999</v>
      </c>
      <c r="P545" s="2">
        <v>3.6099998950000001</v>
      </c>
      <c r="Q545" s="2">
        <v>0</v>
      </c>
      <c r="R545" s="2">
        <v>0</v>
      </c>
      <c r="S545" s="2">
        <v>28</v>
      </c>
      <c r="T545" s="2">
        <v>203</v>
      </c>
      <c r="U545" s="2">
        <f t="shared" si="42"/>
        <v>231</v>
      </c>
      <c r="V545" s="2">
        <v>1209</v>
      </c>
      <c r="W545" s="2">
        <v>6174</v>
      </c>
      <c r="X545" s="2">
        <f t="shared" si="43"/>
        <v>6174</v>
      </c>
      <c r="Y545" s="2">
        <v>2757</v>
      </c>
      <c r="Z545" t="str" cm="1">
        <f t="array" ref="Z545">_xlfn.IFS(OR(R545&gt;66, S545&gt;38), "High Engagement", OR(AND(R545&gt;32, R545&lt;=66), AND(S545&gt;19, S545&lt;=38)), "Medium-High Engagement", OR(AND(R545&gt;4, R545&lt;=32), AND(S545&gt;6, S545&lt;=19)),"Medium Engagement", TRUE, "Low Engagement"
)</f>
        <v>Medium-High Engagement</v>
      </c>
      <c r="AA545">
        <f t="shared" si="44"/>
        <v>0.44655004859086489</v>
      </c>
    </row>
    <row r="546" spans="1:27" x14ac:dyDescent="0.35">
      <c r="A546" s="2">
        <v>1503960366</v>
      </c>
      <c r="B546" s="2" t="s">
        <v>82</v>
      </c>
      <c r="C546" s="2">
        <f>VLOOKUP(user_activity!A316,users_details!$A$1:$G$34,5,0)</f>
        <v>30</v>
      </c>
      <c r="D546" s="2" t="str" cm="1">
        <f t="array" ref="D546">_xlfn.IFS( AND(C546&gt;=18, C546&lt;=25), "Emerging Adults",  AND(C546&gt;=26, C546&lt;=35),  "Young Adults",  AND(C546&gt;=36, C546&lt;=45),  "Midlife Adults",  AND(C546&gt;=46, C546&lt;=55), "Mature Adults", C546&gt;=56,  "Older Adults", TRUE, "Age Not Mentioned")</f>
        <v>Young Adults</v>
      </c>
      <c r="E546" s="2" t="str">
        <f>VLOOKUP(user_activity!A316,users_details!$A$1:$G$34,6,0)</f>
        <v>Midtown, Manhattan</v>
      </c>
      <c r="F546" s="2" t="str">
        <f>VLOOKUP(user_activity!A316,users_details!$A$1:$G$34,7,0)</f>
        <v>Midtown</v>
      </c>
      <c r="G546" s="2" t="s">
        <v>72</v>
      </c>
      <c r="H546" s="7">
        <v>42648</v>
      </c>
      <c r="I546" s="9" t="str">
        <f t="shared" si="40"/>
        <v>Wednesday</v>
      </c>
      <c r="J546" s="9" t="str">
        <f t="shared" si="41"/>
        <v>October</v>
      </c>
      <c r="K546" s="2">
        <v>7.7699999809999998</v>
      </c>
      <c r="L546" s="2">
        <v>7.7699999809999998</v>
      </c>
      <c r="M546" s="2">
        <v>0</v>
      </c>
      <c r="N546" s="2">
        <v>3.3499999049999998</v>
      </c>
      <c r="O546" s="2">
        <v>1.1599999670000001</v>
      </c>
      <c r="P546" s="2">
        <v>3.2599999899999998</v>
      </c>
      <c r="Q546" s="2">
        <v>0</v>
      </c>
      <c r="R546" s="2">
        <v>46</v>
      </c>
      <c r="S546" s="2">
        <v>31</v>
      </c>
      <c r="T546" s="2">
        <v>214</v>
      </c>
      <c r="U546" s="2">
        <f t="shared" si="42"/>
        <v>291</v>
      </c>
      <c r="V546" s="2">
        <v>746</v>
      </c>
      <c r="W546" s="2">
        <v>12207</v>
      </c>
      <c r="X546" s="2">
        <f t="shared" si="43"/>
        <v>12207</v>
      </c>
      <c r="Y546" s="2">
        <v>1859</v>
      </c>
      <c r="Z546" t="str" cm="1">
        <f t="array" ref="Z546">_xlfn.IFS(OR(R546&gt;66, S546&gt;38), "High Engagement", OR(AND(R546&gt;32, R546&lt;=66), AND(S546&gt;19, S546&lt;=38)), "Medium-High Engagement", OR(AND(R546&gt;4, R546&lt;=32), AND(S546&gt;6, S546&lt;=19)),"Medium Engagement", TRUE, "Low Engagement"
)</f>
        <v>Medium-High Engagement</v>
      </c>
      <c r="AA546">
        <f t="shared" si="44"/>
        <v>0.15228966986155484</v>
      </c>
    </row>
    <row r="547" spans="1:27" x14ac:dyDescent="0.35">
      <c r="A547" s="2">
        <v>1503960366</v>
      </c>
      <c r="B547" s="2" t="s">
        <v>82</v>
      </c>
      <c r="C547" s="2">
        <f>VLOOKUP(user_activity!A325,users_details!$A$1:$G$34,5,0)</f>
        <v>30</v>
      </c>
      <c r="D547" s="2" t="str" cm="1">
        <f t="array" ref="D547">_xlfn.IFS( AND(C547&gt;=18, C547&lt;=25), "Emerging Adults",  AND(C547&gt;=26, C547&lt;=35),  "Young Adults",  AND(C547&gt;=36, C547&lt;=45),  "Midlife Adults",  AND(C547&gt;=46, C547&lt;=55), "Mature Adults", C547&gt;=56,  "Older Adults", TRUE, "Age Not Mentioned")</f>
        <v>Young Adults</v>
      </c>
      <c r="E547" s="2" t="str">
        <f>VLOOKUP(user_activity!A325,users_details!$A$1:$G$34,6,0)</f>
        <v>Midtown, Manhattan</v>
      </c>
      <c r="F547" s="2" t="str">
        <f>VLOOKUP(user_activity!A325,users_details!$A$1:$G$34,7,0)</f>
        <v>Midtown</v>
      </c>
      <c r="G547" s="2" t="s">
        <v>72</v>
      </c>
      <c r="H547" s="7">
        <v>42478</v>
      </c>
      <c r="I547" s="9" t="str">
        <f t="shared" si="40"/>
        <v>Monday</v>
      </c>
      <c r="J547" s="9" t="str">
        <f t="shared" si="41"/>
        <v>April</v>
      </c>
      <c r="K547" s="2">
        <v>8.5900001530000001</v>
      </c>
      <c r="L547" s="2">
        <v>8.5900001530000001</v>
      </c>
      <c r="M547" s="2">
        <v>0</v>
      </c>
      <c r="N547" s="2">
        <v>3.25</v>
      </c>
      <c r="O547" s="2">
        <v>0.63999998599999997</v>
      </c>
      <c r="P547" s="2">
        <v>4.7100000380000004</v>
      </c>
      <c r="Q547" s="2">
        <v>0</v>
      </c>
      <c r="R547" s="2">
        <v>42</v>
      </c>
      <c r="S547" s="2">
        <v>16</v>
      </c>
      <c r="T547" s="2">
        <v>233</v>
      </c>
      <c r="U547" s="2">
        <f t="shared" si="42"/>
        <v>291</v>
      </c>
      <c r="V547" s="2">
        <v>1149</v>
      </c>
      <c r="W547" s="2">
        <v>13019</v>
      </c>
      <c r="X547" s="2">
        <f t="shared" si="43"/>
        <v>13019</v>
      </c>
      <c r="Y547" s="2">
        <v>1921</v>
      </c>
      <c r="Z547" t="str" cm="1">
        <f t="array" ref="Z547">_xlfn.IFS(OR(R547&gt;66, S547&gt;38), "High Engagement", OR(AND(R547&gt;32, R547&lt;=66), AND(S547&gt;19, S547&lt;=38)), "Medium-High Engagement", OR(AND(R547&gt;4, R547&lt;=32), AND(S547&gt;6, S547&lt;=19)),"Medium Engagement", TRUE, "Low Engagement"
)</f>
        <v>Medium-High Engagement</v>
      </c>
      <c r="AA547">
        <f t="shared" si="44"/>
        <v>0.14755357554343651</v>
      </c>
    </row>
    <row r="548" spans="1:27" x14ac:dyDescent="0.35">
      <c r="A548" s="2">
        <v>1503960366</v>
      </c>
      <c r="B548" s="2" t="s">
        <v>82</v>
      </c>
      <c r="C548" s="2">
        <f>VLOOKUP(user_activity!A350,users_details!$A$1:$G$34,5,0)</f>
        <v>31</v>
      </c>
      <c r="D548" s="2" t="str" cm="1">
        <f t="array" ref="D548">_xlfn.IFS( AND(C548&gt;=18, C548&lt;=25), "Emerging Adults",  AND(C548&gt;=26, C548&lt;=35),  "Young Adults",  AND(C548&gt;=36, C548&lt;=45),  "Midlife Adults",  AND(C548&gt;=46, C548&lt;=55), "Mature Adults", C548&gt;=56,  "Older Adults", TRUE, "Age Not Mentioned")</f>
        <v>Young Adults</v>
      </c>
      <c r="E548" s="2" t="str">
        <f>VLOOKUP(user_activity!A350,users_details!$A$1:$G$34,6,0)</f>
        <v>Midtown, Manhattan</v>
      </c>
      <c r="F548" s="2" t="str">
        <f>VLOOKUP(user_activity!A350,users_details!$A$1:$G$34,7,0)</f>
        <v>Midtown</v>
      </c>
      <c r="G548" s="2" t="s">
        <v>72</v>
      </c>
      <c r="H548" s="7">
        <v>42526</v>
      </c>
      <c r="I548" s="9" t="str">
        <f t="shared" si="40"/>
        <v>Sunday</v>
      </c>
      <c r="J548" s="9" t="str">
        <f t="shared" si="41"/>
        <v>June</v>
      </c>
      <c r="K548" s="2">
        <v>8.0299997330000004</v>
      </c>
      <c r="L548" s="2">
        <v>8.0299997330000004</v>
      </c>
      <c r="M548" s="2">
        <v>0</v>
      </c>
      <c r="N548" s="2">
        <v>1.9700000289999999</v>
      </c>
      <c r="O548" s="2">
        <v>0.25</v>
      </c>
      <c r="P548" s="2">
        <v>5.8099999430000002</v>
      </c>
      <c r="Q548" s="2">
        <v>0</v>
      </c>
      <c r="R548" s="2">
        <v>24</v>
      </c>
      <c r="S548" s="2">
        <v>6</v>
      </c>
      <c r="T548" s="2">
        <v>289</v>
      </c>
      <c r="U548" s="2">
        <f t="shared" si="42"/>
        <v>319</v>
      </c>
      <c r="V548" s="2">
        <v>754</v>
      </c>
      <c r="W548" s="2">
        <v>12159</v>
      </c>
      <c r="X548" s="2">
        <f t="shared" si="43"/>
        <v>12159</v>
      </c>
      <c r="Y548" s="2">
        <v>1896</v>
      </c>
      <c r="Z548" t="str" cm="1">
        <f t="array" ref="Z548">_xlfn.IFS(OR(R548&gt;66, S548&gt;38), "High Engagement", OR(AND(R548&gt;32, R548&lt;=66), AND(S548&gt;19, S548&lt;=38)), "Medium-High Engagement", OR(AND(R548&gt;4, R548&lt;=32), AND(S548&gt;6, S548&lt;=19)),"Medium Engagement", TRUE, "Low Engagement"
)</f>
        <v>Medium Engagement</v>
      </c>
      <c r="AA548">
        <f t="shared" si="44"/>
        <v>0.15593387614113002</v>
      </c>
    </row>
    <row r="549" spans="1:27" x14ac:dyDescent="0.35">
      <c r="A549" s="2">
        <v>8583815059</v>
      </c>
      <c r="B549" s="2" t="s">
        <v>92</v>
      </c>
      <c r="C549" s="2">
        <f>VLOOKUP(user_activity!A357,users_details!$A$1:$G$34,5,0)</f>
        <v>31</v>
      </c>
      <c r="D549" s="2" t="str" cm="1">
        <f t="array" ref="D549">_xlfn.IFS( AND(C549&gt;=18, C549&lt;=25), "Emerging Adults",  AND(C549&gt;=26, C549&lt;=35),  "Young Adults",  AND(C549&gt;=36, C549&lt;=45),  "Midlife Adults",  AND(C549&gt;=46, C549&lt;=55), "Mature Adults", C549&gt;=56,  "Older Adults", TRUE, "Age Not Mentioned")</f>
        <v>Young Adults</v>
      </c>
      <c r="E549" s="2" t="str">
        <f>VLOOKUP(user_activity!A357,users_details!$A$1:$G$34,6,0)</f>
        <v>Midtown, Manhattan</v>
      </c>
      <c r="F549" s="2" t="str">
        <f>VLOOKUP(user_activity!A357,users_details!$A$1:$G$34,7,0)</f>
        <v>Midtown</v>
      </c>
      <c r="G549" s="2" t="s">
        <v>72</v>
      </c>
      <c r="H549" s="7">
        <v>42485</v>
      </c>
      <c r="I549" s="9" t="str">
        <f t="shared" si="40"/>
        <v>Monday</v>
      </c>
      <c r="J549" s="9" t="str">
        <f t="shared" si="41"/>
        <v>April</v>
      </c>
      <c r="K549" s="2">
        <v>3.5099999899999998</v>
      </c>
      <c r="L549" s="2">
        <v>3.5099999899999998</v>
      </c>
      <c r="M549" s="2">
        <v>0</v>
      </c>
      <c r="N549" s="2">
        <v>1.4700000289999999</v>
      </c>
      <c r="O549" s="2">
        <v>0.23999999499999999</v>
      </c>
      <c r="P549" s="2">
        <v>1.809999943</v>
      </c>
      <c r="Q549" s="2">
        <v>0</v>
      </c>
      <c r="R549" s="2">
        <v>18</v>
      </c>
      <c r="S549" s="2">
        <v>6</v>
      </c>
      <c r="T549" s="2">
        <v>122</v>
      </c>
      <c r="U549" s="2">
        <f t="shared" si="42"/>
        <v>146</v>
      </c>
      <c r="V549" s="2">
        <v>1294</v>
      </c>
      <c r="W549" s="2">
        <v>4503</v>
      </c>
      <c r="X549" s="2">
        <f t="shared" si="43"/>
        <v>4503</v>
      </c>
      <c r="Y549" s="2">
        <v>2547</v>
      </c>
      <c r="Z549" t="str" cm="1">
        <f t="array" ref="Z549">_xlfn.IFS(OR(R549&gt;66, S549&gt;38), "High Engagement", OR(AND(R549&gt;32, R549&lt;=66), AND(S549&gt;19, S549&lt;=38)), "Medium-High Engagement", OR(AND(R549&gt;4, R549&lt;=32), AND(S549&gt;6, S549&lt;=19)),"Medium Engagement", TRUE, "Low Engagement"
)</f>
        <v>Medium Engagement</v>
      </c>
      <c r="AA549">
        <f t="shared" si="44"/>
        <v>0.56562291805463027</v>
      </c>
    </row>
    <row r="550" spans="1:27" x14ac:dyDescent="0.35">
      <c r="A550" s="2">
        <v>1503960366</v>
      </c>
      <c r="B550" s="2" t="s">
        <v>82</v>
      </c>
      <c r="C550" s="2">
        <f>VLOOKUP(user_activity!A364,users_details!$A$1:$G$34,5,0)</f>
        <v>31</v>
      </c>
      <c r="D550" s="2" t="str" cm="1">
        <f t="array" ref="D550">_xlfn.IFS( AND(C550&gt;=18, C550&lt;=25), "Emerging Adults",  AND(C550&gt;=26, C550&lt;=35),  "Young Adults",  AND(C550&gt;=36, C550&lt;=45),  "Midlife Adults",  AND(C550&gt;=46, C550&lt;=55), "Mature Adults", C550&gt;=56,  "Older Adults", TRUE, "Age Not Mentioned")</f>
        <v>Young Adults</v>
      </c>
      <c r="E550" s="2" t="str">
        <f>VLOOKUP(user_activity!A364,users_details!$A$1:$G$34,6,0)</f>
        <v>Midtown, Manhattan</v>
      </c>
      <c r="F550" s="2" t="str">
        <f>VLOOKUP(user_activity!A364,users_details!$A$1:$G$34,7,0)</f>
        <v>Midtown</v>
      </c>
      <c r="G550" s="2" t="s">
        <v>72</v>
      </c>
      <c r="H550" s="7">
        <v>42490</v>
      </c>
      <c r="I550" s="9" t="str">
        <f t="shared" si="40"/>
        <v>Saturday</v>
      </c>
      <c r="J550" s="9" t="str">
        <f t="shared" si="41"/>
        <v>April</v>
      </c>
      <c r="K550" s="2">
        <v>9.25</v>
      </c>
      <c r="L550" s="2">
        <v>9.25</v>
      </c>
      <c r="M550" s="2">
        <v>0</v>
      </c>
      <c r="N550" s="2">
        <v>3.5599999430000002</v>
      </c>
      <c r="O550" s="2">
        <v>1.4199999569999999</v>
      </c>
      <c r="P550" s="2">
        <v>4.2699999809999998</v>
      </c>
      <c r="Q550" s="2">
        <v>0</v>
      </c>
      <c r="R550" s="2">
        <v>52</v>
      </c>
      <c r="S550" s="2">
        <v>34</v>
      </c>
      <c r="T550" s="2">
        <v>217</v>
      </c>
      <c r="U550" s="2">
        <f t="shared" si="42"/>
        <v>303</v>
      </c>
      <c r="V550" s="2">
        <v>712</v>
      </c>
      <c r="W550" s="2">
        <v>14673</v>
      </c>
      <c r="X550" s="2">
        <f t="shared" si="43"/>
        <v>14673</v>
      </c>
      <c r="Y550" s="2">
        <v>1947</v>
      </c>
      <c r="Z550" t="str" cm="1">
        <f t="array" ref="Z550">_xlfn.IFS(OR(R550&gt;66, S550&gt;38), "High Engagement", OR(AND(R550&gt;32, R550&lt;=66), AND(S550&gt;19, S550&lt;=38)), "Medium-High Engagement", OR(AND(R550&gt;4, R550&lt;=32), AND(S550&gt;6, S550&lt;=19)),"Medium Engagement", TRUE, "Low Engagement"
)</f>
        <v>Medium-High Engagement</v>
      </c>
      <c r="AA550">
        <f t="shared" si="44"/>
        <v>0.13269270087916582</v>
      </c>
    </row>
    <row r="551" spans="1:27" x14ac:dyDescent="0.35">
      <c r="A551" s="2">
        <v>1503960366</v>
      </c>
      <c r="B551" s="2" t="s">
        <v>82</v>
      </c>
      <c r="C551" s="2">
        <f>VLOOKUP(user_activity!A376,users_details!$A$1:$G$34,5,0)</f>
        <v>31</v>
      </c>
      <c r="D551" s="2" t="str" cm="1">
        <f t="array" ref="D551">_xlfn.IFS( AND(C551&gt;=18, C551&lt;=25), "Emerging Adults",  AND(C551&gt;=26, C551&lt;=35),  "Young Adults",  AND(C551&gt;=36, C551&lt;=45),  "Midlife Adults",  AND(C551&gt;=46, C551&lt;=55), "Mature Adults", C551&gt;=56,  "Older Adults", TRUE, "Age Not Mentioned")</f>
        <v>Young Adults</v>
      </c>
      <c r="E551" s="2" t="str">
        <f>VLOOKUP(user_activity!A376,users_details!$A$1:$G$34,6,0)</f>
        <v>Midtown, Manhattan</v>
      </c>
      <c r="F551" s="2" t="str">
        <f>VLOOKUP(user_activity!A376,users_details!$A$1:$G$34,7,0)</f>
        <v>Midtown</v>
      </c>
      <c r="G551" s="2" t="s">
        <v>72</v>
      </c>
      <c r="H551" s="7">
        <v>42484</v>
      </c>
      <c r="I551" s="9" t="str">
        <f t="shared" si="40"/>
        <v>Sunday</v>
      </c>
      <c r="J551" s="9" t="str">
        <f t="shared" si="41"/>
        <v>April</v>
      </c>
      <c r="K551" s="2">
        <v>6.4099998469999999</v>
      </c>
      <c r="L551" s="2">
        <v>6.4099998469999999</v>
      </c>
      <c r="M551" s="2">
        <v>0</v>
      </c>
      <c r="N551" s="2">
        <v>2.920000076</v>
      </c>
      <c r="O551" s="2">
        <v>0.209999993</v>
      </c>
      <c r="P551" s="2">
        <v>3.2799999710000001</v>
      </c>
      <c r="Q551" s="2">
        <v>0</v>
      </c>
      <c r="R551" s="2">
        <v>39</v>
      </c>
      <c r="S551" s="2">
        <v>5</v>
      </c>
      <c r="T551" s="2">
        <v>238</v>
      </c>
      <c r="U551" s="2">
        <f t="shared" si="42"/>
        <v>282</v>
      </c>
      <c r="V551" s="2">
        <v>709</v>
      </c>
      <c r="W551" s="2">
        <v>10039</v>
      </c>
      <c r="X551" s="2">
        <f t="shared" si="43"/>
        <v>10039</v>
      </c>
      <c r="Y551" s="2">
        <v>1788</v>
      </c>
      <c r="Z551" t="str" cm="1">
        <f t="array" ref="Z551">_xlfn.IFS(OR(R551&gt;66, S551&gt;38), "High Engagement", OR(AND(R551&gt;32, R551&lt;=66), AND(S551&gt;19, S551&lt;=38)), "Medium-High Engagement", OR(AND(R551&gt;4, R551&lt;=32), AND(S551&gt;6, S551&lt;=19)),"Medium Engagement", TRUE, "Low Engagement"
)</f>
        <v>Medium-High Engagement</v>
      </c>
      <c r="AA551">
        <f t="shared" si="44"/>
        <v>0.17810538898296643</v>
      </c>
    </row>
    <row r="552" spans="1:27" x14ac:dyDescent="0.35">
      <c r="A552" s="2">
        <v>8583815059</v>
      </c>
      <c r="B552" s="2" t="s">
        <v>92</v>
      </c>
      <c r="C552" s="2">
        <f>VLOOKUP(user_activity!A410,users_details!$A$1:$G$34,5,0)</f>
        <v>32</v>
      </c>
      <c r="D552" s="2" t="str" cm="1">
        <f t="array" ref="D552">_xlfn.IFS( AND(C552&gt;=18, C552&lt;=25), "Emerging Adults",  AND(C552&gt;=26, C552&lt;=35),  "Young Adults",  AND(C552&gt;=36, C552&lt;=45),  "Midlife Adults",  AND(C552&gt;=46, C552&lt;=55), "Mature Adults", C552&gt;=56,  "Older Adults", TRUE, "Age Not Mentioned")</f>
        <v>Young Adults</v>
      </c>
      <c r="E552" s="2" t="str">
        <f>VLOOKUP(user_activity!A410,users_details!$A$1:$G$34,6,0)</f>
        <v>Greenpoint, Brooklyn</v>
      </c>
      <c r="F552" s="2" t="str">
        <f>VLOOKUP(user_activity!A410,users_details!$A$1:$G$34,7,0)</f>
        <v>Greenpoint</v>
      </c>
      <c r="G552" s="2" t="s">
        <v>72</v>
      </c>
      <c r="H552" s="7">
        <v>42486</v>
      </c>
      <c r="I552" s="9" t="str">
        <f t="shared" si="40"/>
        <v>Tuesday</v>
      </c>
      <c r="J552" s="9" t="str">
        <f t="shared" si="41"/>
        <v>April</v>
      </c>
      <c r="K552" s="2">
        <v>8.1899995800000003</v>
      </c>
      <c r="L552" s="2">
        <v>8.1899995800000003</v>
      </c>
      <c r="M552" s="2">
        <v>0</v>
      </c>
      <c r="N552" s="2">
        <v>7.0000000000000007E-2</v>
      </c>
      <c r="O552" s="2">
        <v>4.2199997900000001</v>
      </c>
      <c r="P552" s="2">
        <v>3.8900001049999999</v>
      </c>
      <c r="Q552" s="2">
        <v>0</v>
      </c>
      <c r="R552" s="2">
        <v>1</v>
      </c>
      <c r="S552" s="2">
        <v>91</v>
      </c>
      <c r="T552" s="2">
        <v>214</v>
      </c>
      <c r="U552" s="2">
        <f t="shared" si="42"/>
        <v>306</v>
      </c>
      <c r="V552" s="2">
        <v>1134</v>
      </c>
      <c r="W552" s="2">
        <v>10499</v>
      </c>
      <c r="X552" s="2">
        <f t="shared" si="43"/>
        <v>10499</v>
      </c>
      <c r="Y552" s="2">
        <v>3093</v>
      </c>
      <c r="Z552" t="str" cm="1">
        <f t="array" ref="Z552">_xlfn.IFS(OR(R552&gt;66, S552&gt;38), "High Engagement", OR(AND(R552&gt;32, R552&lt;=66), AND(S552&gt;19, S552&lt;=38)), "Medium-High Engagement", OR(AND(R552&gt;4, R552&lt;=32), AND(S552&gt;6, S552&lt;=19)),"Medium Engagement", TRUE, "Low Engagement"
)</f>
        <v>High Engagement</v>
      </c>
      <c r="AA552">
        <f t="shared" si="44"/>
        <v>0.29459948566530147</v>
      </c>
    </row>
    <row r="553" spans="1:27" x14ac:dyDescent="0.35">
      <c r="A553" s="2">
        <v>8583815059</v>
      </c>
      <c r="B553" s="2" t="s">
        <v>92</v>
      </c>
      <c r="C553" s="2">
        <f>VLOOKUP(user_activity!A411,users_details!$A$1:$G$34,5,0)</f>
        <v>32</v>
      </c>
      <c r="D553" s="2" t="str" cm="1">
        <f t="array" ref="D553">_xlfn.IFS( AND(C553&gt;=18, C553&lt;=25), "Emerging Adults",  AND(C553&gt;=26, C553&lt;=35),  "Young Adults",  AND(C553&gt;=36, C553&lt;=45),  "Midlife Adults",  AND(C553&gt;=46, C553&lt;=55), "Mature Adults", C553&gt;=56,  "Older Adults", TRUE, "Age Not Mentioned")</f>
        <v>Young Adults</v>
      </c>
      <c r="E553" s="2" t="str">
        <f>VLOOKUP(user_activity!A411,users_details!$A$1:$G$34,6,0)</f>
        <v>Greenpoint, Brooklyn</v>
      </c>
      <c r="F553" s="2" t="str">
        <f>VLOOKUP(user_activity!A411,users_details!$A$1:$G$34,7,0)</f>
        <v>Greenpoint</v>
      </c>
      <c r="G553" s="2" t="s">
        <v>72</v>
      </c>
      <c r="H553" s="7">
        <v>42556</v>
      </c>
      <c r="I553" s="9" t="str">
        <f t="shared" si="40"/>
        <v>Tuesday</v>
      </c>
      <c r="J553" s="9" t="str">
        <f t="shared" si="41"/>
        <v>July</v>
      </c>
      <c r="K553" s="2">
        <v>4.7699999809999998</v>
      </c>
      <c r="L553" s="2">
        <v>4.7699999809999998</v>
      </c>
      <c r="M553" s="2">
        <v>0</v>
      </c>
      <c r="N553" s="2">
        <v>0</v>
      </c>
      <c r="O553" s="2">
        <v>0</v>
      </c>
      <c r="P553" s="2">
        <v>4.7699999809999998</v>
      </c>
      <c r="Q553" s="2">
        <v>0</v>
      </c>
      <c r="R553" s="2">
        <v>0</v>
      </c>
      <c r="S553" s="2">
        <v>0</v>
      </c>
      <c r="T553" s="2">
        <v>250</v>
      </c>
      <c r="U553" s="2">
        <f t="shared" si="42"/>
        <v>250</v>
      </c>
      <c r="V553" s="2">
        <v>1190</v>
      </c>
      <c r="W553" s="2">
        <v>6117</v>
      </c>
      <c r="X553" s="2">
        <f t="shared" si="43"/>
        <v>6117</v>
      </c>
      <c r="Y553" s="2">
        <v>2810</v>
      </c>
      <c r="Z553" t="str" cm="1">
        <f t="array" ref="Z553">_xlfn.IFS(OR(R553&gt;66, S553&gt;38), "High Engagement", OR(AND(R553&gt;32, R553&lt;=66), AND(S553&gt;19, S553&lt;=38)), "Medium-High Engagement", OR(AND(R553&gt;4, R553&lt;=32), AND(S553&gt;6, S553&lt;=19)),"Medium Engagement", TRUE, "Low Engagement"
)</f>
        <v>Low Engagement</v>
      </c>
      <c r="AA553">
        <f t="shared" si="44"/>
        <v>0.45937551087134215</v>
      </c>
    </row>
    <row r="554" spans="1:27" x14ac:dyDescent="0.35">
      <c r="A554" s="2">
        <v>1503960366</v>
      </c>
      <c r="B554" s="2" t="s">
        <v>82</v>
      </c>
      <c r="C554" s="2">
        <f>VLOOKUP(user_activity!A416,users_details!$A$1:$G$34,5,0)</f>
        <v>32</v>
      </c>
      <c r="D554" s="2" t="str" cm="1">
        <f t="array" ref="D554">_xlfn.IFS( AND(C554&gt;=18, C554&lt;=25), "Emerging Adults",  AND(C554&gt;=26, C554&lt;=35),  "Young Adults",  AND(C554&gt;=36, C554&lt;=45),  "Midlife Adults",  AND(C554&gt;=46, C554&lt;=55), "Mature Adults", C554&gt;=56,  "Older Adults", TRUE, "Age Not Mentioned")</f>
        <v>Young Adults</v>
      </c>
      <c r="E554" s="2" t="str">
        <f>VLOOKUP(user_activity!A416,users_details!$A$1:$G$34,6,0)</f>
        <v>Greenpoint, Brooklyn</v>
      </c>
      <c r="F554" s="2" t="str">
        <f>VLOOKUP(user_activity!A416,users_details!$A$1:$G$34,7,0)</f>
        <v>Greenpoint</v>
      </c>
      <c r="G554" s="2" t="s">
        <v>72</v>
      </c>
      <c r="H554" s="7">
        <v>42483</v>
      </c>
      <c r="I554" s="9" t="str">
        <f t="shared" si="40"/>
        <v>Saturday</v>
      </c>
      <c r="J554" s="9" t="str">
        <f t="shared" si="41"/>
        <v>April</v>
      </c>
      <c r="K554" s="2">
        <v>9.0399999619999996</v>
      </c>
      <c r="L554" s="2">
        <v>9.0399999619999996</v>
      </c>
      <c r="M554" s="2">
        <v>0</v>
      </c>
      <c r="N554" s="2">
        <v>2.8099999430000002</v>
      </c>
      <c r="O554" s="2">
        <v>0.87000000499999997</v>
      </c>
      <c r="P554" s="2">
        <v>5.3600001339999999</v>
      </c>
      <c r="Q554" s="2">
        <v>0</v>
      </c>
      <c r="R554" s="2">
        <v>41</v>
      </c>
      <c r="S554" s="2">
        <v>21</v>
      </c>
      <c r="T554" s="2">
        <v>262</v>
      </c>
      <c r="U554" s="2">
        <f t="shared" si="42"/>
        <v>324</v>
      </c>
      <c r="V554" s="2">
        <v>732</v>
      </c>
      <c r="W554" s="2">
        <v>14371</v>
      </c>
      <c r="X554" s="2">
        <f t="shared" si="43"/>
        <v>14371</v>
      </c>
      <c r="Y554" s="2">
        <v>1949</v>
      </c>
      <c r="Z554" t="str" cm="1">
        <f t="array" ref="Z554">_xlfn.IFS(OR(R554&gt;66, S554&gt;38), "High Engagement", OR(AND(R554&gt;32, R554&lt;=66), AND(S554&gt;19, S554&lt;=38)), "Medium-High Engagement", OR(AND(R554&gt;4, R554&lt;=32), AND(S554&gt;6, S554&lt;=19)),"Medium Engagement", TRUE, "Low Engagement"
)</f>
        <v>Medium-High Engagement</v>
      </c>
      <c r="AA554">
        <f t="shared" si="44"/>
        <v>0.13562034653120869</v>
      </c>
    </row>
    <row r="555" spans="1:27" x14ac:dyDescent="0.35">
      <c r="A555" s="2">
        <v>8583815059</v>
      </c>
      <c r="B555" s="2" t="s">
        <v>92</v>
      </c>
      <c r="C555" s="2">
        <f>VLOOKUP(user_activity!A423,users_details!$A$1:$G$34,5,0)</f>
        <v>32</v>
      </c>
      <c r="D555" s="2" t="str" cm="1">
        <f t="array" ref="D555">_xlfn.IFS( AND(C555&gt;=18, C555&lt;=25), "Emerging Adults",  AND(C555&gt;=26, C555&lt;=35),  "Young Adults",  AND(C555&gt;=36, C555&lt;=45),  "Midlife Adults",  AND(C555&gt;=46, C555&lt;=55), "Mature Adults", C555&gt;=56,  "Older Adults", TRUE, "Age Not Mentioned")</f>
        <v>Young Adults</v>
      </c>
      <c r="E555" s="2" t="str">
        <f>VLOOKUP(user_activity!A423,users_details!$A$1:$G$34,6,0)</f>
        <v>East Harlem, Manhattan</v>
      </c>
      <c r="F555" s="2" t="str">
        <f>VLOOKUP(user_activity!A423,users_details!$A$1:$G$34,7,0)</f>
        <v>East Harlem</v>
      </c>
      <c r="G555" s="2" t="s">
        <v>72</v>
      </c>
      <c r="H555" s="7">
        <v>42489</v>
      </c>
      <c r="I555" s="9" t="str">
        <f t="shared" si="40"/>
        <v>Friday</v>
      </c>
      <c r="J555" s="9" t="str">
        <f t="shared" si="41"/>
        <v>April</v>
      </c>
      <c r="K555" s="2">
        <v>11.829999920000001</v>
      </c>
      <c r="L555" s="2">
        <v>11.829999920000001</v>
      </c>
      <c r="M555" s="2">
        <v>0</v>
      </c>
      <c r="N555" s="2">
        <v>3.9000000950000002</v>
      </c>
      <c r="O555" s="2">
        <v>3</v>
      </c>
      <c r="P555" s="2">
        <v>4.920000076</v>
      </c>
      <c r="Q555" s="2">
        <v>0</v>
      </c>
      <c r="R555" s="2">
        <v>46</v>
      </c>
      <c r="S555" s="2">
        <v>67</v>
      </c>
      <c r="T555" s="2">
        <v>258</v>
      </c>
      <c r="U555" s="2">
        <f t="shared" si="42"/>
        <v>371</v>
      </c>
      <c r="V555" s="2">
        <v>1069</v>
      </c>
      <c r="W555" s="2">
        <v>15168</v>
      </c>
      <c r="X555" s="2">
        <f t="shared" si="43"/>
        <v>15168</v>
      </c>
      <c r="Y555" s="2">
        <v>3513</v>
      </c>
      <c r="Z555" t="str" cm="1">
        <f t="array" ref="Z555">_xlfn.IFS(OR(R555&gt;66, S555&gt;38), "High Engagement", OR(AND(R555&gt;32, R555&lt;=66), AND(S555&gt;19, S555&lt;=38)), "Medium-High Engagement", OR(AND(R555&gt;4, R555&lt;=32), AND(S555&gt;6, S555&lt;=19)),"Medium Engagement", TRUE, "Low Engagement"
)</f>
        <v>High Engagement</v>
      </c>
      <c r="AA555">
        <f t="shared" si="44"/>
        <v>0.23160601265822786</v>
      </c>
    </row>
    <row r="556" spans="1:27" x14ac:dyDescent="0.35">
      <c r="A556" s="2">
        <v>8583815059</v>
      </c>
      <c r="B556" s="2" t="s">
        <v>92</v>
      </c>
      <c r="C556" s="2">
        <f>VLOOKUP(user_activity!A424,users_details!$A$1:$G$34,5,0)</f>
        <v>32</v>
      </c>
      <c r="D556" s="2" t="str" cm="1">
        <f t="array" ref="D556">_xlfn.IFS( AND(C556&gt;=18, C556&lt;=25), "Emerging Adults",  AND(C556&gt;=26, C556&lt;=35),  "Young Adults",  AND(C556&gt;=36, C556&lt;=45),  "Midlife Adults",  AND(C556&gt;=46, C556&lt;=55), "Mature Adults", C556&gt;=56,  "Older Adults", TRUE, "Age Not Mentioned")</f>
        <v>Young Adults</v>
      </c>
      <c r="E556" s="2" t="str">
        <f>VLOOKUP(user_activity!A424,users_details!$A$1:$G$34,6,0)</f>
        <v>Greenpoint, Brooklyn</v>
      </c>
      <c r="F556" s="2" t="str">
        <f>VLOOKUP(user_activity!A424,users_details!$A$1:$G$34,7,0)</f>
        <v>Greenpoint</v>
      </c>
      <c r="G556" s="2" t="s">
        <v>72</v>
      </c>
      <c r="H556" s="7">
        <v>42476</v>
      </c>
      <c r="I556" s="9" t="str">
        <f t="shared" si="40"/>
        <v>Saturday</v>
      </c>
      <c r="J556" s="9" t="str">
        <f t="shared" si="41"/>
        <v>April</v>
      </c>
      <c r="K556" s="2">
        <v>4.1500000950000002</v>
      </c>
      <c r="L556" s="2">
        <v>4.1500000950000002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f t="shared" si="42"/>
        <v>0</v>
      </c>
      <c r="V556" s="2">
        <v>1440</v>
      </c>
      <c r="W556" s="2">
        <v>5319</v>
      </c>
      <c r="X556" s="2">
        <f t="shared" si="43"/>
        <v>5319</v>
      </c>
      <c r="Y556" s="2">
        <v>2693</v>
      </c>
      <c r="Z556" t="str" cm="1">
        <f t="array" ref="Z556">_xlfn.IFS(OR(R556&gt;66, S556&gt;38), "High Engagement", OR(AND(R556&gt;32, R556&lt;=66), AND(S556&gt;19, S556&lt;=38)), "Medium-High Engagement", OR(AND(R556&gt;4, R556&lt;=32), AND(S556&gt;6, S556&lt;=19)),"Medium Engagement", TRUE, "Low Engagement"
)</f>
        <v>Low Engagement</v>
      </c>
      <c r="AA556">
        <f t="shared" si="44"/>
        <v>0.50629817634893781</v>
      </c>
    </row>
    <row r="557" spans="1:27" x14ac:dyDescent="0.35">
      <c r="A557" s="2">
        <v>8583815059</v>
      </c>
      <c r="B557" s="2" t="s">
        <v>92</v>
      </c>
      <c r="C557" s="2">
        <f>VLOOKUP(user_activity!A426,users_details!$A$1:$G$34,5,0)</f>
        <v>32</v>
      </c>
      <c r="D557" s="2" t="str" cm="1">
        <f t="array" ref="D557">_xlfn.IFS( AND(C557&gt;=18, C557&lt;=25), "Emerging Adults",  AND(C557&gt;=26, C557&lt;=35),  "Young Adults",  AND(C557&gt;=36, C557&lt;=45),  "Midlife Adults",  AND(C557&gt;=46, C557&lt;=55), "Mature Adults", C557&gt;=56,  "Older Adults", TRUE, "Age Not Mentioned")</f>
        <v>Young Adults</v>
      </c>
      <c r="E557" s="2" t="str">
        <f>VLOOKUP(user_activity!A426,users_details!$A$1:$G$34,6,0)</f>
        <v>East Harlem, Manhattan</v>
      </c>
      <c r="F557" s="2" t="str">
        <f>VLOOKUP(user_activity!A426,users_details!$A$1:$G$34,7,0)</f>
        <v>East Harlem</v>
      </c>
      <c r="G557" s="2" t="s">
        <v>72</v>
      </c>
      <c r="H557" s="7">
        <v>42708</v>
      </c>
      <c r="I557" s="9" t="str">
        <f t="shared" si="40"/>
        <v>Sunday</v>
      </c>
      <c r="J557" s="9" t="str">
        <f t="shared" si="41"/>
        <v>December</v>
      </c>
      <c r="K557" s="2">
        <v>3.9100000860000002</v>
      </c>
      <c r="L557" s="2">
        <v>3.9100000860000002</v>
      </c>
      <c r="M557" s="2">
        <v>0</v>
      </c>
      <c r="N557" s="2">
        <v>0</v>
      </c>
      <c r="O557" s="2">
        <v>0.33000001299999998</v>
      </c>
      <c r="P557" s="2">
        <v>3.579999924</v>
      </c>
      <c r="Q557" s="2">
        <v>0</v>
      </c>
      <c r="R557" s="2">
        <v>0</v>
      </c>
      <c r="S557" s="2">
        <v>7</v>
      </c>
      <c r="T557" s="2">
        <v>196</v>
      </c>
      <c r="U557" s="2">
        <f t="shared" si="42"/>
        <v>203</v>
      </c>
      <c r="V557" s="2">
        <v>1237</v>
      </c>
      <c r="W557" s="2">
        <v>5014</v>
      </c>
      <c r="X557" s="2">
        <f t="shared" si="43"/>
        <v>5014</v>
      </c>
      <c r="Y557" s="2">
        <v>2650</v>
      </c>
      <c r="Z557" t="str" cm="1">
        <f t="array" ref="Z557">_xlfn.IFS(OR(R557&gt;66, S557&gt;38), "High Engagement", OR(AND(R557&gt;32, R557&lt;=66), AND(S557&gt;19, S557&lt;=38)), "Medium-High Engagement", OR(AND(R557&gt;4, R557&lt;=32), AND(S557&gt;6, S557&lt;=19)),"Medium Engagement", TRUE, "Low Engagement"
)</f>
        <v>Medium Engagement</v>
      </c>
      <c r="AA557">
        <f t="shared" si="44"/>
        <v>0.52852014359792576</v>
      </c>
    </row>
    <row r="558" spans="1:27" x14ac:dyDescent="0.35">
      <c r="A558" s="2">
        <v>1503960366</v>
      </c>
      <c r="B558" s="2" t="s">
        <v>82</v>
      </c>
      <c r="C558" s="2">
        <f>VLOOKUP(user_activity!A443,users_details!$A$1:$G$34,5,0)</f>
        <v>33</v>
      </c>
      <c r="D558" s="2" t="str" cm="1">
        <f t="array" ref="D558">_xlfn.IFS( AND(C558&gt;=18, C558&lt;=25), "Emerging Adults",  AND(C558&gt;=26, C558&lt;=35),  "Young Adults",  AND(C558&gt;=36, C558&lt;=45),  "Midlife Adults",  AND(C558&gt;=46, C558&lt;=55), "Mature Adults", C558&gt;=56,  "Older Adults", TRUE, "Age Not Mentioned")</f>
        <v>Young Adults</v>
      </c>
      <c r="E558" s="2" t="str">
        <f>VLOOKUP(user_activity!A443,users_details!$A$1:$G$34,6,0)</f>
        <v>Harlem, Manhattan</v>
      </c>
      <c r="F558" s="2" t="str">
        <f>VLOOKUP(user_activity!A443,users_details!$A$1:$G$34,7,0)</f>
        <v>Harlem</v>
      </c>
      <c r="G558" s="2" t="s">
        <v>72</v>
      </c>
      <c r="H558" s="7">
        <v>42487</v>
      </c>
      <c r="I558" s="9" t="str">
        <f t="shared" si="40"/>
        <v>Wednesday</v>
      </c>
      <c r="J558" s="9" t="str">
        <f t="shared" si="41"/>
        <v>April</v>
      </c>
      <c r="K558" s="2">
        <v>12.210000040000001</v>
      </c>
      <c r="L558" s="2">
        <v>12.210000040000001</v>
      </c>
      <c r="M558" s="2">
        <v>0</v>
      </c>
      <c r="N558" s="2">
        <v>6.4000000950000002</v>
      </c>
      <c r="O558" s="2">
        <v>0.40999999599999998</v>
      </c>
      <c r="P558" s="2">
        <v>5.4099998469999999</v>
      </c>
      <c r="Q558" s="2">
        <v>0</v>
      </c>
      <c r="R558" s="2">
        <v>78</v>
      </c>
      <c r="S558" s="2">
        <v>11</v>
      </c>
      <c r="T558" s="2">
        <v>243</v>
      </c>
      <c r="U558" s="2">
        <f t="shared" si="42"/>
        <v>332</v>
      </c>
      <c r="V558" s="2">
        <v>1108</v>
      </c>
      <c r="W558" s="2">
        <v>18134</v>
      </c>
      <c r="X558" s="2">
        <f t="shared" si="43"/>
        <v>18134</v>
      </c>
      <c r="Y558" s="2">
        <v>2159</v>
      </c>
      <c r="Z558" t="str" cm="1">
        <f t="array" ref="Z558">_xlfn.IFS(OR(R558&gt;66, S558&gt;38), "High Engagement", OR(AND(R558&gt;32, R558&lt;=66), AND(S558&gt;19, S558&lt;=38)), "Medium-High Engagement", OR(AND(R558&gt;4, R558&lt;=32), AND(S558&gt;6, S558&lt;=19)),"Medium Engagement", TRUE, "Low Engagement"
)</f>
        <v>High Engagement</v>
      </c>
      <c r="AA558">
        <f t="shared" si="44"/>
        <v>0.11905812286313003</v>
      </c>
    </row>
    <row r="559" spans="1:27" x14ac:dyDescent="0.35">
      <c r="A559" s="2">
        <v>1503960366</v>
      </c>
      <c r="B559" s="2" t="s">
        <v>82</v>
      </c>
      <c r="C559" s="2">
        <f>VLOOKUP(user_activity!A444,users_details!$A$1:$G$34,5,0)</f>
        <v>33</v>
      </c>
      <c r="D559" s="2" t="str" cm="1">
        <f t="array" ref="D559">_xlfn.IFS( AND(C559&gt;=18, C559&lt;=25), "Emerging Adults",  AND(C559&gt;=26, C559&lt;=35),  "Young Adults",  AND(C559&gt;=36, C559&lt;=45),  "Midlife Adults",  AND(C559&gt;=46, C559&lt;=55), "Mature Adults", C559&gt;=56,  "Older Adults", TRUE, "Age Not Mentioned")</f>
        <v>Young Adults</v>
      </c>
      <c r="E559" s="2" t="str">
        <f>VLOOKUP(user_activity!A444,users_details!$A$1:$G$34,6,0)</f>
        <v>Harlem, Manhattan</v>
      </c>
      <c r="F559" s="2" t="str">
        <f>VLOOKUP(user_activity!A444,users_details!$A$1:$G$34,7,0)</f>
        <v>Harlem</v>
      </c>
      <c r="G559" s="2" t="s">
        <v>72</v>
      </c>
      <c r="H559" s="7">
        <v>42475</v>
      </c>
      <c r="I559" s="9" t="str">
        <f t="shared" si="40"/>
        <v>Friday</v>
      </c>
      <c r="J559" s="9" t="str">
        <f t="shared" si="41"/>
        <v>April</v>
      </c>
      <c r="K559" s="2">
        <v>6.2800002099999999</v>
      </c>
      <c r="L559" s="2">
        <v>6.2800002099999999</v>
      </c>
      <c r="M559" s="2">
        <v>0</v>
      </c>
      <c r="N559" s="2">
        <v>2.1400001049999999</v>
      </c>
      <c r="O559" s="2">
        <v>1.2599999900000001</v>
      </c>
      <c r="P559" s="2">
        <v>2.829999924</v>
      </c>
      <c r="Q559" s="2">
        <v>0</v>
      </c>
      <c r="R559" s="2">
        <v>29</v>
      </c>
      <c r="S559" s="2">
        <v>34</v>
      </c>
      <c r="T559" s="2">
        <v>209</v>
      </c>
      <c r="U559" s="2">
        <f t="shared" si="42"/>
        <v>272</v>
      </c>
      <c r="V559" s="2">
        <v>726</v>
      </c>
      <c r="W559" s="2">
        <v>9762</v>
      </c>
      <c r="X559" s="2">
        <f t="shared" si="43"/>
        <v>9762</v>
      </c>
      <c r="Y559" s="2">
        <v>1745</v>
      </c>
      <c r="Z559" t="str" cm="1">
        <f t="array" ref="Z559">_xlfn.IFS(OR(R559&gt;66, S559&gt;38), "High Engagement", OR(AND(R559&gt;32, R559&lt;=66), AND(S559&gt;19, S559&lt;=38)), "Medium-High Engagement", OR(AND(R559&gt;4, R559&lt;=32), AND(S559&gt;6, S559&lt;=19)),"Medium Engagement", TRUE, "Low Engagement"
)</f>
        <v>Medium-High Engagement</v>
      </c>
      <c r="AA559">
        <f t="shared" si="44"/>
        <v>0.17875435361606229</v>
      </c>
    </row>
    <row r="560" spans="1:27" x14ac:dyDescent="0.35">
      <c r="A560" s="2">
        <v>8583815059</v>
      </c>
      <c r="B560" s="2" t="s">
        <v>92</v>
      </c>
      <c r="C560" s="2">
        <f>VLOOKUP(user_activity!A445,users_details!$A$1:$G$34,5,0)</f>
        <v>33</v>
      </c>
      <c r="D560" s="2" t="str" cm="1">
        <f t="array" ref="D560">_xlfn.IFS( AND(C560&gt;=18, C560&lt;=25), "Emerging Adults",  AND(C560&gt;=26, C560&lt;=35),  "Young Adults",  AND(C560&gt;=36, C560&lt;=45),  "Midlife Adults",  AND(C560&gt;=46, C560&lt;=55), "Mature Adults", C560&gt;=56,  "Older Adults", TRUE, "Age Not Mentioned")</f>
        <v>Young Adults</v>
      </c>
      <c r="E560" s="2" t="str">
        <f>VLOOKUP(user_activity!A445,users_details!$A$1:$G$34,6,0)</f>
        <v>Harlem, Manhattan</v>
      </c>
      <c r="F560" s="2" t="str">
        <f>VLOOKUP(user_activity!A445,users_details!$A$1:$G$34,7,0)</f>
        <v>Harlem</v>
      </c>
      <c r="G560" s="2" t="s">
        <v>72</v>
      </c>
      <c r="H560" s="7">
        <v>42490</v>
      </c>
      <c r="I560" s="9" t="str">
        <f t="shared" si="40"/>
        <v>Saturday</v>
      </c>
      <c r="J560" s="9" t="str">
        <f t="shared" si="41"/>
        <v>April</v>
      </c>
      <c r="K560" s="2">
        <v>7.8699998860000004</v>
      </c>
      <c r="L560" s="2">
        <v>7.8699998860000004</v>
      </c>
      <c r="M560" s="2">
        <v>0</v>
      </c>
      <c r="N560" s="2">
        <v>0.15000000599999999</v>
      </c>
      <c r="O560" s="2">
        <v>1.2799999710000001</v>
      </c>
      <c r="P560" s="2">
        <v>6.4299998279999997</v>
      </c>
      <c r="Q560" s="2">
        <v>0</v>
      </c>
      <c r="R560" s="2">
        <v>2</v>
      </c>
      <c r="S560" s="2">
        <v>28</v>
      </c>
      <c r="T560" s="2">
        <v>317</v>
      </c>
      <c r="U560" s="2">
        <f t="shared" si="42"/>
        <v>347</v>
      </c>
      <c r="V560" s="2">
        <v>1093</v>
      </c>
      <c r="W560" s="2">
        <v>10085</v>
      </c>
      <c r="X560" s="2">
        <f t="shared" si="43"/>
        <v>10085</v>
      </c>
      <c r="Y560" s="2">
        <v>3164</v>
      </c>
      <c r="Z560" t="str" cm="1">
        <f t="array" ref="Z560">_xlfn.IFS(OR(R560&gt;66, S560&gt;38), "High Engagement", OR(AND(R560&gt;32, R560&lt;=66), AND(S560&gt;19, S560&lt;=38)), "Medium-High Engagement", OR(AND(R560&gt;4, R560&lt;=32), AND(S560&gt;6, S560&lt;=19)),"Medium Engagement", TRUE, "Low Engagement"
)</f>
        <v>Medium-High Engagement</v>
      </c>
      <c r="AA560">
        <f t="shared" si="44"/>
        <v>0.31373326722855727</v>
      </c>
    </row>
    <row r="561" spans="1:27" x14ac:dyDescent="0.35">
      <c r="A561" s="2">
        <v>1503960366</v>
      </c>
      <c r="B561" s="2" t="s">
        <v>82</v>
      </c>
      <c r="C561" s="2">
        <f>VLOOKUP(user_activity!A458,users_details!$A$1:$G$34,5,0)</f>
        <v>33</v>
      </c>
      <c r="D561" s="2" t="str" cm="1">
        <f t="array" ref="D561">_xlfn.IFS( AND(C561&gt;=18, C561&lt;=25), "Emerging Adults",  AND(C561&gt;=26, C561&lt;=35),  "Young Adults",  AND(C561&gt;=36, C561&lt;=45),  "Midlife Adults",  AND(C561&gt;=46, C561&lt;=55), "Mature Adults", C561&gt;=56,  "Older Adults", TRUE, "Age Not Mentioned")</f>
        <v>Young Adults</v>
      </c>
      <c r="E561" s="2" t="str">
        <f>VLOOKUP(user_activity!A458,users_details!$A$1:$G$34,6,0)</f>
        <v>Greenpoint, Brooklyn</v>
      </c>
      <c r="F561" s="2" t="str">
        <f>VLOOKUP(user_activity!A458,users_details!$A$1:$G$34,7,0)</f>
        <v>Greenpoint</v>
      </c>
      <c r="G561" s="2" t="s">
        <v>72</v>
      </c>
      <c r="H561" s="7">
        <v>42481</v>
      </c>
      <c r="I561" s="9" t="str">
        <f t="shared" si="40"/>
        <v>Thursday</v>
      </c>
      <c r="J561" s="9" t="str">
        <f t="shared" si="41"/>
        <v>April</v>
      </c>
      <c r="K561" s="2">
        <v>6.3400001530000001</v>
      </c>
      <c r="L561" s="2">
        <v>6.3400001530000001</v>
      </c>
      <c r="M561" s="2">
        <v>0</v>
      </c>
      <c r="N561" s="2">
        <v>1.3400000329999999</v>
      </c>
      <c r="O561" s="2">
        <v>0.34999999399999998</v>
      </c>
      <c r="P561" s="2">
        <v>4.6500000950000002</v>
      </c>
      <c r="Q561" s="2">
        <v>0</v>
      </c>
      <c r="R561" s="2">
        <v>19</v>
      </c>
      <c r="S561" s="2">
        <v>8</v>
      </c>
      <c r="T561" s="2">
        <v>211</v>
      </c>
      <c r="U561" s="2">
        <f t="shared" si="42"/>
        <v>238</v>
      </c>
      <c r="V561" s="2">
        <v>838</v>
      </c>
      <c r="W561" s="2">
        <v>9819</v>
      </c>
      <c r="X561" s="2">
        <f t="shared" si="43"/>
        <v>9819</v>
      </c>
      <c r="Y561" s="2">
        <v>1775</v>
      </c>
      <c r="Z561" t="str" cm="1">
        <f t="array" ref="Z561">_xlfn.IFS(OR(R561&gt;66, S561&gt;38), "High Engagement", OR(AND(R561&gt;32, R561&lt;=66), AND(S561&gt;19, S561&lt;=38)), "Medium-High Engagement", OR(AND(R561&gt;4, R561&lt;=32), AND(S561&gt;6, S561&lt;=19)),"Medium Engagement", TRUE, "Low Engagement"
)</f>
        <v>Medium Engagement</v>
      </c>
      <c r="AA561">
        <f t="shared" si="44"/>
        <v>0.1807719727059782</v>
      </c>
    </row>
    <row r="562" spans="1:27" x14ac:dyDescent="0.35">
      <c r="A562" s="2">
        <v>1503960366</v>
      </c>
      <c r="B562" s="2" t="s">
        <v>82</v>
      </c>
      <c r="C562" s="2">
        <f>VLOOKUP(user_activity!A460,users_details!$A$1:$G$34,5,0)</f>
        <v>33</v>
      </c>
      <c r="D562" s="2" t="str" cm="1">
        <f t="array" ref="D562">_xlfn.IFS( AND(C562&gt;=18, C562&lt;=25), "Emerging Adults",  AND(C562&gt;=26, C562&lt;=35),  "Young Adults",  AND(C562&gt;=36, C562&lt;=45),  "Midlife Adults",  AND(C562&gt;=46, C562&lt;=55), "Mature Adults", C562&gt;=56,  "Older Adults", TRUE, "Age Not Mentioned")</f>
        <v>Young Adults</v>
      </c>
      <c r="E562" s="2" t="str">
        <f>VLOOKUP(user_activity!A460,users_details!$A$1:$G$34,6,0)</f>
        <v>Harlem, Manhattan</v>
      </c>
      <c r="F562" s="2" t="str">
        <f>VLOOKUP(user_activity!A460,users_details!$A$1:$G$34,7,0)</f>
        <v>Harlem</v>
      </c>
      <c r="G562" s="2" t="s">
        <v>72</v>
      </c>
      <c r="H562" s="7">
        <v>42465</v>
      </c>
      <c r="I562" s="9" t="str">
        <f t="shared" si="40"/>
        <v>Tuesday</v>
      </c>
      <c r="J562" s="9" t="str">
        <f t="shared" si="41"/>
        <v>April</v>
      </c>
      <c r="K562" s="2">
        <v>7.1500000950000002</v>
      </c>
      <c r="L562" s="2">
        <v>7.1500000950000002</v>
      </c>
      <c r="M562" s="2">
        <v>0</v>
      </c>
      <c r="N562" s="2">
        <v>2.460000038</v>
      </c>
      <c r="O562" s="2">
        <v>0.87000000499999997</v>
      </c>
      <c r="P562" s="2">
        <v>3.8199999330000001</v>
      </c>
      <c r="Q562" s="2">
        <v>0</v>
      </c>
      <c r="R562" s="2">
        <v>36</v>
      </c>
      <c r="S562" s="2">
        <v>22</v>
      </c>
      <c r="T562" s="2">
        <v>203</v>
      </c>
      <c r="U562" s="2">
        <f t="shared" si="42"/>
        <v>261</v>
      </c>
      <c r="V562" s="2">
        <v>1179</v>
      </c>
      <c r="W562" s="2">
        <v>11100</v>
      </c>
      <c r="X562" s="2">
        <f t="shared" si="43"/>
        <v>11100</v>
      </c>
      <c r="Y562" s="2">
        <v>1819</v>
      </c>
      <c r="Z562" t="str" cm="1">
        <f t="array" ref="Z562">_xlfn.IFS(OR(R562&gt;66, S562&gt;38), "High Engagement", OR(AND(R562&gt;32, R562&lt;=66), AND(S562&gt;19, S562&lt;=38)), "Medium-High Engagement", OR(AND(R562&gt;4, R562&lt;=32), AND(S562&gt;6, S562&lt;=19)),"Medium Engagement", TRUE, "Low Engagement"
)</f>
        <v>Medium-High Engagement</v>
      </c>
      <c r="AA562">
        <f t="shared" si="44"/>
        <v>0.16387387387387387</v>
      </c>
    </row>
    <row r="563" spans="1:27" x14ac:dyDescent="0.35">
      <c r="A563" s="2">
        <v>1503960366</v>
      </c>
      <c r="B563" s="2" t="s">
        <v>82</v>
      </c>
      <c r="C563" s="2">
        <f>VLOOKUP(user_activity!A508,users_details!$A$1:$G$34,5,0)</f>
        <v>36</v>
      </c>
      <c r="D563" s="2" t="str" cm="1">
        <f t="array" ref="D563">_xlfn.IFS( AND(C563&gt;=18, C563&lt;=25), "Emerging Adults",  AND(C563&gt;=26, C563&lt;=35),  "Young Adults",  AND(C563&gt;=36, C563&lt;=45),  "Midlife Adults",  AND(C563&gt;=46, C563&lt;=55), "Mature Adults", C563&gt;=56,  "Older Adults", TRUE, "Age Not Mentioned")</f>
        <v>Midlife Adults</v>
      </c>
      <c r="E563" s="2" t="str">
        <f>VLOOKUP(user_activity!A508,users_details!$A$1:$G$34,6,0)</f>
        <v>Williamsburg, Brooklyn</v>
      </c>
      <c r="F563" s="2" t="str">
        <f>VLOOKUP(user_activity!A508,users_details!$A$1:$G$34,7,0)</f>
        <v>Williamsburg</v>
      </c>
      <c r="G563" s="2" t="s">
        <v>72</v>
      </c>
      <c r="H563" s="7">
        <v>42708</v>
      </c>
      <c r="I563" s="9" t="str">
        <f t="shared" si="40"/>
        <v>Sunday</v>
      </c>
      <c r="J563" s="9" t="str">
        <f t="shared" si="41"/>
        <v>December</v>
      </c>
      <c r="K563" s="2">
        <v>8.5</v>
      </c>
      <c r="L563" s="2">
        <v>8.5</v>
      </c>
      <c r="M563" s="2">
        <v>0</v>
      </c>
      <c r="N563" s="2">
        <v>1.8799999949999999</v>
      </c>
      <c r="O563" s="2">
        <v>0.55000001200000004</v>
      </c>
      <c r="P563" s="2">
        <v>6.0599999430000002</v>
      </c>
      <c r="Q563" s="2">
        <v>0</v>
      </c>
      <c r="R563" s="2">
        <v>25</v>
      </c>
      <c r="S563" s="2">
        <v>13</v>
      </c>
      <c r="T563" s="2">
        <v>328</v>
      </c>
      <c r="U563" s="2">
        <f t="shared" si="42"/>
        <v>366</v>
      </c>
      <c r="V563" s="2">
        <v>728</v>
      </c>
      <c r="W563" s="2">
        <v>13162</v>
      </c>
      <c r="X563" s="2">
        <f t="shared" si="43"/>
        <v>13162</v>
      </c>
      <c r="Y563" s="2">
        <v>1985</v>
      </c>
      <c r="Z563" t="str" cm="1">
        <f t="array" ref="Z563">_xlfn.IFS(OR(R563&gt;66, S563&gt;38), "High Engagement", OR(AND(R563&gt;32, R563&lt;=66), AND(S563&gt;19, S563&lt;=38)), "Medium-High Engagement", OR(AND(R563&gt;4, R563&lt;=32), AND(S563&gt;6, S563&lt;=19)),"Medium Engagement", TRUE, "Low Engagement"
)</f>
        <v>Medium Engagement</v>
      </c>
      <c r="AA563">
        <f t="shared" si="44"/>
        <v>0.15081294636073544</v>
      </c>
    </row>
    <row r="564" spans="1:27" x14ac:dyDescent="0.35">
      <c r="A564" s="2">
        <v>8583815059</v>
      </c>
      <c r="B564" s="2" t="s">
        <v>92</v>
      </c>
      <c r="C564" s="2">
        <f>VLOOKUP(user_activity!A521,users_details!$A$1:$G$34,5,0)</f>
        <v>36</v>
      </c>
      <c r="D564" s="2" t="str" cm="1">
        <f t="array" ref="D564">_xlfn.IFS( AND(C564&gt;=18, C564&lt;=25), "Emerging Adults",  AND(C564&gt;=26, C564&lt;=35),  "Young Adults",  AND(C564&gt;=36, C564&lt;=45),  "Midlife Adults",  AND(C564&gt;=46, C564&lt;=55), "Mature Adults", C564&gt;=56,  "Older Adults", TRUE, "Age Not Mentioned")</f>
        <v>Midlife Adults</v>
      </c>
      <c r="E564" s="2" t="str">
        <f>VLOOKUP(user_activity!A521,users_details!$A$1:$G$34,6,0)</f>
        <v>Williamsburg, Brooklyn</v>
      </c>
      <c r="F564" s="2" t="str">
        <f>VLOOKUP(user_activity!A521,users_details!$A$1:$G$34,7,0)</f>
        <v>Williamsburg</v>
      </c>
      <c r="G564" s="2" t="s">
        <v>72</v>
      </c>
      <c r="H564" s="7">
        <v>42478</v>
      </c>
      <c r="I564" s="9" t="str">
        <f t="shared" si="40"/>
        <v>Monday</v>
      </c>
      <c r="J564" s="9" t="str">
        <f t="shared" si="41"/>
        <v>April</v>
      </c>
      <c r="K564" s="2">
        <v>3.0099999899999998</v>
      </c>
      <c r="L564" s="2">
        <v>3.0099999899999998</v>
      </c>
      <c r="M564" s="2">
        <v>0</v>
      </c>
      <c r="N564" s="2">
        <v>0.310000002</v>
      </c>
      <c r="O564" s="2">
        <v>1.059999943</v>
      </c>
      <c r="P564" s="2">
        <v>1.3500000240000001</v>
      </c>
      <c r="Q564" s="2">
        <v>0</v>
      </c>
      <c r="R564" s="2">
        <v>4</v>
      </c>
      <c r="S564" s="2">
        <v>22</v>
      </c>
      <c r="T564" s="2">
        <v>105</v>
      </c>
      <c r="U564" s="2">
        <f t="shared" si="42"/>
        <v>131</v>
      </c>
      <c r="V564" s="2">
        <v>1309</v>
      </c>
      <c r="W564" s="2">
        <v>3864</v>
      </c>
      <c r="X564" s="2">
        <f t="shared" si="43"/>
        <v>3864</v>
      </c>
      <c r="Y564" s="2">
        <v>2536</v>
      </c>
      <c r="Z564" t="str" cm="1">
        <f t="array" ref="Z564">_xlfn.IFS(OR(R564&gt;66, S564&gt;38), "High Engagement", OR(AND(R564&gt;32, R564&lt;=66), AND(S564&gt;19, S564&lt;=38)), "Medium-High Engagement", OR(AND(R564&gt;4, R564&lt;=32), AND(S564&gt;6, S564&lt;=19)),"Medium Engagement", TRUE, "Low Engagement"
)</f>
        <v>Medium-High Engagement</v>
      </c>
      <c r="AA564">
        <f t="shared" si="44"/>
        <v>0.65631469979296064</v>
      </c>
    </row>
    <row r="565" spans="1:27" x14ac:dyDescent="0.35">
      <c r="A565" s="2">
        <v>8583815059</v>
      </c>
      <c r="B565" s="2" t="s">
        <v>92</v>
      </c>
      <c r="C565" s="2">
        <f>VLOOKUP(user_activity!A541,users_details!$A$1:$G$34,5,0)</f>
        <v>38</v>
      </c>
      <c r="D565" s="2" t="str" cm="1">
        <f t="array" ref="D565">_xlfn.IFS( AND(C565&gt;=18, C565&lt;=25), "Emerging Adults",  AND(C565&gt;=26, C565&lt;=35),  "Young Adults",  AND(C565&gt;=36, C565&lt;=45),  "Midlife Adults",  AND(C565&gt;=46, C565&lt;=55), "Mature Adults", C565&gt;=56,  "Older Adults", TRUE, "Age Not Mentioned")</f>
        <v>Midlife Adults</v>
      </c>
      <c r="E565" s="2" t="str">
        <f>VLOOKUP(user_activity!A541,users_details!$A$1:$G$34,6,0)</f>
        <v>Midtown, Manhattan</v>
      </c>
      <c r="F565" s="2" t="str">
        <f>VLOOKUP(user_activity!A541,users_details!$A$1:$G$34,7,0)</f>
        <v>Midtown</v>
      </c>
      <c r="G565" s="2" t="s">
        <v>72</v>
      </c>
      <c r="H565" s="7">
        <v>42405</v>
      </c>
      <c r="I565" s="9" t="str">
        <f t="shared" si="40"/>
        <v>Friday</v>
      </c>
      <c r="J565" s="9" t="str">
        <f t="shared" si="41"/>
        <v>February</v>
      </c>
      <c r="K565" s="2">
        <v>6.6100001339999999</v>
      </c>
      <c r="L565" s="2">
        <v>6.6100001339999999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f t="shared" si="42"/>
        <v>0</v>
      </c>
      <c r="V565" s="2">
        <v>1440</v>
      </c>
      <c r="W565" s="2">
        <v>8469</v>
      </c>
      <c r="X565" s="2">
        <f t="shared" si="43"/>
        <v>8469</v>
      </c>
      <c r="Y565" s="2">
        <v>2894</v>
      </c>
      <c r="Z565" t="str" cm="1">
        <f t="array" ref="Z565">_xlfn.IFS(OR(R565&gt;66, S565&gt;38), "High Engagement", OR(AND(R565&gt;32, R565&lt;=66), AND(S565&gt;19, S565&lt;=38)), "Medium-High Engagement", OR(AND(R565&gt;4, R565&lt;=32), AND(S565&gt;6, S565&lt;=19)),"Medium Engagement", TRUE, "Low Engagement"
)</f>
        <v>Low Engagement</v>
      </c>
      <c r="AA565">
        <f t="shared" si="44"/>
        <v>0.34171684968709409</v>
      </c>
    </row>
    <row r="566" spans="1:27" x14ac:dyDescent="0.35">
      <c r="A566" s="2">
        <v>1503960366</v>
      </c>
      <c r="B566" s="2" t="s">
        <v>82</v>
      </c>
      <c r="C566" s="2">
        <f>VLOOKUP(user_activity!A547,users_details!$A$1:$G$34,5,0)</f>
        <v>38</v>
      </c>
      <c r="D566" s="2" t="str" cm="1">
        <f t="array" ref="D566">_xlfn.IFS( AND(C566&gt;=18, C566&lt;=25), "Emerging Adults",  AND(C566&gt;=26, C566&lt;=35),  "Young Adults",  AND(C566&gt;=36, C566&lt;=45),  "Midlife Adults",  AND(C566&gt;=46, C566&lt;=55), "Mature Adults", C566&gt;=56,  "Older Adults", TRUE, "Age Not Mentioned")</f>
        <v>Midlife Adults</v>
      </c>
      <c r="E566" s="2" t="str">
        <f>VLOOKUP(user_activity!A547,users_details!$A$1:$G$34,6,0)</f>
        <v>East Harlem, Manhattan</v>
      </c>
      <c r="F566" s="2" t="str">
        <f>VLOOKUP(user_activity!A547,users_details!$A$1:$G$34,7,0)</f>
        <v>East Harlem</v>
      </c>
      <c r="G566" s="2" t="s">
        <v>72</v>
      </c>
      <c r="H566" s="7">
        <v>42374</v>
      </c>
      <c r="I566" s="9" t="str">
        <f t="shared" si="40"/>
        <v>Tuesday</v>
      </c>
      <c r="J566" s="9" t="str">
        <f t="shared" si="41"/>
        <v>January</v>
      </c>
      <c r="K566" s="2">
        <v>6.8099999430000002</v>
      </c>
      <c r="L566" s="2">
        <v>6.8099999430000002</v>
      </c>
      <c r="M566" s="2">
        <v>0</v>
      </c>
      <c r="N566" s="2">
        <v>2.289999962</v>
      </c>
      <c r="O566" s="2">
        <v>1.6000000240000001</v>
      </c>
      <c r="P566" s="2">
        <v>2.920000076</v>
      </c>
      <c r="Q566" s="2">
        <v>0</v>
      </c>
      <c r="R566" s="2">
        <v>33</v>
      </c>
      <c r="S566" s="2">
        <v>35</v>
      </c>
      <c r="T566" s="2">
        <v>246</v>
      </c>
      <c r="U566" s="2">
        <f t="shared" si="42"/>
        <v>314</v>
      </c>
      <c r="V566" s="2">
        <v>730</v>
      </c>
      <c r="W566" s="2">
        <v>10602</v>
      </c>
      <c r="X566" s="2">
        <f t="shared" si="43"/>
        <v>10602</v>
      </c>
      <c r="Y566" s="2">
        <v>1820</v>
      </c>
      <c r="Z566" t="str" cm="1">
        <f t="array" ref="Z566">_xlfn.IFS(OR(R566&gt;66, S566&gt;38), "High Engagement", OR(AND(R566&gt;32, R566&lt;=66), AND(S566&gt;19, S566&lt;=38)), "Medium-High Engagement", OR(AND(R566&gt;4, R566&lt;=32), AND(S566&gt;6, S566&lt;=19)),"Medium Engagement", TRUE, "Low Engagement"
)</f>
        <v>Medium-High Engagement</v>
      </c>
      <c r="AA566">
        <f t="shared" si="44"/>
        <v>0.17166572344840597</v>
      </c>
    </row>
    <row r="567" spans="1:27" x14ac:dyDescent="0.35">
      <c r="A567" s="2">
        <v>8583815059</v>
      </c>
      <c r="B567" s="2" t="s">
        <v>92</v>
      </c>
      <c r="C567" s="2">
        <f>VLOOKUP(user_activity!A549,users_details!$A$1:$G$34,5,0)</f>
        <v>38</v>
      </c>
      <c r="D567" s="2" t="str" cm="1">
        <f t="array" ref="D567">_xlfn.IFS( AND(C567&gt;=18, C567&lt;=25), "Emerging Adults",  AND(C567&gt;=26, C567&lt;=35),  "Young Adults",  AND(C567&gt;=36, C567&lt;=45),  "Midlife Adults",  AND(C567&gt;=46, C567&lt;=55), "Mature Adults", C567&gt;=56,  "Older Adults", TRUE, "Age Not Mentioned")</f>
        <v>Midlife Adults</v>
      </c>
      <c r="E567" s="2" t="str">
        <f>VLOOKUP(user_activity!A549,users_details!$A$1:$G$34,6,0)</f>
        <v>Midtown, Manhattan</v>
      </c>
      <c r="F567" s="2" t="str">
        <f>VLOOKUP(user_activity!A549,users_details!$A$1:$G$34,7,0)</f>
        <v>Midtown</v>
      </c>
      <c r="G567" s="2" t="s">
        <v>72</v>
      </c>
      <c r="H567" s="7">
        <v>42477</v>
      </c>
      <c r="I567" s="9" t="str">
        <f t="shared" si="40"/>
        <v>Sunday</v>
      </c>
      <c r="J567" s="9" t="str">
        <f t="shared" si="41"/>
        <v>April</v>
      </c>
      <c r="K567" s="2">
        <v>2.3499999049999998</v>
      </c>
      <c r="L567" s="2">
        <v>2.3499999049999998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f t="shared" si="42"/>
        <v>0</v>
      </c>
      <c r="V567" s="2">
        <v>1440</v>
      </c>
      <c r="W567" s="2">
        <v>3008</v>
      </c>
      <c r="X567" s="2">
        <f t="shared" si="43"/>
        <v>3008</v>
      </c>
      <c r="Y567" s="2">
        <v>2439</v>
      </c>
      <c r="Z567" t="str" cm="1">
        <f t="array" ref="Z567">_xlfn.IFS(OR(R567&gt;66, S567&gt;38), "High Engagement", OR(AND(R567&gt;32, R567&lt;=66), AND(S567&gt;19, S567&lt;=38)), "Medium-High Engagement", OR(AND(R567&gt;4, R567&lt;=32), AND(S567&gt;6, S567&lt;=19)),"Medium Engagement", TRUE, "Low Engagement"
)</f>
        <v>Low Engagement</v>
      </c>
      <c r="AA567">
        <f t="shared" si="44"/>
        <v>0.81083776595744683</v>
      </c>
    </row>
    <row r="568" spans="1:27" x14ac:dyDescent="0.35">
      <c r="A568" s="2">
        <v>1503960366</v>
      </c>
      <c r="B568" s="2" t="s">
        <v>82</v>
      </c>
      <c r="C568" s="2">
        <f>VLOOKUP(user_activity!A564,users_details!$A$1:$G$34,5,0)</f>
        <v>38</v>
      </c>
      <c r="D568" s="2" t="str" cm="1">
        <f t="array" ref="D568">_xlfn.IFS( AND(C568&gt;=18, C568&lt;=25), "Emerging Adults",  AND(C568&gt;=26, C568&lt;=35),  "Young Adults",  AND(C568&gt;=36, C568&lt;=45),  "Midlife Adults",  AND(C568&gt;=46, C568&lt;=55), "Mature Adults", C568&gt;=56,  "Older Adults", TRUE, "Age Not Mentioned")</f>
        <v>Midlife Adults</v>
      </c>
      <c r="E568" s="2" t="str">
        <f>VLOOKUP(user_activity!A564,users_details!$A$1:$G$34,6,0)</f>
        <v>Midtown, Manhattan</v>
      </c>
      <c r="F568" s="2" t="str">
        <f>VLOOKUP(user_activity!A564,users_details!$A$1:$G$34,7,0)</f>
        <v>Midtown</v>
      </c>
      <c r="G568" s="2" t="s">
        <v>72</v>
      </c>
      <c r="H568" s="7">
        <v>42489</v>
      </c>
      <c r="I568" s="9" t="str">
        <f t="shared" si="40"/>
        <v>Friday</v>
      </c>
      <c r="J568" s="9" t="str">
        <f t="shared" si="41"/>
        <v>April</v>
      </c>
      <c r="K568" s="2">
        <v>7.1500000950000002</v>
      </c>
      <c r="L568" s="2">
        <v>7.1500000950000002</v>
      </c>
      <c r="M568" s="2">
        <v>0</v>
      </c>
      <c r="N568" s="2">
        <v>1.059999943</v>
      </c>
      <c r="O568" s="2">
        <v>0.5</v>
      </c>
      <c r="P568" s="2">
        <v>5.579999924</v>
      </c>
      <c r="Q568" s="2">
        <v>0</v>
      </c>
      <c r="R568" s="2">
        <v>16</v>
      </c>
      <c r="S568" s="2">
        <v>12</v>
      </c>
      <c r="T568" s="2">
        <v>243</v>
      </c>
      <c r="U568" s="2">
        <f t="shared" si="42"/>
        <v>271</v>
      </c>
      <c r="V568" s="2">
        <v>815</v>
      </c>
      <c r="W568" s="2">
        <v>11181</v>
      </c>
      <c r="X568" s="2">
        <f t="shared" si="43"/>
        <v>11181</v>
      </c>
      <c r="Y568" s="2">
        <v>1837</v>
      </c>
      <c r="Z568" t="str" cm="1">
        <f t="array" ref="Z568">_xlfn.IFS(OR(R568&gt;66, S568&gt;38), "High Engagement", OR(AND(R568&gt;32, R568&lt;=66), AND(S568&gt;19, S568&lt;=38)), "Medium-High Engagement", OR(AND(R568&gt;4, R568&lt;=32), AND(S568&gt;6, S568&lt;=19)),"Medium Engagement", TRUE, "Low Engagement"
)</f>
        <v>Medium Engagement</v>
      </c>
      <c r="AA568">
        <f t="shared" si="44"/>
        <v>0.164296574546105</v>
      </c>
    </row>
    <row r="569" spans="1:27" x14ac:dyDescent="0.35">
      <c r="A569" s="2">
        <v>8583815059</v>
      </c>
      <c r="B569" s="2" t="s">
        <v>92</v>
      </c>
      <c r="C569" s="2">
        <f>VLOOKUP(user_activity!A583,users_details!$A$1:$G$34,5,0)</f>
        <v>38</v>
      </c>
      <c r="D569" s="2" t="str" cm="1">
        <f t="array" ref="D569">_xlfn.IFS( AND(C569&gt;=18, C569&lt;=25), "Emerging Adults",  AND(C569&gt;=26, C569&lt;=35),  "Young Adults",  AND(C569&gt;=36, C569&lt;=45),  "Midlife Adults",  AND(C569&gt;=46, C569&lt;=55), "Mature Adults", C569&gt;=56,  "Older Adults", TRUE, "Age Not Mentioned")</f>
        <v>Midlife Adults</v>
      </c>
      <c r="E569" s="2" t="str">
        <f>VLOOKUP(user_activity!A583,users_details!$A$1:$G$34,6,0)</f>
        <v>Midtown, Manhattan</v>
      </c>
      <c r="F569" s="2" t="str">
        <f>VLOOKUP(user_activity!A583,users_details!$A$1:$G$34,7,0)</f>
        <v>Midtown</v>
      </c>
      <c r="G569" s="2" t="s">
        <v>72</v>
      </c>
      <c r="H569" s="7">
        <v>42475</v>
      </c>
      <c r="I569" s="9" t="str">
        <f t="shared" si="40"/>
        <v>Friday</v>
      </c>
      <c r="J569" s="9" t="str">
        <f t="shared" si="41"/>
        <v>April</v>
      </c>
      <c r="K569" s="2">
        <v>2.6800000669999999</v>
      </c>
      <c r="L569" s="2">
        <v>2.6800000669999999</v>
      </c>
      <c r="M569" s="2">
        <v>0</v>
      </c>
      <c r="N569" s="2">
        <v>0</v>
      </c>
      <c r="O569" s="2">
        <v>0</v>
      </c>
      <c r="P569" s="2">
        <v>0.89999997600000003</v>
      </c>
      <c r="Q569" s="2">
        <v>0</v>
      </c>
      <c r="R569" s="2">
        <v>0</v>
      </c>
      <c r="S569" s="2">
        <v>0</v>
      </c>
      <c r="T569" s="2">
        <v>65</v>
      </c>
      <c r="U569" s="2">
        <f t="shared" si="42"/>
        <v>65</v>
      </c>
      <c r="V569" s="2">
        <v>1375</v>
      </c>
      <c r="W569" s="2">
        <v>3430</v>
      </c>
      <c r="X569" s="2">
        <f t="shared" si="43"/>
        <v>3430</v>
      </c>
      <c r="Y569" s="2">
        <v>2505</v>
      </c>
      <c r="Z569" t="str" cm="1">
        <f t="array" ref="Z569">_xlfn.IFS(OR(R569&gt;66, S569&gt;38), "High Engagement", OR(AND(R569&gt;32, R569&lt;=66), AND(S569&gt;19, S569&lt;=38)), "Medium-High Engagement", OR(AND(R569&gt;4, R569&lt;=32), AND(S569&gt;6, S569&lt;=19)),"Medium Engagement", TRUE, "Low Engagement"
)</f>
        <v>Low Engagement</v>
      </c>
      <c r="AA569">
        <f t="shared" si="44"/>
        <v>0.73032069970845481</v>
      </c>
    </row>
    <row r="570" spans="1:27" x14ac:dyDescent="0.35">
      <c r="A570" s="2">
        <v>1503960366</v>
      </c>
      <c r="B570" s="2" t="s">
        <v>82</v>
      </c>
      <c r="C570" s="2">
        <f>VLOOKUP(user_activity!A587,users_details!$A$1:$G$34,5,0)</f>
        <v>38</v>
      </c>
      <c r="D570" s="2" t="str" cm="1">
        <f t="array" ref="D570">_xlfn.IFS( AND(C570&gt;=18, C570&lt;=25), "Emerging Adults",  AND(C570&gt;=26, C570&lt;=35),  "Young Adults",  AND(C570&gt;=36, C570&lt;=45),  "Midlife Adults",  AND(C570&gt;=46, C570&lt;=55), "Mature Adults", C570&gt;=56,  "Older Adults", TRUE, "Age Not Mentioned")</f>
        <v>Midlife Adults</v>
      </c>
      <c r="E570" s="2" t="str">
        <f>VLOOKUP(user_activity!A587,users_details!$A$1:$G$34,6,0)</f>
        <v>East Harlem, Manhattan</v>
      </c>
      <c r="F570" s="2" t="str">
        <f>VLOOKUP(user_activity!A587,users_details!$A$1:$G$34,7,0)</f>
        <v>East Harlem</v>
      </c>
      <c r="G570" s="2" t="s">
        <v>72</v>
      </c>
      <c r="H570" s="7">
        <v>42488</v>
      </c>
      <c r="I570" s="9" t="str">
        <f t="shared" si="40"/>
        <v>Thursday</v>
      </c>
      <c r="J570" s="9" t="str">
        <f t="shared" si="41"/>
        <v>April</v>
      </c>
      <c r="K570" s="2">
        <v>8.5299997330000004</v>
      </c>
      <c r="L570" s="2">
        <v>8.5299997330000004</v>
      </c>
      <c r="M570" s="2">
        <v>0</v>
      </c>
      <c r="N570" s="2">
        <v>3.539999962</v>
      </c>
      <c r="O570" s="2">
        <v>1.1599999670000001</v>
      </c>
      <c r="P570" s="2">
        <v>3.789999962</v>
      </c>
      <c r="Q570" s="2">
        <v>0</v>
      </c>
      <c r="R570" s="2">
        <v>48</v>
      </c>
      <c r="S570" s="2">
        <v>28</v>
      </c>
      <c r="T570" s="2">
        <v>189</v>
      </c>
      <c r="U570" s="2">
        <f t="shared" si="42"/>
        <v>265</v>
      </c>
      <c r="V570" s="2">
        <v>782</v>
      </c>
      <c r="W570" s="2">
        <v>13154</v>
      </c>
      <c r="X570" s="2">
        <f t="shared" si="43"/>
        <v>13154</v>
      </c>
      <c r="Y570" s="2">
        <v>1898</v>
      </c>
      <c r="Z570" t="str" cm="1">
        <f t="array" ref="Z570">_xlfn.IFS(OR(R570&gt;66, S570&gt;38), "High Engagement", OR(AND(R570&gt;32, R570&lt;=66), AND(S570&gt;19, S570&lt;=38)), "Medium-High Engagement", OR(AND(R570&gt;4, R570&lt;=32), AND(S570&gt;6, S570&lt;=19)),"Medium Engagement", TRUE, "Low Engagement"
)</f>
        <v>Medium-High Engagement</v>
      </c>
      <c r="AA570">
        <f t="shared" si="44"/>
        <v>0.14429071005017485</v>
      </c>
    </row>
    <row r="571" spans="1:27" x14ac:dyDescent="0.35">
      <c r="A571" s="2">
        <v>1503960366</v>
      </c>
      <c r="B571" s="2" t="s">
        <v>82</v>
      </c>
      <c r="C571" s="2">
        <f>VLOOKUP(user_activity!A598,users_details!$A$1:$G$34,5,0)</f>
        <v>39</v>
      </c>
      <c r="D571" s="2" t="str" cm="1">
        <f t="array" ref="D571">_xlfn.IFS( AND(C571&gt;=18, C571&lt;=25), "Emerging Adults",  AND(C571&gt;=26, C571&lt;=35),  "Young Adults",  AND(C571&gt;=36, C571&lt;=45),  "Midlife Adults",  AND(C571&gt;=46, C571&lt;=55), "Mature Adults", C571&gt;=56,  "Older Adults", TRUE, "Age Not Mentioned")</f>
        <v>Midlife Adults</v>
      </c>
      <c r="E571" s="2" t="str">
        <f>VLOOKUP(user_activity!A598,users_details!$A$1:$G$34,6,0)</f>
        <v>East Village, Manhattan</v>
      </c>
      <c r="F571" s="2" t="str">
        <f>VLOOKUP(user_activity!A598,users_details!$A$1:$G$34,7,0)</f>
        <v>East Village</v>
      </c>
      <c r="G571" s="2" t="s">
        <v>72</v>
      </c>
      <c r="H571" s="7">
        <v>42587</v>
      </c>
      <c r="I571" s="9" t="str">
        <f t="shared" si="40"/>
        <v>Friday</v>
      </c>
      <c r="J571" s="9" t="str">
        <f t="shared" si="41"/>
        <v>August</v>
      </c>
      <c r="K571" s="2">
        <v>6.579999924</v>
      </c>
      <c r="L571" s="2">
        <v>6.579999924</v>
      </c>
      <c r="M571" s="2">
        <v>0</v>
      </c>
      <c r="N571" s="2">
        <v>3.5299999710000001</v>
      </c>
      <c r="O571" s="2">
        <v>0.31999999299999998</v>
      </c>
      <c r="P571" s="2">
        <v>2.7300000190000002</v>
      </c>
      <c r="Q571" s="2">
        <v>0</v>
      </c>
      <c r="R571" s="2">
        <v>44</v>
      </c>
      <c r="S571" s="2">
        <v>8</v>
      </c>
      <c r="T571" s="2">
        <v>203</v>
      </c>
      <c r="U571" s="2">
        <f t="shared" si="42"/>
        <v>255</v>
      </c>
      <c r="V571" s="2">
        <v>574</v>
      </c>
      <c r="W571" s="2">
        <v>10060</v>
      </c>
      <c r="X571" s="2">
        <f t="shared" si="43"/>
        <v>10060</v>
      </c>
      <c r="Y571" s="2">
        <v>1740</v>
      </c>
      <c r="Z571" t="str" cm="1">
        <f t="array" ref="Z571">_xlfn.IFS(OR(R571&gt;66, S571&gt;38), "High Engagement", OR(AND(R571&gt;32, R571&lt;=66), AND(S571&gt;19, S571&lt;=38)), "Medium-High Engagement", OR(AND(R571&gt;4, R571&lt;=32), AND(S571&gt;6, S571&lt;=19)),"Medium Engagement", TRUE, "Low Engagement"
)</f>
        <v>Medium-High Engagement</v>
      </c>
      <c r="AA571">
        <f t="shared" si="44"/>
        <v>0.17296222664015903</v>
      </c>
    </row>
    <row r="572" spans="1:27" x14ac:dyDescent="0.35">
      <c r="A572" s="2">
        <v>1503960366</v>
      </c>
      <c r="B572" s="2" t="s">
        <v>82</v>
      </c>
      <c r="C572" s="2">
        <f>VLOOKUP(user_activity!A642,users_details!$A$1:$G$34,5,0)</f>
        <v>45</v>
      </c>
      <c r="D572" s="2" t="str" cm="1">
        <f t="array" ref="D572">_xlfn.IFS( AND(C572&gt;=18, C572&lt;=25), "Emerging Adults",  AND(C572&gt;=26, C572&lt;=35),  "Young Adults",  AND(C572&gt;=36, C572&lt;=45),  "Midlife Adults",  AND(C572&gt;=46, C572&lt;=55), "Mature Adults", C572&gt;=56,  "Older Adults", TRUE, "Age Not Mentioned")</f>
        <v>Midlife Adults</v>
      </c>
      <c r="E572" s="2" t="str">
        <f>VLOOKUP(user_activity!A642,users_details!$A$1:$G$34,6,0)</f>
        <v>Harlem, Manhattan</v>
      </c>
      <c r="F572" s="2" t="str">
        <f>VLOOKUP(user_activity!A642,users_details!$A$1:$G$34,7,0)</f>
        <v>Harlem</v>
      </c>
      <c r="G572" s="2" t="s">
        <v>72</v>
      </c>
      <c r="H572" s="7">
        <v>42480</v>
      </c>
      <c r="I572" s="9" t="str">
        <f t="shared" si="40"/>
        <v>Wednesday</v>
      </c>
      <c r="J572" s="9" t="str">
        <f t="shared" si="41"/>
        <v>April</v>
      </c>
      <c r="K572" s="2">
        <v>6.6799998279999997</v>
      </c>
      <c r="L572" s="2">
        <v>6.6799998279999997</v>
      </c>
      <c r="M572" s="2">
        <v>0</v>
      </c>
      <c r="N572" s="2">
        <v>1.960000038</v>
      </c>
      <c r="O572" s="2">
        <v>0.47999998900000002</v>
      </c>
      <c r="P572" s="2">
        <v>4.2399997709999999</v>
      </c>
      <c r="Q572" s="2">
        <v>0</v>
      </c>
      <c r="R572" s="2">
        <v>28</v>
      </c>
      <c r="S572" s="2">
        <v>12</v>
      </c>
      <c r="T572" s="2">
        <v>205</v>
      </c>
      <c r="U572" s="2">
        <f t="shared" si="42"/>
        <v>245</v>
      </c>
      <c r="V572" s="2">
        <v>818</v>
      </c>
      <c r="W572" s="2">
        <v>10544</v>
      </c>
      <c r="X572" s="2">
        <f t="shared" si="43"/>
        <v>10544</v>
      </c>
      <c r="Y572" s="2">
        <v>1786</v>
      </c>
      <c r="Z572" t="str" cm="1">
        <f t="array" ref="Z572">_xlfn.IFS(OR(R572&gt;66, S572&gt;38), "High Engagement", OR(AND(R572&gt;32, R572&lt;=66), AND(S572&gt;19, S572&lt;=38)), "Medium-High Engagement", OR(AND(R572&gt;4, R572&lt;=32), AND(S572&gt;6, S572&lt;=19)),"Medium Engagement", TRUE, "Low Engagement"
)</f>
        <v>Medium Engagement</v>
      </c>
      <c r="AA572">
        <f t="shared" si="44"/>
        <v>0.16938543247344462</v>
      </c>
    </row>
    <row r="573" spans="1:27" x14ac:dyDescent="0.35">
      <c r="A573" s="2">
        <v>8583815059</v>
      </c>
      <c r="B573" s="2" t="s">
        <v>92</v>
      </c>
      <c r="C573" s="2">
        <f>VLOOKUP(user_activity!A667,users_details!$A$1:$G$34,5,0)</f>
        <v>49</v>
      </c>
      <c r="D573" s="2" t="str" cm="1">
        <f t="array" ref="D573">_xlfn.IFS( AND(C573&gt;=18, C573&lt;=25), "Emerging Adults",  AND(C573&gt;=26, C573&lt;=35),  "Young Adults",  AND(C573&gt;=36, C573&lt;=45),  "Midlife Adults",  AND(C573&gt;=46, C573&lt;=55), "Mature Adults", C573&gt;=56,  "Older Adults", TRUE, "Age Not Mentioned")</f>
        <v>Mature Adults</v>
      </c>
      <c r="E573" s="2" t="str">
        <f>VLOOKUP(user_activity!A667,users_details!$A$1:$G$34,6,0)</f>
        <v>Upper West Side, Manhattan</v>
      </c>
      <c r="F573" s="2" t="str">
        <f>VLOOKUP(user_activity!A667,users_details!$A$1:$G$34,7,0)</f>
        <v>Upper West Side</v>
      </c>
      <c r="G573" s="2" t="s">
        <v>72</v>
      </c>
      <c r="H573" s="7">
        <v>42495</v>
      </c>
      <c r="I573" s="9" t="str">
        <f t="shared" si="40"/>
        <v>Thursday</v>
      </c>
      <c r="J573" s="9" t="str">
        <f t="shared" si="41"/>
        <v>May</v>
      </c>
      <c r="K573" s="2">
        <v>9.6899995800000003</v>
      </c>
      <c r="L573" s="2">
        <v>9.6899995800000003</v>
      </c>
      <c r="M573" s="2">
        <v>0</v>
      </c>
      <c r="N573" s="2">
        <v>0</v>
      </c>
      <c r="O573" s="2">
        <v>0</v>
      </c>
      <c r="P573" s="2">
        <v>1.1799999480000001</v>
      </c>
      <c r="Q573" s="2">
        <v>0</v>
      </c>
      <c r="R573" s="2">
        <v>0</v>
      </c>
      <c r="S573" s="2">
        <v>0</v>
      </c>
      <c r="T573" s="2">
        <v>70</v>
      </c>
      <c r="U573" s="2">
        <f t="shared" si="42"/>
        <v>70</v>
      </c>
      <c r="V573" s="2">
        <v>1370</v>
      </c>
      <c r="W573" s="2">
        <v>12427</v>
      </c>
      <c r="X573" s="2">
        <f t="shared" si="43"/>
        <v>12427</v>
      </c>
      <c r="Y573" s="2">
        <v>3266</v>
      </c>
      <c r="Z573" t="str" cm="1">
        <f t="array" ref="Z573">_xlfn.IFS(OR(R573&gt;66, S573&gt;38), "High Engagement", OR(AND(R573&gt;32, R573&lt;=66), AND(S573&gt;19, S573&lt;=38)), "Medium-High Engagement", OR(AND(R573&gt;4, R573&lt;=32), AND(S573&gt;6, S573&lt;=19)),"Medium Engagement", TRUE, "Low Engagement"
)</f>
        <v>Low Engagement</v>
      </c>
      <c r="AA573">
        <f t="shared" si="44"/>
        <v>0.26281483865776134</v>
      </c>
    </row>
    <row r="574" spans="1:27" x14ac:dyDescent="0.35">
      <c r="A574" s="2">
        <v>8583815059</v>
      </c>
      <c r="B574" s="2" t="s">
        <v>92</v>
      </c>
      <c r="C574" s="2">
        <f>VLOOKUP(user_activity!A701,users_details!$A$1:$G$34,5,0)</f>
        <v>53</v>
      </c>
      <c r="D574" s="2" t="str" cm="1">
        <f t="array" ref="D574">_xlfn.IFS( AND(C574&gt;=18, C574&lt;=25), "Emerging Adults",  AND(C574&gt;=26, C574&lt;=35),  "Young Adults",  AND(C574&gt;=36, C574&lt;=45),  "Midlife Adults",  AND(C574&gt;=46, C574&lt;=55), "Mature Adults", C574&gt;=56,  "Older Adults", TRUE, "Age Not Mentioned")</f>
        <v>Mature Adults</v>
      </c>
      <c r="E574" s="2" t="str">
        <f>VLOOKUP(user_activity!A701,users_details!$A$1:$G$34,6,0)</f>
        <v>Harlem, Manhattan</v>
      </c>
      <c r="F574" s="2" t="str">
        <f>VLOOKUP(user_activity!A701,users_details!$A$1:$G$34,7,0)</f>
        <v>Harlem</v>
      </c>
      <c r="G574" s="2" t="s">
        <v>72</v>
      </c>
      <c r="H574" s="7">
        <v>42481</v>
      </c>
      <c r="I574" s="9" t="str">
        <f t="shared" si="40"/>
        <v>Thursday</v>
      </c>
      <c r="J574" s="9" t="str">
        <f t="shared" si="41"/>
        <v>April</v>
      </c>
      <c r="K574" s="2">
        <v>6.6599998469999999</v>
      </c>
      <c r="L574" s="2">
        <v>6.6599998469999999</v>
      </c>
      <c r="M574" s="2">
        <v>0</v>
      </c>
      <c r="N574" s="2">
        <v>2.630000114</v>
      </c>
      <c r="O574" s="2">
        <v>1.019999981</v>
      </c>
      <c r="P574" s="2">
        <v>3.0099999899999998</v>
      </c>
      <c r="Q574" s="2">
        <v>0</v>
      </c>
      <c r="R574" s="2">
        <v>35</v>
      </c>
      <c r="S574" s="2">
        <v>18</v>
      </c>
      <c r="T574" s="2">
        <v>158</v>
      </c>
      <c r="U574" s="2">
        <f t="shared" si="42"/>
        <v>211</v>
      </c>
      <c r="V574" s="2">
        <v>1229</v>
      </c>
      <c r="W574" s="2">
        <v>8538</v>
      </c>
      <c r="X574" s="2">
        <f t="shared" si="43"/>
        <v>8538</v>
      </c>
      <c r="Y574" s="2">
        <v>2883</v>
      </c>
      <c r="Z574" t="str" cm="1">
        <f t="array" ref="Z574">_xlfn.IFS(OR(R574&gt;66, S574&gt;38), "High Engagement", OR(AND(R574&gt;32, R574&lt;=66), AND(S574&gt;19, S574&lt;=38)), "Medium-High Engagement", OR(AND(R574&gt;4, R574&lt;=32), AND(S574&gt;6, S574&lt;=19)),"Medium Engagement", TRUE, "Low Engagement"
)</f>
        <v>Medium-High Engagement</v>
      </c>
      <c r="AA574">
        <f t="shared" si="44"/>
        <v>0.33766690091356288</v>
      </c>
    </row>
    <row r="575" spans="1:27" x14ac:dyDescent="0.35">
      <c r="A575" s="2">
        <v>8583815059</v>
      </c>
      <c r="B575" s="2" t="s">
        <v>92</v>
      </c>
      <c r="C575" s="2">
        <f>VLOOKUP(user_activity!A704,users_details!$A$1:$G$34,5,0)</f>
        <v>53</v>
      </c>
      <c r="D575" s="2" t="str" cm="1">
        <f t="array" ref="D575">_xlfn.IFS( AND(C575&gt;=18, C575&lt;=25), "Emerging Adults",  AND(C575&gt;=26, C575&lt;=35),  "Young Adults",  AND(C575&gt;=36, C575&lt;=45),  "Midlife Adults",  AND(C575&gt;=46, C575&lt;=55), "Mature Adults", C575&gt;=56,  "Older Adults", TRUE, "Age Not Mentioned")</f>
        <v>Mature Adults</v>
      </c>
      <c r="E575" s="2" t="str">
        <f>VLOOKUP(user_activity!A704,users_details!$A$1:$G$34,6,0)</f>
        <v>Harlem, Manhattan</v>
      </c>
      <c r="F575" s="2" t="str">
        <f>VLOOKUP(user_activity!A704,users_details!$A$1:$G$34,7,0)</f>
        <v>Harlem</v>
      </c>
      <c r="G575" s="2" t="s">
        <v>72</v>
      </c>
      <c r="H575" s="7">
        <v>42484</v>
      </c>
      <c r="I575" s="9" t="str">
        <f t="shared" si="40"/>
        <v>Sunday</v>
      </c>
      <c r="J575" s="9" t="str">
        <f t="shared" si="41"/>
        <v>April</v>
      </c>
      <c r="K575" s="2">
        <v>6.4600000380000004</v>
      </c>
      <c r="L575" s="2">
        <v>6.4600000380000004</v>
      </c>
      <c r="M575" s="2">
        <v>0</v>
      </c>
      <c r="N575" s="2">
        <v>0.15000000599999999</v>
      </c>
      <c r="O575" s="2">
        <v>2.0499999519999998</v>
      </c>
      <c r="P575" s="2">
        <v>4.2699999809999998</v>
      </c>
      <c r="Q575" s="2">
        <v>0</v>
      </c>
      <c r="R575" s="2">
        <v>2</v>
      </c>
      <c r="S575" s="2">
        <v>44</v>
      </c>
      <c r="T575" s="2">
        <v>206</v>
      </c>
      <c r="U575" s="2">
        <f t="shared" si="42"/>
        <v>252</v>
      </c>
      <c r="V575" s="2">
        <v>1188</v>
      </c>
      <c r="W575" s="2">
        <v>8286</v>
      </c>
      <c r="X575" s="2">
        <f t="shared" si="43"/>
        <v>8286</v>
      </c>
      <c r="Y575" s="2">
        <v>2889</v>
      </c>
      <c r="Z575" t="str" cm="1">
        <f t="array" ref="Z575">_xlfn.IFS(OR(R575&gt;66, S575&gt;38), "High Engagement", OR(AND(R575&gt;32, R575&lt;=66), AND(S575&gt;19, S575&lt;=38)), "Medium-High Engagement", OR(AND(R575&gt;4, R575&lt;=32), AND(S575&gt;6, S575&lt;=19)),"Medium Engagement", TRUE, "Low Engagement"
)</f>
        <v>High Engagement</v>
      </c>
      <c r="AA575">
        <f t="shared" si="44"/>
        <v>0.34866039102099927</v>
      </c>
    </row>
    <row r="576" spans="1:27" x14ac:dyDescent="0.35">
      <c r="A576" s="2">
        <v>8583815059</v>
      </c>
      <c r="B576" s="2" t="s">
        <v>92</v>
      </c>
      <c r="C576" s="2">
        <f>VLOOKUP(user_activity!A747,users_details!$A$1:$G$34,5,0)</f>
        <v>53</v>
      </c>
      <c r="D576" s="2" t="str" cm="1">
        <f t="array" ref="D576">_xlfn.IFS( AND(C576&gt;=18, C576&lt;=25), "Emerging Adults",  AND(C576&gt;=26, C576&lt;=35),  "Young Adults",  AND(C576&gt;=36, C576&lt;=45),  "Midlife Adults",  AND(C576&gt;=46, C576&lt;=55), "Mature Adults", C576&gt;=56,  "Older Adults", TRUE, "Age Not Mentioned")</f>
        <v>Mature Adults</v>
      </c>
      <c r="E576" s="2" t="str">
        <f>VLOOKUP(user_activity!A747,users_details!$A$1:$G$34,6,0)</f>
        <v>Harlem, Manhattan</v>
      </c>
      <c r="F576" s="2" t="str">
        <f>VLOOKUP(user_activity!A747,users_details!$A$1:$G$34,7,0)</f>
        <v>Harlem</v>
      </c>
      <c r="G576" s="2" t="s">
        <v>72</v>
      </c>
      <c r="H576" s="7">
        <v>42434</v>
      </c>
      <c r="I576" s="9" t="str">
        <f t="shared" si="40"/>
        <v>Saturday</v>
      </c>
      <c r="J576" s="9" t="str">
        <f t="shared" si="41"/>
        <v>March</v>
      </c>
      <c r="K576" s="2">
        <v>9.3699998860000004</v>
      </c>
      <c r="L576" s="2">
        <v>9.3699998860000004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f t="shared" si="42"/>
        <v>0</v>
      </c>
      <c r="V576" s="2">
        <v>1440</v>
      </c>
      <c r="W576" s="2">
        <v>12015</v>
      </c>
      <c r="X576" s="2">
        <f t="shared" si="43"/>
        <v>12015</v>
      </c>
      <c r="Y576" s="2">
        <v>3212</v>
      </c>
      <c r="Z576" t="str" cm="1">
        <f t="array" ref="Z576">_xlfn.IFS(OR(R576&gt;66, S576&gt;38), "High Engagement", OR(AND(R576&gt;32, R576&lt;=66), AND(S576&gt;19, S576&lt;=38)), "Medium-High Engagement", OR(AND(R576&gt;4, R576&lt;=32), AND(S576&gt;6, S576&lt;=19)),"Medium Engagement", TRUE, "Low Engagement"
)</f>
        <v>Low Engagement</v>
      </c>
      <c r="AA576">
        <f t="shared" si="44"/>
        <v>0.26733250104036621</v>
      </c>
    </row>
    <row r="577" spans="1:27" x14ac:dyDescent="0.35">
      <c r="A577" s="2">
        <v>1503960366</v>
      </c>
      <c r="B577" s="2" t="s">
        <v>82</v>
      </c>
      <c r="C577" s="2">
        <f>VLOOKUP(user_activity!A785,users_details!$A$1:$G$34,5,0)</f>
        <v>53</v>
      </c>
      <c r="D577" s="2" t="str" cm="1">
        <f t="array" ref="D577">_xlfn.IFS( AND(C577&gt;=18, C577&lt;=25), "Emerging Adults",  AND(C577&gt;=26, C577&lt;=35),  "Young Adults",  AND(C577&gt;=36, C577&lt;=45),  "Midlife Adults",  AND(C577&gt;=46, C577&lt;=55), "Mature Adults", C577&gt;=56,  "Older Adults", TRUE, "Age Not Mentioned")</f>
        <v>Mature Adults</v>
      </c>
      <c r="E577" s="2" t="str">
        <f>VLOOKUP(user_activity!A785,users_details!$A$1:$G$34,6,0)</f>
        <v>Harlem, Manhattan</v>
      </c>
      <c r="F577" s="2" t="str">
        <f>VLOOKUP(user_activity!A785,users_details!$A$1:$G$34,7,0)</f>
        <v>Harlem</v>
      </c>
      <c r="G577" s="2" t="s">
        <v>72</v>
      </c>
      <c r="H577" s="7">
        <v>42476</v>
      </c>
      <c r="I577" s="9" t="str">
        <f t="shared" si="40"/>
        <v>Saturday</v>
      </c>
      <c r="J577" s="9" t="str">
        <f t="shared" si="41"/>
        <v>April</v>
      </c>
      <c r="K577" s="2">
        <v>8.1599998469999999</v>
      </c>
      <c r="L577" s="2">
        <v>8.1599998469999999</v>
      </c>
      <c r="M577" s="2">
        <v>0</v>
      </c>
      <c r="N577" s="2">
        <v>2.710000038</v>
      </c>
      <c r="O577" s="2">
        <v>0.40999999599999998</v>
      </c>
      <c r="P577" s="2">
        <v>5.0399999619999996</v>
      </c>
      <c r="Q577" s="2">
        <v>0</v>
      </c>
      <c r="R577" s="2">
        <v>36</v>
      </c>
      <c r="S577" s="2">
        <v>10</v>
      </c>
      <c r="T577" s="2">
        <v>221</v>
      </c>
      <c r="U577" s="2">
        <f t="shared" si="42"/>
        <v>267</v>
      </c>
      <c r="V577" s="2">
        <v>773</v>
      </c>
      <c r="W577" s="2">
        <v>12669</v>
      </c>
      <c r="X577" s="2">
        <f t="shared" si="43"/>
        <v>12669</v>
      </c>
      <c r="Y577" s="2">
        <v>1863</v>
      </c>
      <c r="Z577" t="str" cm="1">
        <f t="array" ref="Z577">_xlfn.IFS(OR(R577&gt;66, S577&gt;38), "High Engagement", OR(AND(R577&gt;32, R577&lt;=66), AND(S577&gt;19, S577&lt;=38)), "Medium-High Engagement", OR(AND(R577&gt;4, R577&lt;=32), AND(S577&gt;6, S577&lt;=19)),"Medium Engagement", TRUE, "Low Engagement"
)</f>
        <v>Medium-High Engagement</v>
      </c>
      <c r="AA577">
        <f t="shared" si="44"/>
        <v>0.14705185886810324</v>
      </c>
    </row>
    <row r="578" spans="1:27" x14ac:dyDescent="0.35">
      <c r="A578" s="2">
        <v>1503960366</v>
      </c>
      <c r="B578" s="2" t="s">
        <v>82</v>
      </c>
      <c r="C578" s="2">
        <f>VLOOKUP(user_activity!A804,users_details!$A$1:$G$34,5,0)</f>
        <v>54</v>
      </c>
      <c r="D578" s="2" t="str" cm="1">
        <f t="array" ref="D578">_xlfn.IFS( AND(C578&gt;=18, C578&lt;=25), "Emerging Adults",  AND(C578&gt;=26, C578&lt;=35),  "Young Adults",  AND(C578&gt;=36, C578&lt;=45),  "Midlife Adults",  AND(C578&gt;=46, C578&lt;=55), "Mature Adults", C578&gt;=56,  "Older Adults", TRUE, "Age Not Mentioned")</f>
        <v>Mature Adults</v>
      </c>
      <c r="E578" s="2" t="str">
        <f>VLOOKUP(user_activity!A804,users_details!$A$1:$G$34,6,0)</f>
        <v>Crown Heights, Brooklyn</v>
      </c>
      <c r="F578" s="2" t="str">
        <f>VLOOKUP(user_activity!A804,users_details!$A$1:$G$34,7,0)</f>
        <v>Crown Heights</v>
      </c>
      <c r="G578" s="2" t="s">
        <v>72</v>
      </c>
      <c r="H578" s="7">
        <v>42618</v>
      </c>
      <c r="I578" s="9" t="str">
        <f t="shared" ref="I578:I641" si="45">TEXT(H578, "dddd")</f>
        <v>Monday</v>
      </c>
      <c r="J578" s="9" t="str">
        <f t="shared" ref="J578:J641" si="46">TEXT(H578, "mmmm")</f>
        <v>September</v>
      </c>
      <c r="K578" s="2">
        <v>7.7199997900000001</v>
      </c>
      <c r="L578" s="2">
        <v>7.7199997900000001</v>
      </c>
      <c r="M578" s="2">
        <v>0</v>
      </c>
      <c r="N578" s="2">
        <v>3.4500000480000002</v>
      </c>
      <c r="O578" s="2">
        <v>0.52999997099999996</v>
      </c>
      <c r="P578" s="2">
        <v>3.7400000100000002</v>
      </c>
      <c r="Q578" s="2">
        <v>0</v>
      </c>
      <c r="R578" s="2">
        <v>46</v>
      </c>
      <c r="S578" s="2">
        <v>11</v>
      </c>
      <c r="T578" s="2">
        <v>206</v>
      </c>
      <c r="U578" s="2">
        <f t="shared" ref="U578:U641" si="47">R578+S578+T578</f>
        <v>263</v>
      </c>
      <c r="V578" s="2">
        <v>835</v>
      </c>
      <c r="W578" s="2">
        <v>12022</v>
      </c>
      <c r="X578" s="2">
        <f t="shared" ref="X578:X641" si="48">IF(W578=0,MEDIAN($W$2:$W$941),W578)</f>
        <v>12022</v>
      </c>
      <c r="Y578" s="2">
        <v>1819</v>
      </c>
      <c r="Z578" t="str" cm="1">
        <f t="array" ref="Z578">_xlfn.IFS(OR(R578&gt;66, S578&gt;38), "High Engagement", OR(AND(R578&gt;32, R578&lt;=66), AND(S578&gt;19, S578&lt;=38)), "Medium-High Engagement", OR(AND(R578&gt;4, R578&lt;=32), AND(S578&gt;6, S578&lt;=19)),"Medium Engagement", TRUE, "Low Engagement"
)</f>
        <v>Medium-High Engagement</v>
      </c>
      <c r="AA578">
        <f t="shared" si="44"/>
        <v>0.15130593911162868</v>
      </c>
    </row>
    <row r="579" spans="1:27" x14ac:dyDescent="0.35">
      <c r="A579" s="2">
        <v>1503960366</v>
      </c>
      <c r="B579" s="2" t="s">
        <v>82</v>
      </c>
      <c r="C579" s="2">
        <f>VLOOKUP(user_activity!A825,users_details!$A$1:$G$34,5,0)</f>
        <v>56</v>
      </c>
      <c r="D579" s="2" t="str" cm="1">
        <f t="array" ref="D579">_xlfn.IFS( AND(C579&gt;=18, C579&lt;=25), "Emerging Adults",  AND(C579&gt;=26, C579&lt;=35),  "Young Adults",  AND(C579&gt;=36, C579&lt;=45),  "Midlife Adults",  AND(C579&gt;=46, C579&lt;=55), "Mature Adults", C579&gt;=56,  "Older Adults", TRUE, "Age Not Mentioned")</f>
        <v>Older Adults</v>
      </c>
      <c r="E579" s="2" t="str">
        <f>VLOOKUP(user_activity!A825,users_details!$A$1:$G$34,6,0)</f>
        <v>Flatbush, Brooklyn</v>
      </c>
      <c r="F579" s="2" t="str">
        <f>VLOOKUP(user_activity!A825,users_details!$A$1:$G$34,7,0)</f>
        <v>Flatbush</v>
      </c>
      <c r="G579" s="2" t="s">
        <v>72</v>
      </c>
      <c r="H579" s="7">
        <v>42486</v>
      </c>
      <c r="I579" s="9" t="str">
        <f t="shared" si="45"/>
        <v>Tuesday</v>
      </c>
      <c r="J579" s="9" t="str">
        <f t="shared" si="46"/>
        <v>April</v>
      </c>
      <c r="K579" s="2">
        <v>8.7899999619999996</v>
      </c>
      <c r="L579" s="2">
        <v>8.7899999619999996</v>
      </c>
      <c r="M579" s="2">
        <v>0</v>
      </c>
      <c r="N579" s="2">
        <v>2.329999924</v>
      </c>
      <c r="O579" s="2">
        <v>0.920000017</v>
      </c>
      <c r="P579" s="2">
        <v>5.5399999619999996</v>
      </c>
      <c r="Q579" s="2">
        <v>0</v>
      </c>
      <c r="R579" s="2">
        <v>31</v>
      </c>
      <c r="S579" s="2">
        <v>23</v>
      </c>
      <c r="T579" s="2">
        <v>279</v>
      </c>
      <c r="U579" s="2">
        <f t="shared" si="47"/>
        <v>333</v>
      </c>
      <c r="V579" s="2">
        <v>833</v>
      </c>
      <c r="W579" s="2">
        <v>13755</v>
      </c>
      <c r="X579" s="2">
        <f t="shared" si="48"/>
        <v>13755</v>
      </c>
      <c r="Y579" s="2">
        <v>1970</v>
      </c>
      <c r="Z579" t="str" cm="1">
        <f t="array" ref="Z579">_xlfn.IFS(OR(R579&gt;66, S579&gt;38), "High Engagement", OR(AND(R579&gt;32, R579&lt;=66), AND(S579&gt;19, S579&lt;=38)), "Medium-High Engagement", OR(AND(R579&gt;4, R579&lt;=32), AND(S579&gt;6, S579&lt;=19)),"Medium Engagement", TRUE, "Low Engagement"
)</f>
        <v>Medium-High Engagement</v>
      </c>
      <c r="AA579">
        <f t="shared" ref="AA579:AA642" si="49">IF(W579&gt;0, Y579/W579, 0)</f>
        <v>0.14322064703744092</v>
      </c>
    </row>
    <row r="580" spans="1:27" x14ac:dyDescent="0.35">
      <c r="A580" s="2">
        <v>1503960366</v>
      </c>
      <c r="B580" s="2" t="s">
        <v>82</v>
      </c>
      <c r="C580" s="2">
        <f>VLOOKUP(user_activity!A860,users_details!$A$1:$G$34,5,0)</f>
        <v>58</v>
      </c>
      <c r="D580" s="2" t="str" cm="1">
        <f t="array" ref="D580">_xlfn.IFS( AND(C580&gt;=18, C580&lt;=25), "Emerging Adults",  AND(C580&gt;=26, C580&lt;=35),  "Young Adults",  AND(C580&gt;=36, C580&lt;=45),  "Midlife Adults",  AND(C580&gt;=46, C580&lt;=55), "Mature Adults", C580&gt;=56,  "Older Adults", TRUE, "Age Not Mentioned")</f>
        <v>Older Adults</v>
      </c>
      <c r="E580" s="2" t="str">
        <f>VLOOKUP(user_activity!A860,users_details!$A$1:$G$34,6,0)</f>
        <v>East Village, Manhattan</v>
      </c>
      <c r="F580" s="2" t="str">
        <f>VLOOKUP(user_activity!A860,users_details!$A$1:$G$34,7,0)</f>
        <v>East Village</v>
      </c>
      <c r="G580" s="2" t="s">
        <v>72</v>
      </c>
      <c r="H580" s="7">
        <v>42473</v>
      </c>
      <c r="I580" s="9" t="str">
        <f t="shared" si="45"/>
        <v>Wednesday</v>
      </c>
      <c r="J580" s="9" t="str">
        <f t="shared" si="46"/>
        <v>April</v>
      </c>
      <c r="K580" s="2">
        <v>6.9699997900000001</v>
      </c>
      <c r="L580" s="2">
        <v>6.9699997900000001</v>
      </c>
      <c r="M580" s="2">
        <v>0</v>
      </c>
      <c r="N580" s="2">
        <v>1.5700000519999999</v>
      </c>
      <c r="O580" s="2">
        <v>0.689999998</v>
      </c>
      <c r="P580" s="2">
        <v>4.7100000380000004</v>
      </c>
      <c r="Q580" s="2">
        <v>0</v>
      </c>
      <c r="R580" s="2">
        <v>21</v>
      </c>
      <c r="S580" s="2">
        <v>19</v>
      </c>
      <c r="T580" s="2">
        <v>217</v>
      </c>
      <c r="U580" s="2">
        <f t="shared" si="47"/>
        <v>257</v>
      </c>
      <c r="V580" s="2">
        <v>776</v>
      </c>
      <c r="W580" s="2">
        <v>10735</v>
      </c>
      <c r="X580" s="2">
        <f t="shared" si="48"/>
        <v>10735</v>
      </c>
      <c r="Y580" s="2">
        <v>1797</v>
      </c>
      <c r="Z580" t="str" cm="1">
        <f t="array" ref="Z580">_xlfn.IFS(OR(R580&gt;66, S580&gt;38), "High Engagement", OR(AND(R580&gt;32, R580&lt;=66), AND(S580&gt;19, S580&lt;=38)), "Medium-High Engagement", OR(AND(R580&gt;4, R580&lt;=32), AND(S580&gt;6, S580&lt;=19)),"Medium Engagement", TRUE, "Low Engagement"
)</f>
        <v>Medium Engagement</v>
      </c>
      <c r="AA580">
        <f t="shared" si="49"/>
        <v>0.16739636702375407</v>
      </c>
    </row>
    <row r="581" spans="1:27" x14ac:dyDescent="0.35">
      <c r="A581" s="2">
        <v>8583815059</v>
      </c>
      <c r="B581" s="2" t="s">
        <v>92</v>
      </c>
      <c r="C581" s="2">
        <f>VLOOKUP(user_activity!A861,users_details!$A$1:$G$34,5,0)</f>
        <v>58</v>
      </c>
      <c r="D581" s="2" t="str" cm="1">
        <f t="array" ref="D581">_xlfn.IFS( AND(C581&gt;=18, C581&lt;=25), "Emerging Adults",  AND(C581&gt;=26, C581&lt;=35),  "Young Adults",  AND(C581&gt;=36, C581&lt;=45),  "Midlife Adults",  AND(C581&gt;=46, C581&lt;=55), "Mature Adults", C581&gt;=56,  "Older Adults", TRUE, "Age Not Mentioned")</f>
        <v>Older Adults</v>
      </c>
      <c r="E581" s="2" t="str">
        <f>VLOOKUP(user_activity!A861,users_details!$A$1:$G$34,6,0)</f>
        <v>East Village, Manhattan</v>
      </c>
      <c r="F581" s="2" t="str">
        <f>VLOOKUP(user_activity!A861,users_details!$A$1:$G$34,7,0)</f>
        <v>East Village</v>
      </c>
      <c r="G581" s="2" t="s">
        <v>72</v>
      </c>
      <c r="H581" s="7">
        <v>42679</v>
      </c>
      <c r="I581" s="9" t="str">
        <f t="shared" si="45"/>
        <v>Saturday</v>
      </c>
      <c r="J581" s="9" t="str">
        <f t="shared" si="46"/>
        <v>November</v>
      </c>
      <c r="K581" s="2">
        <v>6.7899999619999996</v>
      </c>
      <c r="L581" s="2">
        <v>6.7899999619999996</v>
      </c>
      <c r="M581" s="2">
        <v>0</v>
      </c>
      <c r="N581" s="2">
        <v>0.37000000500000002</v>
      </c>
      <c r="O581" s="2">
        <v>3.2400000100000002</v>
      </c>
      <c r="P581" s="2">
        <v>3.170000076</v>
      </c>
      <c r="Q581" s="2">
        <v>0</v>
      </c>
      <c r="R581" s="2">
        <v>5</v>
      </c>
      <c r="S581" s="2">
        <v>71</v>
      </c>
      <c r="T581" s="2">
        <v>177</v>
      </c>
      <c r="U581" s="2">
        <f t="shared" si="47"/>
        <v>253</v>
      </c>
      <c r="V581" s="2">
        <v>1106</v>
      </c>
      <c r="W581" s="2">
        <v>8701</v>
      </c>
      <c r="X581" s="2">
        <f t="shared" si="48"/>
        <v>8701</v>
      </c>
      <c r="Y581" s="2">
        <v>2804</v>
      </c>
      <c r="Z581" t="str" cm="1">
        <f t="array" ref="Z581">_xlfn.IFS(OR(R581&gt;66, S581&gt;38), "High Engagement", OR(AND(R581&gt;32, R581&lt;=66), AND(S581&gt;19, S581&lt;=38)), "Medium-High Engagement", OR(AND(R581&gt;4, R581&lt;=32), AND(S581&gt;6, S581&lt;=19)),"Medium Engagement", TRUE, "Low Engagement"
)</f>
        <v>High Engagement</v>
      </c>
      <c r="AA581">
        <f t="shared" si="49"/>
        <v>0.3222618089874727</v>
      </c>
    </row>
    <row r="582" spans="1:27" x14ac:dyDescent="0.35">
      <c r="A582" s="2">
        <v>1503960366</v>
      </c>
      <c r="B582" s="2" t="s">
        <v>82</v>
      </c>
      <c r="C582" s="2">
        <f>VLOOKUP(user_activity!A877,users_details!$A$1:$G$34,5,0)</f>
        <v>58</v>
      </c>
      <c r="D582" s="2" t="str" cm="1">
        <f t="array" ref="D582">_xlfn.IFS( AND(C582&gt;=18, C582&lt;=25), "Emerging Adults",  AND(C582&gt;=26, C582&lt;=35),  "Young Adults",  AND(C582&gt;=36, C582&lt;=45),  "Midlife Adults",  AND(C582&gt;=46, C582&lt;=55), "Mature Adults", C582&gt;=56,  "Older Adults", TRUE, "Age Not Mentioned")</f>
        <v>Older Adults</v>
      </c>
      <c r="E582" s="2" t="str">
        <f>VLOOKUP(user_activity!A877,users_details!$A$1:$G$34,6,0)</f>
        <v>East Village, Manhattan</v>
      </c>
      <c r="F582" s="2" t="str">
        <f>VLOOKUP(user_activity!A877,users_details!$A$1:$G$34,7,0)</f>
        <v>East Village</v>
      </c>
      <c r="G582" s="2" t="s">
        <v>72</v>
      </c>
      <c r="H582" s="7">
        <v>42485</v>
      </c>
      <c r="I582" s="9" t="str">
        <f t="shared" si="45"/>
        <v>Monday</v>
      </c>
      <c r="J582" s="9" t="str">
        <f t="shared" si="46"/>
        <v>April</v>
      </c>
      <c r="K582" s="2">
        <v>9.8000001910000005</v>
      </c>
      <c r="L582" s="2">
        <v>9.8000001910000005</v>
      </c>
      <c r="M582" s="2">
        <v>0</v>
      </c>
      <c r="N582" s="2">
        <v>5.2899999619999996</v>
      </c>
      <c r="O582" s="2">
        <v>0.56999999300000004</v>
      </c>
      <c r="P582" s="2">
        <v>3.9400000569999998</v>
      </c>
      <c r="Q582" s="2">
        <v>0</v>
      </c>
      <c r="R582" s="2">
        <v>73</v>
      </c>
      <c r="S582" s="2">
        <v>14</v>
      </c>
      <c r="T582" s="2">
        <v>216</v>
      </c>
      <c r="U582" s="2">
        <f t="shared" si="47"/>
        <v>303</v>
      </c>
      <c r="V582" s="2">
        <v>814</v>
      </c>
      <c r="W582" s="2">
        <v>15355</v>
      </c>
      <c r="X582" s="2">
        <f t="shared" si="48"/>
        <v>15355</v>
      </c>
      <c r="Y582" s="2">
        <v>2013</v>
      </c>
      <c r="Z582" t="str" cm="1">
        <f t="array" ref="Z582">_xlfn.IFS(OR(R582&gt;66, S582&gt;38), "High Engagement", OR(AND(R582&gt;32, R582&lt;=66), AND(S582&gt;19, S582&lt;=38)), "Medium-High Engagement", OR(AND(R582&gt;4, R582&lt;=32), AND(S582&gt;6, S582&lt;=19)),"Medium Engagement", TRUE, "Low Engagement"
)</f>
        <v>High Engagement</v>
      </c>
      <c r="AA582">
        <f t="shared" si="49"/>
        <v>0.13109736242266362</v>
      </c>
    </row>
    <row r="583" spans="1:27" x14ac:dyDescent="0.35">
      <c r="A583" s="2">
        <v>8583815059</v>
      </c>
      <c r="B583" s="2" t="s">
        <v>92</v>
      </c>
      <c r="C583" s="2">
        <f>VLOOKUP(user_activity!A893,users_details!$A$1:$G$34,5,0)</f>
        <v>59</v>
      </c>
      <c r="D583" s="2" t="str" cm="1">
        <f t="array" ref="D583">_xlfn.IFS( AND(C583&gt;=18, C583&lt;=25), "Emerging Adults",  AND(C583&gt;=26, C583&lt;=35),  "Young Adults",  AND(C583&gt;=36, C583&lt;=45),  "Midlife Adults",  AND(C583&gt;=46, C583&lt;=55), "Mature Adults", C583&gt;=56,  "Older Adults", TRUE, "Age Not Mentioned")</f>
        <v>Older Adults</v>
      </c>
      <c r="E583" s="2" t="str">
        <f>VLOOKUP(user_activity!A893,users_details!$A$1:$G$34,6,0)</f>
        <v>Upper West Side, Manhattan</v>
      </c>
      <c r="F583" s="2" t="str">
        <f>VLOOKUP(user_activity!A893,users_details!$A$1:$G$34,7,0)</f>
        <v>Upper West Side</v>
      </c>
      <c r="G583" s="2" t="s">
        <v>72</v>
      </c>
      <c r="H583" s="7">
        <v>42587</v>
      </c>
      <c r="I583" s="9" t="str">
        <f t="shared" si="45"/>
        <v>Friday</v>
      </c>
      <c r="J583" s="9" t="str">
        <f t="shared" si="46"/>
        <v>August</v>
      </c>
      <c r="K583" s="2">
        <v>7.1900000569999998</v>
      </c>
      <c r="L583" s="2">
        <v>7.1900000569999998</v>
      </c>
      <c r="M583" s="2">
        <v>0</v>
      </c>
      <c r="N583" s="2">
        <v>0.219999999</v>
      </c>
      <c r="O583" s="2">
        <v>3.3099999430000002</v>
      </c>
      <c r="P583" s="2">
        <v>3.6600000860000002</v>
      </c>
      <c r="Q583" s="2">
        <v>0</v>
      </c>
      <c r="R583" s="2">
        <v>3</v>
      </c>
      <c r="S583" s="2">
        <v>72</v>
      </c>
      <c r="T583" s="2">
        <v>182</v>
      </c>
      <c r="U583" s="2">
        <f t="shared" si="47"/>
        <v>257</v>
      </c>
      <c r="V583" s="2">
        <v>1183</v>
      </c>
      <c r="W583" s="2">
        <v>9217</v>
      </c>
      <c r="X583" s="2">
        <f t="shared" si="48"/>
        <v>9217</v>
      </c>
      <c r="Y583" s="2">
        <v>2940</v>
      </c>
      <c r="Z583" t="str" cm="1">
        <f t="array" ref="Z583">_xlfn.IFS(OR(R583&gt;66, S583&gt;38), "High Engagement", OR(AND(R583&gt;32, R583&lt;=66), AND(S583&gt;19, S583&lt;=38)), "Medium-High Engagement", OR(AND(R583&gt;4, R583&lt;=32), AND(S583&gt;6, S583&lt;=19)),"Medium Engagement", TRUE, "Low Engagement"
)</f>
        <v>High Engagement</v>
      </c>
      <c r="AA583">
        <f t="shared" si="49"/>
        <v>0.31897580557665184</v>
      </c>
    </row>
    <row r="584" spans="1:27" x14ac:dyDescent="0.35">
      <c r="A584" s="2">
        <v>8583815059</v>
      </c>
      <c r="B584" s="2" t="s">
        <v>92</v>
      </c>
      <c r="C584" s="2">
        <f>VLOOKUP(user_activity!A905,users_details!$A$1:$G$34,5,0)</f>
        <v>59</v>
      </c>
      <c r="D584" s="2" t="str" cm="1">
        <f t="array" ref="D584">_xlfn.IFS( AND(C584&gt;=18, C584&lt;=25), "Emerging Adults",  AND(C584&gt;=26, C584&lt;=35),  "Young Adults",  AND(C584&gt;=36, C584&lt;=45),  "Midlife Adults",  AND(C584&gt;=46, C584&lt;=55), "Mature Adults", C584&gt;=56,  "Older Adults", TRUE, "Age Not Mentioned")</f>
        <v>Older Adults</v>
      </c>
      <c r="E584" s="2" t="str">
        <f>VLOOKUP(user_activity!A905,users_details!$A$1:$G$34,6,0)</f>
        <v>Upper West Side, Manhattan</v>
      </c>
      <c r="F584" s="2" t="str">
        <f>VLOOKUP(user_activity!A905,users_details!$A$1:$G$34,7,0)</f>
        <v>Upper West Side</v>
      </c>
      <c r="G584" s="2" t="s">
        <v>72</v>
      </c>
      <c r="H584" s="7">
        <v>42479</v>
      </c>
      <c r="I584" s="9" t="str">
        <f t="shared" si="45"/>
        <v>Tuesday</v>
      </c>
      <c r="J584" s="9" t="str">
        <f t="shared" si="46"/>
        <v>April</v>
      </c>
      <c r="K584" s="2">
        <v>4.4400000569999998</v>
      </c>
      <c r="L584" s="2">
        <v>4.4400000569999998</v>
      </c>
      <c r="M584" s="2">
        <v>0</v>
      </c>
      <c r="N584" s="2">
        <v>0.52999997099999996</v>
      </c>
      <c r="O584" s="2">
        <v>0.47999998900000002</v>
      </c>
      <c r="P584" s="2">
        <v>3.4400000569999998</v>
      </c>
      <c r="Q584" s="2">
        <v>0</v>
      </c>
      <c r="R584" s="2">
        <v>7</v>
      </c>
      <c r="S584" s="2">
        <v>10</v>
      </c>
      <c r="T584" s="2">
        <v>166</v>
      </c>
      <c r="U584" s="2">
        <f t="shared" si="47"/>
        <v>183</v>
      </c>
      <c r="V584" s="2">
        <v>1257</v>
      </c>
      <c r="W584" s="2">
        <v>5697</v>
      </c>
      <c r="X584" s="2">
        <f t="shared" si="48"/>
        <v>5697</v>
      </c>
      <c r="Y584" s="2">
        <v>2668</v>
      </c>
      <c r="Z584" t="str" cm="1">
        <f t="array" ref="Z584">_xlfn.IFS(OR(R584&gt;66, S584&gt;38), "High Engagement", OR(AND(R584&gt;32, R584&lt;=66), AND(S584&gt;19, S584&lt;=38)), "Medium-High Engagement", OR(AND(R584&gt;4, R584&lt;=32), AND(S584&gt;6, S584&lt;=19)),"Medium Engagement", TRUE, "Low Engagement"
)</f>
        <v>Medium Engagement</v>
      </c>
      <c r="AA584">
        <f t="shared" si="49"/>
        <v>0.46831665789011762</v>
      </c>
    </row>
    <row r="585" spans="1:27" x14ac:dyDescent="0.35">
      <c r="A585" s="2">
        <v>1503960366</v>
      </c>
      <c r="B585" s="2" t="s">
        <v>82</v>
      </c>
      <c r="C585" s="2">
        <f>VLOOKUP(user_activity!A908,users_details!$A$1:$G$34,5,0)</f>
        <v>59</v>
      </c>
      <c r="D585" s="2" t="str" cm="1">
        <f t="array" ref="D585">_xlfn.IFS( AND(C585&gt;=18, C585&lt;=25), "Emerging Adults",  AND(C585&gt;=26, C585&lt;=35),  "Young Adults",  AND(C585&gt;=36, C585&lt;=45),  "Midlife Adults",  AND(C585&gt;=46, C585&lt;=55), "Mature Adults", C585&gt;=56,  "Older Adults", TRUE, "Age Not Mentioned")</f>
        <v>Older Adults</v>
      </c>
      <c r="E585" s="2" t="str">
        <f>VLOOKUP(user_activity!A908,users_details!$A$1:$G$34,6,0)</f>
        <v>Upper West Side, Manhattan</v>
      </c>
      <c r="F585" s="2" t="str">
        <f>VLOOKUP(user_activity!A908,users_details!$A$1:$G$34,7,0)</f>
        <v>Upper West Side</v>
      </c>
      <c r="G585" s="2" t="s">
        <v>72</v>
      </c>
      <c r="H585" s="7">
        <v>42434</v>
      </c>
      <c r="I585" s="9" t="str">
        <f t="shared" si="45"/>
        <v>Saturday</v>
      </c>
      <c r="J585" s="9" t="str">
        <f t="shared" si="46"/>
        <v>March</v>
      </c>
      <c r="K585" s="2">
        <v>9.6599998469999999</v>
      </c>
      <c r="L585" s="2">
        <v>9.6599998469999999</v>
      </c>
      <c r="M585" s="2">
        <v>0</v>
      </c>
      <c r="N585" s="2">
        <v>3.7300000190000002</v>
      </c>
      <c r="O585" s="2">
        <v>1.0499999520000001</v>
      </c>
      <c r="P585" s="2">
        <v>4.8800001139999996</v>
      </c>
      <c r="Q585" s="2">
        <v>0</v>
      </c>
      <c r="R585" s="2">
        <v>50</v>
      </c>
      <c r="S585" s="2">
        <v>24</v>
      </c>
      <c r="T585" s="2">
        <v>254</v>
      </c>
      <c r="U585" s="2">
        <f t="shared" si="47"/>
        <v>328</v>
      </c>
      <c r="V585" s="2">
        <v>816</v>
      </c>
      <c r="W585" s="2">
        <v>15103</v>
      </c>
      <c r="X585" s="2">
        <f t="shared" si="48"/>
        <v>15103</v>
      </c>
      <c r="Y585" s="2">
        <v>1990</v>
      </c>
      <c r="Z585" t="str" cm="1">
        <f t="array" ref="Z585">_xlfn.IFS(OR(R585&gt;66, S585&gt;38), "High Engagement", OR(AND(R585&gt;32, R585&lt;=66), AND(S585&gt;19, S585&lt;=38)), "Medium-High Engagement", OR(AND(R585&gt;4, R585&lt;=32), AND(S585&gt;6, S585&lt;=19)),"Medium Engagement", TRUE, "Low Engagement"
)</f>
        <v>Medium-High Engagement</v>
      </c>
      <c r="AA585">
        <f t="shared" si="49"/>
        <v>0.13176190160895188</v>
      </c>
    </row>
    <row r="586" spans="1:27" x14ac:dyDescent="0.35">
      <c r="A586" s="2">
        <v>8583815059</v>
      </c>
      <c r="B586" s="2" t="s">
        <v>92</v>
      </c>
      <c r="C586" s="2">
        <f>VLOOKUP(user_activity!A924,users_details!$A$1:$G$34,5,0)</f>
        <v>60</v>
      </c>
      <c r="D586" s="2" t="str" cm="1">
        <f t="array" ref="D586">_xlfn.IFS( AND(C586&gt;=18, C586&lt;=25), "Emerging Adults",  AND(C586&gt;=26, C586&lt;=35),  "Young Adults",  AND(C586&gt;=36, C586&lt;=45),  "Midlife Adults",  AND(C586&gt;=46, C586&lt;=55), "Mature Adults", C586&gt;=56,  "Older Adults", TRUE, "Age Not Mentioned")</f>
        <v>Older Adults</v>
      </c>
      <c r="E586" s="2" t="str">
        <f>VLOOKUP(user_activity!A924,users_details!$A$1:$G$34,6,0)</f>
        <v>East Village, Manhattan</v>
      </c>
      <c r="F586" s="2" t="str">
        <f>VLOOKUP(user_activity!A924,users_details!$A$1:$G$34,7,0)</f>
        <v>East Village</v>
      </c>
      <c r="G586" s="2" t="s">
        <v>72</v>
      </c>
      <c r="H586" s="7">
        <v>42465</v>
      </c>
      <c r="I586" s="9" t="str">
        <f t="shared" si="45"/>
        <v>Tuesday</v>
      </c>
      <c r="J586" s="9" t="str">
        <f t="shared" si="46"/>
        <v>April</v>
      </c>
      <c r="K586" s="2">
        <v>2.7999999519999998</v>
      </c>
      <c r="L586" s="2">
        <v>2.7999999519999998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f t="shared" si="47"/>
        <v>0</v>
      </c>
      <c r="V586" s="2">
        <v>1440</v>
      </c>
      <c r="W586" s="2">
        <v>3588</v>
      </c>
      <c r="X586" s="2">
        <f t="shared" si="48"/>
        <v>3588</v>
      </c>
      <c r="Y586" s="2">
        <v>2516</v>
      </c>
      <c r="Z586" t="str" cm="1">
        <f t="array" ref="Z586">_xlfn.IFS(OR(R586&gt;66, S586&gt;38), "High Engagement", OR(AND(R586&gt;32, R586&lt;=66), AND(S586&gt;19, S586&lt;=38)), "Medium-High Engagement", OR(AND(R586&gt;4, R586&lt;=32), AND(S586&gt;6, S586&lt;=19)),"Medium Engagement", TRUE, "Low Engagement"
)</f>
        <v>Low Engagement</v>
      </c>
      <c r="AA586">
        <f t="shared" si="49"/>
        <v>0.70122630992196211</v>
      </c>
    </row>
    <row r="587" spans="1:27" x14ac:dyDescent="0.35">
      <c r="A587" s="2">
        <v>1503960366</v>
      </c>
      <c r="B587" s="2" t="s">
        <v>82</v>
      </c>
      <c r="C587" s="2">
        <f>VLOOKUP(user_activity!A934,users_details!$A$1:$G$34,5,0)</f>
        <v>60</v>
      </c>
      <c r="D587" s="2" t="str" cm="1">
        <f t="array" ref="D587">_xlfn.IFS( AND(C587&gt;=18, C587&lt;=25), "Emerging Adults",  AND(C587&gt;=26, C587&lt;=35),  "Young Adults",  AND(C587&gt;=36, C587&lt;=45),  "Midlife Adults",  AND(C587&gt;=46, C587&lt;=55), "Mature Adults", C587&gt;=56,  "Older Adults", TRUE, "Age Not Mentioned")</f>
        <v>Older Adults</v>
      </c>
      <c r="E587" s="2" t="str">
        <f>VLOOKUP(user_activity!A934,users_details!$A$1:$G$34,6,0)</f>
        <v>East Village, Manhattan</v>
      </c>
      <c r="F587" s="2" t="str">
        <f>VLOOKUP(user_activity!A934,users_details!$A$1:$G$34,7,0)</f>
        <v>East Village</v>
      </c>
      <c r="G587" s="2" t="s">
        <v>72</v>
      </c>
      <c r="H587" s="7">
        <v>42405</v>
      </c>
      <c r="I587" s="9" t="str">
        <f t="shared" si="45"/>
        <v>Friday</v>
      </c>
      <c r="J587" s="9" t="str">
        <f t="shared" si="46"/>
        <v>February</v>
      </c>
      <c r="K587" s="2">
        <v>9.7100000380000004</v>
      </c>
      <c r="L587" s="2">
        <v>9.7100000380000004</v>
      </c>
      <c r="M587" s="2">
        <v>0</v>
      </c>
      <c r="N587" s="2">
        <v>3.210000038</v>
      </c>
      <c r="O587" s="2">
        <v>0.56999999300000004</v>
      </c>
      <c r="P587" s="2">
        <v>5.920000076</v>
      </c>
      <c r="Q587" s="2">
        <v>0</v>
      </c>
      <c r="R587" s="2">
        <v>41</v>
      </c>
      <c r="S587" s="2">
        <v>15</v>
      </c>
      <c r="T587" s="2">
        <v>277</v>
      </c>
      <c r="U587" s="2">
        <f t="shared" si="47"/>
        <v>333</v>
      </c>
      <c r="V587" s="2">
        <v>798</v>
      </c>
      <c r="W587" s="2">
        <v>14727</v>
      </c>
      <c r="X587" s="2">
        <f t="shared" si="48"/>
        <v>14727</v>
      </c>
      <c r="Y587" s="2">
        <v>2004</v>
      </c>
      <c r="Z587" t="str" cm="1">
        <f t="array" ref="Z587">_xlfn.IFS(OR(R587&gt;66, S587&gt;38), "High Engagement", OR(AND(R587&gt;32, R587&lt;=66), AND(S587&gt;19, S587&lt;=38)), "Medium-High Engagement", OR(AND(R587&gt;4, R587&lt;=32), AND(S587&gt;6, S587&lt;=19)),"Medium Engagement", TRUE, "Low Engagement"
)</f>
        <v>Medium-High Engagement</v>
      </c>
      <c r="AA587">
        <f t="shared" si="49"/>
        <v>0.1360765940110002</v>
      </c>
    </row>
    <row r="588" spans="1:27" x14ac:dyDescent="0.35">
      <c r="A588" s="2">
        <v>8583815059</v>
      </c>
      <c r="B588" s="2" t="s">
        <v>92</v>
      </c>
      <c r="C588" s="2">
        <f>VLOOKUP(user_activity!A939,users_details!$A$1:$G$34,5,0)</f>
        <v>60</v>
      </c>
      <c r="D588" s="2" t="str" cm="1">
        <f t="array" ref="D588">_xlfn.IFS( AND(C588&gt;=18, C588&lt;=25), "Emerging Adults",  AND(C588&gt;=26, C588&lt;=35),  "Young Adults",  AND(C588&gt;=36, C588&lt;=45),  "Midlife Adults",  AND(C588&gt;=46, C588&lt;=55), "Mature Adults", C588&gt;=56,  "Older Adults", TRUE, "Age Not Mentioned")</f>
        <v>Older Adults</v>
      </c>
      <c r="E588" s="2" t="str">
        <f>VLOOKUP(user_activity!A939,users_details!$A$1:$G$34,6,0)</f>
        <v>East Village, Manhattan</v>
      </c>
      <c r="F588" s="2" t="str">
        <f>VLOOKUP(user_activity!A939,users_details!$A$1:$G$34,7,0)</f>
        <v>East Village</v>
      </c>
      <c r="G588" s="2" t="s">
        <v>72</v>
      </c>
      <c r="H588" s="7">
        <v>42483</v>
      </c>
      <c r="I588" s="9" t="str">
        <f t="shared" si="45"/>
        <v>Saturday</v>
      </c>
      <c r="J588" s="9" t="str">
        <f t="shared" si="46"/>
        <v>April</v>
      </c>
      <c r="K588" s="2">
        <v>7.3499999049999998</v>
      </c>
      <c r="L588" s="2">
        <v>7.3499999049999998</v>
      </c>
      <c r="M588" s="2">
        <v>0</v>
      </c>
      <c r="N588" s="2">
        <v>0.52999997099999996</v>
      </c>
      <c r="O588" s="2">
        <v>2.0299999710000001</v>
      </c>
      <c r="P588" s="2">
        <v>4.75</v>
      </c>
      <c r="Q588" s="2">
        <v>0</v>
      </c>
      <c r="R588" s="2">
        <v>7</v>
      </c>
      <c r="S588" s="2">
        <v>44</v>
      </c>
      <c r="T588" s="2">
        <v>238</v>
      </c>
      <c r="U588" s="2">
        <f t="shared" si="47"/>
        <v>289</v>
      </c>
      <c r="V588" s="2">
        <v>1151</v>
      </c>
      <c r="W588" s="2">
        <v>9423</v>
      </c>
      <c r="X588" s="2">
        <f t="shared" si="48"/>
        <v>9423</v>
      </c>
      <c r="Y588" s="2">
        <v>3012</v>
      </c>
      <c r="Z588" t="str" cm="1">
        <f t="array" ref="Z588">_xlfn.IFS(OR(R588&gt;66, S588&gt;38), "High Engagement", OR(AND(R588&gt;32, R588&lt;=66), AND(S588&gt;19, S588&lt;=38)), "Medium-High Engagement", OR(AND(R588&gt;4, R588&lt;=32), AND(S588&gt;6, S588&lt;=19)),"Medium Engagement", TRUE, "Low Engagement"
)</f>
        <v>High Engagement</v>
      </c>
      <c r="AA588">
        <f t="shared" si="49"/>
        <v>0.31964342566061765</v>
      </c>
    </row>
    <row r="589" spans="1:27" x14ac:dyDescent="0.35">
      <c r="A589" s="2">
        <v>3372868164</v>
      </c>
      <c r="B589" s="2" t="s">
        <v>97</v>
      </c>
      <c r="C589" s="2">
        <f>VLOOKUP(user_activity!A56,users_details!$A$1:$G$34,5,0)</f>
        <v>18</v>
      </c>
      <c r="D589" s="2" t="str" cm="1">
        <f t="array" ref="D589">_xlfn.IFS( AND(C589&gt;=18, C589&lt;=25), "Emerging Adults",  AND(C589&gt;=26, C589&lt;=35),  "Young Adults",  AND(C589&gt;=36, C589&lt;=45),  "Midlife Adults",  AND(C589&gt;=46, C589&lt;=55), "Mature Adults", C589&gt;=56,  "Older Adults", TRUE, "Age Not Mentioned")</f>
        <v>Emerging Adults</v>
      </c>
      <c r="E589" s="2" t="str">
        <f>VLOOKUP(user_activity!A56,users_details!$A$1:$G$34,6,0)</f>
        <v>Upper West Side, Manhattan</v>
      </c>
      <c r="F589" s="2" t="str">
        <f>VLOOKUP(user_activity!A56,users_details!$A$1:$G$34,7,0)</f>
        <v>Upper West Side</v>
      </c>
      <c r="G589" s="2" t="s">
        <v>72</v>
      </c>
      <c r="H589" s="7">
        <v>42485</v>
      </c>
      <c r="I589" s="9" t="str">
        <f t="shared" si="45"/>
        <v>Monday</v>
      </c>
      <c r="J589" s="9" t="str">
        <f t="shared" si="46"/>
        <v>April</v>
      </c>
      <c r="K589" s="2">
        <v>4.0900001530000001</v>
      </c>
      <c r="L589" s="2">
        <v>4.0900001530000001</v>
      </c>
      <c r="M589" s="2">
        <v>0</v>
      </c>
      <c r="N589" s="2">
        <v>0</v>
      </c>
      <c r="O589" s="2">
        <v>0</v>
      </c>
      <c r="P589" s="2">
        <v>4.0900001530000001</v>
      </c>
      <c r="Q589" s="2">
        <v>0</v>
      </c>
      <c r="R589" s="2">
        <v>0</v>
      </c>
      <c r="S589" s="2">
        <v>0</v>
      </c>
      <c r="T589" s="2">
        <v>416</v>
      </c>
      <c r="U589" s="2">
        <f t="shared" si="47"/>
        <v>416</v>
      </c>
      <c r="V589" s="2">
        <v>1024</v>
      </c>
      <c r="W589" s="2">
        <v>5995</v>
      </c>
      <c r="X589" s="2">
        <f t="shared" si="48"/>
        <v>5995</v>
      </c>
      <c r="Y589" s="2">
        <v>2010</v>
      </c>
      <c r="Z589" t="str" cm="1">
        <f t="array" ref="Z589">_xlfn.IFS(OR(R589&gt;66, S589&gt;38), "High Engagement", OR(AND(R589&gt;32, R589&lt;=66), AND(S589&gt;19, S589&lt;=38)), "Medium-High Engagement", OR(AND(R589&gt;4, R589&lt;=32), AND(S589&gt;6, S589&lt;=19)),"Medium Engagement", TRUE, "Low Engagement"
)</f>
        <v>Low Engagement</v>
      </c>
      <c r="AA589">
        <f t="shared" si="49"/>
        <v>0.33527939949958296</v>
      </c>
    </row>
    <row r="590" spans="1:27" x14ac:dyDescent="0.35">
      <c r="A590" s="2">
        <v>3372868164</v>
      </c>
      <c r="B590" s="2" t="s">
        <v>97</v>
      </c>
      <c r="C590" s="2">
        <f>VLOOKUP(user_activity!A70,users_details!$A$1:$G$34,5,0)</f>
        <v>21</v>
      </c>
      <c r="D590" s="2" t="str" cm="1">
        <f t="array" ref="D590">_xlfn.IFS( AND(C590&gt;=18, C590&lt;=25), "Emerging Adults",  AND(C590&gt;=26, C590&lt;=35),  "Young Adults",  AND(C590&gt;=36, C590&lt;=45),  "Midlife Adults",  AND(C590&gt;=46, C590&lt;=55), "Mature Adults", C590&gt;=56,  "Older Adults", TRUE, "Age Not Mentioned")</f>
        <v>Emerging Adults</v>
      </c>
      <c r="E590" s="2" t="str">
        <f>VLOOKUP(user_activity!A70,users_details!$A$1:$G$34,6,0)</f>
        <v>Bushwick, Brooklyn</v>
      </c>
      <c r="F590" s="2" t="str">
        <f>VLOOKUP(user_activity!A70,users_details!$A$1:$G$34,7,0)</f>
        <v>Bushwick</v>
      </c>
      <c r="G590" s="2" t="s">
        <v>72</v>
      </c>
      <c r="H590" s="7">
        <v>42486</v>
      </c>
      <c r="I590" s="9" t="str">
        <f t="shared" si="45"/>
        <v>Tuesday</v>
      </c>
      <c r="J590" s="9" t="str">
        <f t="shared" si="46"/>
        <v>April</v>
      </c>
      <c r="K590" s="2">
        <v>5.7899999619999996</v>
      </c>
      <c r="L590" s="2">
        <v>5.7899999619999996</v>
      </c>
      <c r="M590" s="2">
        <v>0</v>
      </c>
      <c r="N590" s="2">
        <v>1.8500000240000001</v>
      </c>
      <c r="O590" s="2">
        <v>5.0000001000000002E-2</v>
      </c>
      <c r="P590" s="2">
        <v>3.869999886</v>
      </c>
      <c r="Q590" s="2">
        <v>0.01</v>
      </c>
      <c r="R590" s="2">
        <v>22</v>
      </c>
      <c r="S590" s="2">
        <v>2</v>
      </c>
      <c r="T590" s="2">
        <v>333</v>
      </c>
      <c r="U590" s="2">
        <f t="shared" si="47"/>
        <v>357</v>
      </c>
      <c r="V590" s="2">
        <v>1083</v>
      </c>
      <c r="W590" s="2">
        <v>8283</v>
      </c>
      <c r="X590" s="2">
        <f t="shared" si="48"/>
        <v>8283</v>
      </c>
      <c r="Y590" s="2">
        <v>2057</v>
      </c>
      <c r="Z590" t="str" cm="1">
        <f t="array" ref="Z590">_xlfn.IFS(OR(R590&gt;66, S590&gt;38), "High Engagement", OR(AND(R590&gt;32, R590&lt;=66), AND(S590&gt;19, S590&lt;=38)), "Medium-High Engagement", OR(AND(R590&gt;4, R590&lt;=32), AND(S590&gt;6, S590&lt;=19)),"Medium Engagement", TRUE, "Low Engagement"
)</f>
        <v>Medium Engagement</v>
      </c>
      <c r="AA590">
        <f t="shared" si="49"/>
        <v>0.24833997343957503</v>
      </c>
    </row>
    <row r="591" spans="1:27" x14ac:dyDescent="0.35">
      <c r="A591" s="2">
        <v>3372868164</v>
      </c>
      <c r="B591" s="2" t="s">
        <v>97</v>
      </c>
      <c r="C591" s="2">
        <f>VLOOKUP(user_activity!A90,users_details!$A$1:$G$34,5,0)</f>
        <v>21</v>
      </c>
      <c r="D591" s="2" t="str" cm="1">
        <f t="array" ref="D591">_xlfn.IFS( AND(C591&gt;=18, C591&lt;=25), "Emerging Adults",  AND(C591&gt;=26, C591&lt;=35),  "Young Adults",  AND(C591&gt;=36, C591&lt;=45),  "Midlife Adults",  AND(C591&gt;=46, C591&lt;=55), "Mature Adults", C591&gt;=56,  "Older Adults", TRUE, "Age Not Mentioned")</f>
        <v>Emerging Adults</v>
      </c>
      <c r="E591" s="2" t="str">
        <f>VLOOKUP(user_activity!A90,users_details!$A$1:$G$34,6,0)</f>
        <v>Bushwick, Brooklyn</v>
      </c>
      <c r="F591" s="2" t="str">
        <f>VLOOKUP(user_activity!A90,users_details!$A$1:$G$34,7,0)</f>
        <v>Bushwick</v>
      </c>
      <c r="G591" s="2" t="s">
        <v>72</v>
      </c>
      <c r="H591" s="7">
        <v>42478</v>
      </c>
      <c r="I591" s="9" t="str">
        <f t="shared" si="45"/>
        <v>Monday</v>
      </c>
      <c r="J591" s="9" t="str">
        <f t="shared" si="46"/>
        <v>April</v>
      </c>
      <c r="K591" s="2">
        <v>4.6399998660000001</v>
      </c>
      <c r="L591" s="2">
        <v>4.6399998660000001</v>
      </c>
      <c r="M591" s="2">
        <v>0</v>
      </c>
      <c r="N591" s="2">
        <v>1.0800000430000001</v>
      </c>
      <c r="O591" s="2">
        <v>0.20000000300000001</v>
      </c>
      <c r="P591" s="2">
        <v>3.3499999049999998</v>
      </c>
      <c r="Q591" s="2">
        <v>0</v>
      </c>
      <c r="R591" s="2">
        <v>20</v>
      </c>
      <c r="S591" s="2">
        <v>7</v>
      </c>
      <c r="T591" s="2">
        <v>343</v>
      </c>
      <c r="U591" s="2">
        <f t="shared" si="47"/>
        <v>370</v>
      </c>
      <c r="V591" s="2">
        <v>1070</v>
      </c>
      <c r="W591" s="2">
        <v>6798</v>
      </c>
      <c r="X591" s="2">
        <f t="shared" si="48"/>
        <v>6798</v>
      </c>
      <c r="Y591" s="2">
        <v>2014</v>
      </c>
      <c r="Z591" t="str" cm="1">
        <f t="array" ref="Z591">_xlfn.IFS(OR(R591&gt;66, S591&gt;38), "High Engagement", OR(AND(R591&gt;32, R591&lt;=66), AND(S591&gt;19, S591&lt;=38)), "Medium-High Engagement", OR(AND(R591&gt;4, R591&lt;=32), AND(S591&gt;6, S591&lt;=19)),"Medium Engagement", TRUE, "Low Engagement"
)</f>
        <v>Medium Engagement</v>
      </c>
      <c r="AA591">
        <f t="shared" si="49"/>
        <v>0.29626360694321857</v>
      </c>
    </row>
    <row r="592" spans="1:27" x14ac:dyDescent="0.35">
      <c r="A592" s="2">
        <v>3372868164</v>
      </c>
      <c r="B592" s="2" t="s">
        <v>97</v>
      </c>
      <c r="C592" s="2">
        <f>VLOOKUP(user_activity!A93,users_details!$A$1:$G$34,5,0)</f>
        <v>21</v>
      </c>
      <c r="D592" s="2" t="str" cm="1">
        <f t="array" ref="D592">_xlfn.IFS( AND(C592&gt;=18, C592&lt;=25), "Emerging Adults",  AND(C592&gt;=26, C592&lt;=35),  "Young Adults",  AND(C592&gt;=36, C592&lt;=45),  "Midlife Adults",  AND(C592&gt;=46, C592&lt;=55), "Mature Adults", C592&gt;=56,  "Older Adults", TRUE, "Age Not Mentioned")</f>
        <v>Emerging Adults</v>
      </c>
      <c r="E592" s="2" t="str">
        <f>VLOOKUP(user_activity!A93,users_details!$A$1:$G$34,6,0)</f>
        <v>Bushwick, Brooklyn</v>
      </c>
      <c r="F592" s="2" t="str">
        <f>VLOOKUP(user_activity!A93,users_details!$A$1:$G$34,7,0)</f>
        <v>Bushwick</v>
      </c>
      <c r="G592" s="2" t="s">
        <v>72</v>
      </c>
      <c r="H592" s="7">
        <v>42482</v>
      </c>
      <c r="I592" s="9" t="str">
        <f t="shared" si="45"/>
        <v>Friday</v>
      </c>
      <c r="J592" s="9" t="str">
        <f t="shared" si="46"/>
        <v>April</v>
      </c>
      <c r="K592" s="2">
        <v>2.619999886</v>
      </c>
      <c r="L592" s="2">
        <v>2.619999886</v>
      </c>
      <c r="M592" s="2">
        <v>0</v>
      </c>
      <c r="N592" s="2">
        <v>0</v>
      </c>
      <c r="O592" s="2">
        <v>0</v>
      </c>
      <c r="P592" s="2">
        <v>2.6099998950000001</v>
      </c>
      <c r="Q592" s="2">
        <v>0.01</v>
      </c>
      <c r="R592" s="2">
        <v>0</v>
      </c>
      <c r="S592" s="2">
        <v>0</v>
      </c>
      <c r="T592" s="2">
        <v>206</v>
      </c>
      <c r="U592" s="2">
        <f t="shared" si="47"/>
        <v>206</v>
      </c>
      <c r="V592" s="2">
        <v>1234</v>
      </c>
      <c r="W592" s="2">
        <v>3843</v>
      </c>
      <c r="X592" s="2">
        <f t="shared" si="48"/>
        <v>3843</v>
      </c>
      <c r="Y592" s="2">
        <v>1669</v>
      </c>
      <c r="Z592" t="str" cm="1">
        <f t="array" ref="Z592">_xlfn.IFS(OR(R592&gt;66, S592&gt;38), "High Engagement", OR(AND(R592&gt;32, R592&lt;=66), AND(S592&gt;19, S592&lt;=38)), "Medium-High Engagement", OR(AND(R592&gt;4, R592&lt;=32), AND(S592&gt;6, S592&lt;=19)),"Medium Engagement", TRUE, "Low Engagement"
)</f>
        <v>Low Engagement</v>
      </c>
      <c r="AA592">
        <f t="shared" si="49"/>
        <v>0.434296122820713</v>
      </c>
    </row>
    <row r="593" spans="1:27" x14ac:dyDescent="0.35">
      <c r="A593" s="2">
        <v>3372868164</v>
      </c>
      <c r="B593" s="2" t="s">
        <v>97</v>
      </c>
      <c r="C593" s="2">
        <f>VLOOKUP(user_activity!A102,users_details!$A$1:$G$34,5,0)</f>
        <v>22</v>
      </c>
      <c r="D593" s="2" t="str" cm="1">
        <f t="array" ref="D593">_xlfn.IFS( AND(C593&gt;=18, C593&lt;=25), "Emerging Adults",  AND(C593&gt;=26, C593&lt;=35),  "Young Adults",  AND(C593&gt;=36, C593&lt;=45),  "Midlife Adults",  AND(C593&gt;=46, C593&lt;=55), "Mature Adults", C593&gt;=56,  "Older Adults", TRUE, "Age Not Mentioned")</f>
        <v>Emerging Adults</v>
      </c>
      <c r="E593" s="2" t="str">
        <f>VLOOKUP(user_activity!A102,users_details!$A$1:$G$34,6,0)</f>
        <v>Washington Heights, Manhattan</v>
      </c>
      <c r="F593" s="2" t="str">
        <f>VLOOKUP(user_activity!A102,users_details!$A$1:$G$34,7,0)</f>
        <v>Washington Heights</v>
      </c>
      <c r="G593" s="2" t="s">
        <v>72</v>
      </c>
      <c r="H593" s="7">
        <v>42475</v>
      </c>
      <c r="I593" s="9" t="str">
        <f t="shared" si="45"/>
        <v>Friday</v>
      </c>
      <c r="J593" s="9" t="str">
        <f t="shared" si="46"/>
        <v>April</v>
      </c>
      <c r="K593" s="2">
        <v>5.079999924</v>
      </c>
      <c r="L593" s="2">
        <v>5.079999924</v>
      </c>
      <c r="M593" s="2">
        <v>0</v>
      </c>
      <c r="N593" s="2">
        <v>0</v>
      </c>
      <c r="O593" s="2">
        <v>0</v>
      </c>
      <c r="P593" s="2">
        <v>5.0599999430000002</v>
      </c>
      <c r="Q593" s="2">
        <v>0.02</v>
      </c>
      <c r="R593" s="2">
        <v>0</v>
      </c>
      <c r="S593" s="2">
        <v>0</v>
      </c>
      <c r="T593" s="2">
        <v>335</v>
      </c>
      <c r="U593" s="2">
        <f t="shared" si="47"/>
        <v>335</v>
      </c>
      <c r="V593" s="2">
        <v>1105</v>
      </c>
      <c r="W593" s="2">
        <v>7451</v>
      </c>
      <c r="X593" s="2">
        <f t="shared" si="48"/>
        <v>7451</v>
      </c>
      <c r="Y593" s="2">
        <v>1908</v>
      </c>
      <c r="Z593" t="str" cm="1">
        <f t="array" ref="Z593">_xlfn.IFS(OR(R593&gt;66, S593&gt;38), "High Engagement", OR(AND(R593&gt;32, R593&lt;=66), AND(S593&gt;19, S593&lt;=38)), "Medium-High Engagement", OR(AND(R593&gt;4, R593&lt;=32), AND(S593&gt;6, S593&lt;=19)),"Medium Engagement", TRUE, "Low Engagement"
)</f>
        <v>Low Engagement</v>
      </c>
      <c r="AA593">
        <f t="shared" si="49"/>
        <v>0.25607301033418334</v>
      </c>
    </row>
    <row r="594" spans="1:27" x14ac:dyDescent="0.35">
      <c r="A594" s="2">
        <v>3372868164</v>
      </c>
      <c r="B594" s="2" t="s">
        <v>97</v>
      </c>
      <c r="C594" s="2">
        <f>VLOOKUP(user_activity!A141,users_details!$A$1:$G$34,5,0)</f>
        <v>22</v>
      </c>
      <c r="D594" s="2" t="str" cm="1">
        <f t="array" ref="D594">_xlfn.IFS( AND(C594&gt;=18, C594&lt;=25), "Emerging Adults",  AND(C594&gt;=26, C594&lt;=35),  "Young Adults",  AND(C594&gt;=36, C594&lt;=45),  "Midlife Adults",  AND(C594&gt;=46, C594&lt;=55), "Mature Adults", C594&gt;=56,  "Older Adults", TRUE, "Age Not Mentioned")</f>
        <v>Emerging Adults</v>
      </c>
      <c r="E594" s="2" t="str">
        <f>VLOOKUP(user_activity!A141,users_details!$A$1:$G$34,6,0)</f>
        <v>Upper East Side, Manhattan</v>
      </c>
      <c r="F594" s="2" t="str">
        <f>VLOOKUP(user_activity!A141,users_details!$A$1:$G$34,7,0)</f>
        <v>Upper East Side</v>
      </c>
      <c r="G594" s="2" t="s">
        <v>72</v>
      </c>
      <c r="H594" s="7">
        <v>42490</v>
      </c>
      <c r="I594" s="9" t="str">
        <f t="shared" si="45"/>
        <v>Saturday</v>
      </c>
      <c r="J594" s="9" t="str">
        <f t="shared" si="46"/>
        <v>April</v>
      </c>
      <c r="K594" s="2">
        <v>3.579999924</v>
      </c>
      <c r="L594" s="2">
        <v>3.579999924</v>
      </c>
      <c r="M594" s="2">
        <v>0</v>
      </c>
      <c r="N594" s="2">
        <v>1.059999943</v>
      </c>
      <c r="O594" s="2">
        <v>9.0000003999999995E-2</v>
      </c>
      <c r="P594" s="2">
        <v>2.420000076</v>
      </c>
      <c r="Q594" s="2">
        <v>0.01</v>
      </c>
      <c r="R594" s="2">
        <v>17</v>
      </c>
      <c r="S594" s="2">
        <v>4</v>
      </c>
      <c r="T594" s="2">
        <v>300</v>
      </c>
      <c r="U594" s="2">
        <f t="shared" si="47"/>
        <v>321</v>
      </c>
      <c r="V594" s="2">
        <v>1119</v>
      </c>
      <c r="W594" s="2">
        <v>5250</v>
      </c>
      <c r="X594" s="2">
        <f t="shared" si="48"/>
        <v>5250</v>
      </c>
      <c r="Y594" s="2">
        <v>1946</v>
      </c>
      <c r="Z594" t="str" cm="1">
        <f t="array" ref="Z594">_xlfn.IFS(OR(R594&gt;66, S594&gt;38), "High Engagement", OR(AND(R594&gt;32, R594&lt;=66), AND(S594&gt;19, S594&lt;=38)), "Medium-High Engagement", OR(AND(R594&gt;4, R594&lt;=32), AND(S594&gt;6, S594&lt;=19)),"Medium Engagement", TRUE, "Low Engagement"
)</f>
        <v>Medium Engagement</v>
      </c>
      <c r="AA594">
        <f t="shared" si="49"/>
        <v>0.37066666666666664</v>
      </c>
    </row>
    <row r="595" spans="1:27" x14ac:dyDescent="0.35">
      <c r="A595" s="2">
        <v>3372868164</v>
      </c>
      <c r="B595" s="2" t="s">
        <v>97</v>
      </c>
      <c r="C595" s="2">
        <f>VLOOKUP(user_activity!A175,users_details!$A$1:$G$34,5,0)</f>
        <v>23</v>
      </c>
      <c r="D595" s="2" t="str" cm="1">
        <f t="array" ref="D595">_xlfn.IFS( AND(C595&gt;=18, C595&lt;=25), "Emerging Adults",  AND(C595&gt;=26, C595&lt;=35),  "Young Adults",  AND(C595&gt;=36, C595&lt;=45),  "Midlife Adults",  AND(C595&gt;=46, C595&lt;=55), "Mature Adults", C595&gt;=56,  "Older Adults", TRUE, "Age Not Mentioned")</f>
        <v>Emerging Adults</v>
      </c>
      <c r="E595" s="2" t="str">
        <f>VLOOKUP(user_activity!A175,users_details!$A$1:$G$34,6,0)</f>
        <v>Washington Heights, Manhattan</v>
      </c>
      <c r="F595" s="2" t="str">
        <f>VLOOKUP(user_activity!A175,users_details!$A$1:$G$34,7,0)</f>
        <v>Washington Heights</v>
      </c>
      <c r="G595" s="2" t="s">
        <v>72</v>
      </c>
      <c r="H595" s="7">
        <v>42474</v>
      </c>
      <c r="I595" s="9" t="str">
        <f t="shared" si="45"/>
        <v>Thursday</v>
      </c>
      <c r="J595" s="9" t="str">
        <f t="shared" si="46"/>
        <v>April</v>
      </c>
      <c r="K595" s="2">
        <v>6.0300002099999999</v>
      </c>
      <c r="L595" s="2">
        <v>6.0300002099999999</v>
      </c>
      <c r="M595" s="2">
        <v>0</v>
      </c>
      <c r="N595" s="2">
        <v>0.34000000400000002</v>
      </c>
      <c r="O595" s="2">
        <v>1.0299999710000001</v>
      </c>
      <c r="P595" s="2">
        <v>4.6500000950000002</v>
      </c>
      <c r="Q595" s="2">
        <v>0.01</v>
      </c>
      <c r="R595" s="2">
        <v>6</v>
      </c>
      <c r="S595" s="2">
        <v>25</v>
      </c>
      <c r="T595" s="2">
        <v>370</v>
      </c>
      <c r="U595" s="2">
        <f t="shared" si="47"/>
        <v>401</v>
      </c>
      <c r="V595" s="2">
        <v>1039</v>
      </c>
      <c r="W595" s="2">
        <v>8844</v>
      </c>
      <c r="X595" s="2">
        <f t="shared" si="48"/>
        <v>8844</v>
      </c>
      <c r="Y595" s="2">
        <v>2065</v>
      </c>
      <c r="Z595" t="str" cm="1">
        <f t="array" ref="Z595">_xlfn.IFS(OR(R595&gt;66, S595&gt;38), "High Engagement", OR(AND(R595&gt;32, R595&lt;=66), AND(S595&gt;19, S595&lt;=38)), "Medium-High Engagement", OR(AND(R595&gt;4, R595&lt;=32), AND(S595&gt;6, S595&lt;=19)),"Medium Engagement", TRUE, "Low Engagement"
)</f>
        <v>Medium-High Engagement</v>
      </c>
      <c r="AA595">
        <f t="shared" si="49"/>
        <v>0.23349163274536408</v>
      </c>
    </row>
    <row r="596" spans="1:27" x14ac:dyDescent="0.35">
      <c r="A596" s="2">
        <v>3372868164</v>
      </c>
      <c r="B596" s="2" t="s">
        <v>97</v>
      </c>
      <c r="C596" s="2">
        <f>VLOOKUP(user_activity!A244,users_details!$A$1:$G$34,5,0)</f>
        <v>29</v>
      </c>
      <c r="D596" s="2" t="str" cm="1">
        <f t="array" ref="D596">_xlfn.IFS( AND(C596&gt;=18, C596&lt;=25), "Emerging Adults",  AND(C596&gt;=26, C596&lt;=35),  "Young Adults",  AND(C596&gt;=36, C596&lt;=45),  "Midlife Adults",  AND(C596&gt;=46, C596&lt;=55), "Mature Adults", C596&gt;=56,  "Older Adults", TRUE, "Age Not Mentioned")</f>
        <v>Young Adults</v>
      </c>
      <c r="E596" s="2" t="str">
        <f>VLOOKUP(user_activity!A244,users_details!$A$1:$G$34,6,0)</f>
        <v>East Village, Manhattan</v>
      </c>
      <c r="F596" s="2" t="str">
        <f>VLOOKUP(user_activity!A244,users_details!$A$1:$G$34,7,0)</f>
        <v>East Village</v>
      </c>
      <c r="G596" s="2" t="s">
        <v>72</v>
      </c>
      <c r="H596" s="7">
        <v>42487</v>
      </c>
      <c r="I596" s="9" t="str">
        <f t="shared" si="45"/>
        <v>Wednesday</v>
      </c>
      <c r="J596" s="9" t="str">
        <f t="shared" si="46"/>
        <v>April</v>
      </c>
      <c r="K596" s="2">
        <v>5.420000076</v>
      </c>
      <c r="L596" s="2">
        <v>5.420000076</v>
      </c>
      <c r="M596" s="2">
        <v>0</v>
      </c>
      <c r="N596" s="2">
        <v>1.5800000430000001</v>
      </c>
      <c r="O596" s="2">
        <v>0.62999999500000003</v>
      </c>
      <c r="P596" s="2">
        <v>3.1900000569999998</v>
      </c>
      <c r="Q596" s="2">
        <v>0.01</v>
      </c>
      <c r="R596" s="2">
        <v>24</v>
      </c>
      <c r="S596" s="2">
        <v>13</v>
      </c>
      <c r="T596" s="2">
        <v>346</v>
      </c>
      <c r="U596" s="2">
        <f t="shared" si="47"/>
        <v>383</v>
      </c>
      <c r="V596" s="2">
        <v>1057</v>
      </c>
      <c r="W596" s="2">
        <v>7904</v>
      </c>
      <c r="X596" s="2">
        <f t="shared" si="48"/>
        <v>7904</v>
      </c>
      <c r="Y596" s="2">
        <v>2095</v>
      </c>
      <c r="Z596" t="str" cm="1">
        <f t="array" ref="Z596">_xlfn.IFS(OR(R596&gt;66, S596&gt;38), "High Engagement", OR(AND(R596&gt;32, R596&lt;=66), AND(S596&gt;19, S596&lt;=38)), "Medium-High Engagement", OR(AND(R596&gt;4, R596&lt;=32), AND(S596&gt;6, S596&lt;=19)),"Medium Engagement", TRUE, "Low Engagement"
)</f>
        <v>Medium Engagement</v>
      </c>
      <c r="AA596">
        <f t="shared" si="49"/>
        <v>0.26505566801619435</v>
      </c>
    </row>
    <row r="597" spans="1:27" x14ac:dyDescent="0.35">
      <c r="A597" s="2">
        <v>3372868164</v>
      </c>
      <c r="B597" s="2" t="s">
        <v>97</v>
      </c>
      <c r="C597" s="2">
        <f>VLOOKUP(user_activity!A256,users_details!$A$1:$G$34,5,0)</f>
        <v>29</v>
      </c>
      <c r="D597" s="2" t="str" cm="1">
        <f t="array" ref="D597">_xlfn.IFS( AND(C597&gt;=18, C597&lt;=25), "Emerging Adults",  AND(C597&gt;=26, C597&lt;=35),  "Young Adults",  AND(C597&gt;=36, C597&lt;=45),  "Midlife Adults",  AND(C597&gt;=46, C597&lt;=55), "Mature Adults", C597&gt;=56,  "Older Adults", TRUE, "Age Not Mentioned")</f>
        <v>Young Adults</v>
      </c>
      <c r="E597" s="2" t="str">
        <f>VLOOKUP(user_activity!A256,users_details!$A$1:$G$34,6,0)</f>
        <v>Crown Heights, Brooklyn</v>
      </c>
      <c r="F597" s="2" t="str">
        <f>VLOOKUP(user_activity!A256,users_details!$A$1:$G$34,7,0)</f>
        <v>Crown Heights</v>
      </c>
      <c r="G597" s="2" t="s">
        <v>72</v>
      </c>
      <c r="H597" s="7">
        <v>42488</v>
      </c>
      <c r="I597" s="9" t="str">
        <f t="shared" si="45"/>
        <v>Thursday</v>
      </c>
      <c r="J597" s="9" t="str">
        <f t="shared" si="46"/>
        <v>April</v>
      </c>
      <c r="K597" s="2">
        <v>3.7599999899999998</v>
      </c>
      <c r="L597" s="2">
        <v>3.7599999899999998</v>
      </c>
      <c r="M597" s="2">
        <v>0</v>
      </c>
      <c r="N597" s="2">
        <v>0</v>
      </c>
      <c r="O597" s="2">
        <v>0</v>
      </c>
      <c r="P597" s="2">
        <v>3.7599999899999998</v>
      </c>
      <c r="Q597" s="2">
        <v>0</v>
      </c>
      <c r="R597" s="2">
        <v>0</v>
      </c>
      <c r="S597" s="2">
        <v>0</v>
      </c>
      <c r="T597" s="2">
        <v>385</v>
      </c>
      <c r="U597" s="2">
        <f t="shared" si="47"/>
        <v>385</v>
      </c>
      <c r="V597" s="2">
        <v>1055</v>
      </c>
      <c r="W597" s="2">
        <v>5512</v>
      </c>
      <c r="X597" s="2">
        <f t="shared" si="48"/>
        <v>5512</v>
      </c>
      <c r="Y597" s="2">
        <v>1972</v>
      </c>
      <c r="Z597" t="str" cm="1">
        <f t="array" ref="Z597">_xlfn.IFS(OR(R597&gt;66, S597&gt;38), "High Engagement", OR(AND(R597&gt;32, R597&lt;=66), AND(S597&gt;19, S597&lt;=38)), "Medium-High Engagement", OR(AND(R597&gt;4, R597&lt;=32), AND(S597&gt;6, S597&lt;=19)),"Medium Engagement", TRUE, "Low Engagement"
)</f>
        <v>Low Engagement</v>
      </c>
      <c r="AA597">
        <f t="shared" si="49"/>
        <v>0.35776487663280115</v>
      </c>
    </row>
    <row r="598" spans="1:27" x14ac:dyDescent="0.35">
      <c r="A598" s="2">
        <v>3372868164</v>
      </c>
      <c r="B598" s="2" t="s">
        <v>97</v>
      </c>
      <c r="C598" s="2">
        <f>VLOOKUP(user_activity!A277,users_details!$A$1:$G$34,5,0)</f>
        <v>29</v>
      </c>
      <c r="D598" s="2" t="str" cm="1">
        <f t="array" ref="D598">_xlfn.IFS( AND(C598&gt;=18, C598&lt;=25), "Emerging Adults",  AND(C598&gt;=26, C598&lt;=35),  "Young Adults",  AND(C598&gt;=36, C598&lt;=45),  "Midlife Adults",  AND(C598&gt;=46, C598&lt;=55), "Mature Adults", C598&gt;=56,  "Older Adults", TRUE, "Age Not Mentioned")</f>
        <v>Young Adults</v>
      </c>
      <c r="E598" s="2" t="str">
        <f>VLOOKUP(user_activity!A277,users_details!$A$1:$G$34,6,0)</f>
        <v>Crown Heights, Brooklyn</v>
      </c>
      <c r="F598" s="2" t="str">
        <f>VLOOKUP(user_activity!A277,users_details!$A$1:$G$34,7,0)</f>
        <v>Crown Heights</v>
      </c>
      <c r="G598" s="2" t="s">
        <v>72</v>
      </c>
      <c r="H598" s="7">
        <v>42481</v>
      </c>
      <c r="I598" s="9" t="str">
        <f t="shared" si="45"/>
        <v>Thursday</v>
      </c>
      <c r="J598" s="9" t="str">
        <f t="shared" si="46"/>
        <v>April</v>
      </c>
      <c r="K598" s="2">
        <v>6.0700001720000003</v>
      </c>
      <c r="L598" s="2">
        <v>6.0700001720000003</v>
      </c>
      <c r="M598" s="2">
        <v>0</v>
      </c>
      <c r="N598" s="2">
        <v>1.1499999759999999</v>
      </c>
      <c r="O598" s="2">
        <v>0.25999999000000001</v>
      </c>
      <c r="P598" s="2">
        <v>4.6399998660000001</v>
      </c>
      <c r="Q598" s="2">
        <v>0.01</v>
      </c>
      <c r="R598" s="2">
        <v>18</v>
      </c>
      <c r="S598" s="2">
        <v>9</v>
      </c>
      <c r="T598" s="2">
        <v>376</v>
      </c>
      <c r="U598" s="2">
        <f t="shared" si="47"/>
        <v>403</v>
      </c>
      <c r="V598" s="2">
        <v>1037</v>
      </c>
      <c r="W598" s="2">
        <v>8857</v>
      </c>
      <c r="X598" s="2">
        <f t="shared" si="48"/>
        <v>8857</v>
      </c>
      <c r="Y598" s="2">
        <v>2124</v>
      </c>
      <c r="Z598" t="str" cm="1">
        <f t="array" ref="Z598">_xlfn.IFS(OR(R598&gt;66, S598&gt;38), "High Engagement", OR(AND(R598&gt;32, R598&lt;=66), AND(S598&gt;19, S598&lt;=38)), "Medium-High Engagement", OR(AND(R598&gt;4, R598&lt;=32), AND(S598&gt;6, S598&lt;=19)),"Medium Engagement", TRUE, "Low Engagement"
)</f>
        <v>Medium Engagement</v>
      </c>
      <c r="AA598">
        <f t="shared" si="49"/>
        <v>0.23981031952128259</v>
      </c>
    </row>
    <row r="599" spans="1:27" x14ac:dyDescent="0.35">
      <c r="A599" s="2">
        <v>3372868164</v>
      </c>
      <c r="B599" s="2" t="s">
        <v>97</v>
      </c>
      <c r="C599" s="2">
        <f>VLOOKUP(user_activity!A284,users_details!$A$1:$G$34,5,0)</f>
        <v>29</v>
      </c>
      <c r="D599" s="2" t="str" cm="1">
        <f t="array" ref="D599">_xlfn.IFS( AND(C599&gt;=18, C599&lt;=25), "Emerging Adults",  AND(C599&gt;=26, C599&lt;=35),  "Young Adults",  AND(C599&gt;=36, C599&lt;=45),  "Midlife Adults",  AND(C599&gt;=46, C599&lt;=55), "Mature Adults", C599&gt;=56,  "Older Adults", TRUE, "Age Not Mentioned")</f>
        <v>Young Adults</v>
      </c>
      <c r="E599" s="2" t="str">
        <f>VLOOKUP(user_activity!A284,users_details!$A$1:$G$34,6,0)</f>
        <v>Crown Heights, Brooklyn</v>
      </c>
      <c r="F599" s="2" t="str">
        <f>VLOOKUP(user_activity!A284,users_details!$A$1:$G$34,7,0)</f>
        <v>Crown Heights</v>
      </c>
      <c r="G599" s="2" t="s">
        <v>72</v>
      </c>
      <c r="H599" s="7">
        <v>42708</v>
      </c>
      <c r="I599" s="9" t="str">
        <f t="shared" si="45"/>
        <v>Sunday</v>
      </c>
      <c r="J599" s="9" t="str">
        <f t="shared" si="46"/>
        <v>December</v>
      </c>
      <c r="K599" s="2">
        <v>3.2400000100000002</v>
      </c>
      <c r="L599" s="2">
        <v>3.2400000100000002</v>
      </c>
      <c r="M599" s="2">
        <v>0</v>
      </c>
      <c r="N599" s="2">
        <v>0</v>
      </c>
      <c r="O599" s="2">
        <v>0</v>
      </c>
      <c r="P599" s="2">
        <v>3.2300000190000002</v>
      </c>
      <c r="Q599" s="2">
        <v>0.01</v>
      </c>
      <c r="R599" s="2">
        <v>0</v>
      </c>
      <c r="S599" s="2">
        <v>0</v>
      </c>
      <c r="T599" s="2">
        <v>280</v>
      </c>
      <c r="U599" s="2">
        <f t="shared" si="47"/>
        <v>280</v>
      </c>
      <c r="V599" s="2">
        <v>1160</v>
      </c>
      <c r="W599" s="2">
        <v>4747</v>
      </c>
      <c r="X599" s="2">
        <f t="shared" si="48"/>
        <v>4747</v>
      </c>
      <c r="Y599" s="2">
        <v>1788</v>
      </c>
      <c r="Z599" t="str" cm="1">
        <f t="array" ref="Z599">_xlfn.IFS(OR(R599&gt;66, S599&gt;38), "High Engagement", OR(AND(R599&gt;32, R599&lt;=66), AND(S599&gt;19, S599&lt;=38)), "Medium-High Engagement", OR(AND(R599&gt;4, R599&lt;=32), AND(S599&gt;6, S599&lt;=19)),"Medium Engagement", TRUE, "Low Engagement"
)</f>
        <v>Low Engagement</v>
      </c>
      <c r="AA599">
        <f t="shared" si="49"/>
        <v>0.37665894248999365</v>
      </c>
    </row>
    <row r="600" spans="1:27" x14ac:dyDescent="0.35">
      <c r="A600" s="2">
        <v>3372868164</v>
      </c>
      <c r="B600" s="2" t="s">
        <v>97</v>
      </c>
      <c r="C600" s="2">
        <f>VLOOKUP(user_activity!A286,users_details!$A$1:$G$34,5,0)</f>
        <v>29</v>
      </c>
      <c r="D600" s="2" t="str" cm="1">
        <f t="array" ref="D600">_xlfn.IFS( AND(C600&gt;=18, C600&lt;=25), "Emerging Adults",  AND(C600&gt;=26, C600&lt;=35),  "Young Adults",  AND(C600&gt;=36, C600&lt;=45),  "Midlife Adults",  AND(C600&gt;=46, C600&lt;=55), "Mature Adults", C600&gt;=56,  "Older Adults", TRUE, "Age Not Mentioned")</f>
        <v>Young Adults</v>
      </c>
      <c r="E600" s="2" t="str">
        <f>VLOOKUP(user_activity!A286,users_details!$A$1:$G$34,6,0)</f>
        <v>East Village, Manhattan</v>
      </c>
      <c r="F600" s="2" t="str">
        <f>VLOOKUP(user_activity!A286,users_details!$A$1:$G$34,7,0)</f>
        <v>East Village</v>
      </c>
      <c r="G600" s="2" t="s">
        <v>72</v>
      </c>
      <c r="H600" s="7">
        <v>42483</v>
      </c>
      <c r="I600" s="9" t="str">
        <f t="shared" si="45"/>
        <v>Saturday</v>
      </c>
      <c r="J600" s="9" t="str">
        <f t="shared" si="46"/>
        <v>April</v>
      </c>
      <c r="K600" s="2">
        <v>5.0700001720000003</v>
      </c>
      <c r="L600" s="2">
        <v>5.0700001720000003</v>
      </c>
      <c r="M600" s="2">
        <v>0</v>
      </c>
      <c r="N600" s="2">
        <v>1.3999999759999999</v>
      </c>
      <c r="O600" s="2">
        <v>7.9999998000000003E-2</v>
      </c>
      <c r="P600" s="2">
        <v>3.579999924</v>
      </c>
      <c r="Q600" s="2">
        <v>0</v>
      </c>
      <c r="R600" s="2">
        <v>20</v>
      </c>
      <c r="S600" s="2">
        <v>2</v>
      </c>
      <c r="T600" s="2">
        <v>303</v>
      </c>
      <c r="U600" s="2">
        <f t="shared" si="47"/>
        <v>325</v>
      </c>
      <c r="V600" s="2">
        <v>1115</v>
      </c>
      <c r="W600" s="2">
        <v>7396</v>
      </c>
      <c r="X600" s="2">
        <f t="shared" si="48"/>
        <v>7396</v>
      </c>
      <c r="Y600" s="2">
        <v>1995</v>
      </c>
      <c r="Z600" t="str" cm="1">
        <f t="array" ref="Z600">_xlfn.IFS(OR(R600&gt;66, S600&gt;38), "High Engagement", OR(AND(R600&gt;32, R600&lt;=66), AND(S600&gt;19, S600&lt;=38)), "Medium-High Engagement", OR(AND(R600&gt;4, R600&lt;=32), AND(S600&gt;6, S600&lt;=19)),"Medium Engagement", TRUE, "Low Engagement"
)</f>
        <v>Medium Engagement</v>
      </c>
      <c r="AA600">
        <f t="shared" si="49"/>
        <v>0.26974040021633316</v>
      </c>
    </row>
    <row r="601" spans="1:27" x14ac:dyDescent="0.35">
      <c r="A601" s="2">
        <v>3372868164</v>
      </c>
      <c r="B601" s="2" t="s">
        <v>97</v>
      </c>
      <c r="C601" s="2">
        <f>VLOOKUP(user_activity!A311,users_details!$A$1:$G$34,5,0)</f>
        <v>30</v>
      </c>
      <c r="D601" s="2" t="str" cm="1">
        <f t="array" ref="D601">_xlfn.IFS( AND(C601&gt;=18, C601&lt;=25), "Emerging Adults",  AND(C601&gt;=26, C601&lt;=35),  "Young Adults",  AND(C601&gt;=36, C601&lt;=45),  "Midlife Adults",  AND(C601&gt;=46, C601&lt;=55), "Mature Adults", C601&gt;=56,  "Older Adults", TRUE, "Age Not Mentioned")</f>
        <v>Young Adults</v>
      </c>
      <c r="E601" s="2" t="str">
        <f>VLOOKUP(user_activity!A311,users_details!$A$1:$G$34,6,0)</f>
        <v>Midtown, Manhattan</v>
      </c>
      <c r="F601" s="2" t="str">
        <f>VLOOKUP(user_activity!A311,users_details!$A$1:$G$34,7,0)</f>
        <v>Midtown</v>
      </c>
      <c r="G601" s="2" t="s">
        <v>72</v>
      </c>
      <c r="H601" s="7">
        <v>42476</v>
      </c>
      <c r="I601" s="9" t="str">
        <f t="shared" si="45"/>
        <v>Saturday</v>
      </c>
      <c r="J601" s="9" t="str">
        <f t="shared" si="46"/>
        <v>April</v>
      </c>
      <c r="K601" s="2">
        <v>4.7300000190000002</v>
      </c>
      <c r="L601" s="2">
        <v>4.7300000190000002</v>
      </c>
      <c r="M601" s="2">
        <v>0</v>
      </c>
      <c r="N601" s="2">
        <v>0</v>
      </c>
      <c r="O601" s="2">
        <v>0</v>
      </c>
      <c r="P601" s="2">
        <v>4.6999998090000004</v>
      </c>
      <c r="Q601" s="2">
        <v>2.9999998999999999E-2</v>
      </c>
      <c r="R601" s="2">
        <v>0</v>
      </c>
      <c r="S601" s="2">
        <v>0</v>
      </c>
      <c r="T601" s="2">
        <v>356</v>
      </c>
      <c r="U601" s="2">
        <f t="shared" si="47"/>
        <v>356</v>
      </c>
      <c r="V601" s="2">
        <v>1084</v>
      </c>
      <c r="W601" s="2">
        <v>6905</v>
      </c>
      <c r="X601" s="2">
        <f t="shared" si="48"/>
        <v>6905</v>
      </c>
      <c r="Y601" s="2">
        <v>1908</v>
      </c>
      <c r="Z601" t="str" cm="1">
        <f t="array" ref="Z601">_xlfn.IFS(OR(R601&gt;66, S601&gt;38), "High Engagement", OR(AND(R601&gt;32, R601&lt;=66), AND(S601&gt;19, S601&lt;=38)), "Medium-High Engagement", OR(AND(R601&gt;4, R601&lt;=32), AND(S601&gt;6, S601&lt;=19)),"Medium Engagement", TRUE, "Low Engagement"
)</f>
        <v>Low Engagement</v>
      </c>
      <c r="AA601">
        <f t="shared" si="49"/>
        <v>0.27632150615496015</v>
      </c>
    </row>
    <row r="602" spans="1:27" x14ac:dyDescent="0.35">
      <c r="A602" s="2">
        <v>3372868164</v>
      </c>
      <c r="B602" s="2" t="s">
        <v>97</v>
      </c>
      <c r="C602" s="2">
        <f>VLOOKUP(user_activity!A533,users_details!$A$1:$G$34,5,0)</f>
        <v>38</v>
      </c>
      <c r="D602" s="2" t="str" cm="1">
        <f t="array" ref="D602">_xlfn.IFS( AND(C602&gt;=18, C602&lt;=25), "Emerging Adults",  AND(C602&gt;=26, C602&lt;=35),  "Young Adults",  AND(C602&gt;=36, C602&lt;=45),  "Midlife Adults",  AND(C602&gt;=46, C602&lt;=55), "Mature Adults", C602&gt;=56,  "Older Adults", TRUE, "Age Not Mentioned")</f>
        <v>Midlife Adults</v>
      </c>
      <c r="E602" s="2" t="str">
        <f>VLOOKUP(user_activity!A533,users_details!$A$1:$G$34,6,0)</f>
        <v>Midtown, Manhattan</v>
      </c>
      <c r="F602" s="2" t="str">
        <f>VLOOKUP(user_activity!A533,users_details!$A$1:$G$34,7,0)</f>
        <v>Midtown</v>
      </c>
      <c r="G602" s="2" t="s">
        <v>72</v>
      </c>
      <c r="H602" s="7">
        <v>42480</v>
      </c>
      <c r="I602" s="9" t="str">
        <f t="shared" si="45"/>
        <v>Wednesday</v>
      </c>
      <c r="J602" s="9" t="str">
        <f t="shared" si="46"/>
        <v>April</v>
      </c>
      <c r="K602" s="2">
        <v>3.329999924</v>
      </c>
      <c r="L602" s="2">
        <v>3.329999924</v>
      </c>
      <c r="M602" s="2">
        <v>0</v>
      </c>
      <c r="N602" s="2">
        <v>0.83999997400000004</v>
      </c>
      <c r="O602" s="2">
        <v>9.0000003999999995E-2</v>
      </c>
      <c r="P602" s="2">
        <v>2.380000114</v>
      </c>
      <c r="Q602" s="2">
        <v>0.02</v>
      </c>
      <c r="R602" s="2">
        <v>15</v>
      </c>
      <c r="S602" s="2">
        <v>3</v>
      </c>
      <c r="T602" s="2">
        <v>274</v>
      </c>
      <c r="U602" s="2">
        <f t="shared" si="47"/>
        <v>292</v>
      </c>
      <c r="V602" s="2">
        <v>1148</v>
      </c>
      <c r="W602" s="2">
        <v>4880</v>
      </c>
      <c r="X602" s="2">
        <f t="shared" si="48"/>
        <v>4880</v>
      </c>
      <c r="Y602" s="2">
        <v>1867</v>
      </c>
      <c r="Z602" t="str" cm="1">
        <f t="array" ref="Z602">_xlfn.IFS(OR(R602&gt;66, S602&gt;38), "High Engagement", OR(AND(R602&gt;32, R602&lt;=66), AND(S602&gt;19, S602&lt;=38)), "Medium-High Engagement", OR(AND(R602&gt;4, R602&lt;=32), AND(S602&gt;6, S602&lt;=19)),"Medium Engagement", TRUE, "Low Engagement"
)</f>
        <v>Medium Engagement</v>
      </c>
      <c r="AA602">
        <f t="shared" si="49"/>
        <v>0.38258196721311477</v>
      </c>
    </row>
    <row r="603" spans="1:27" x14ac:dyDescent="0.35">
      <c r="A603" s="2">
        <v>3372868164</v>
      </c>
      <c r="B603" s="2" t="s">
        <v>97</v>
      </c>
      <c r="C603" s="2">
        <f>VLOOKUP(user_activity!A574,users_details!$A$1:$G$34,5,0)</f>
        <v>38</v>
      </c>
      <c r="D603" s="2" t="str" cm="1">
        <f t="array" ref="D603">_xlfn.IFS( AND(C603&gt;=18, C603&lt;=25), "Emerging Adults",  AND(C603&gt;=26, C603&lt;=35),  "Young Adults",  AND(C603&gt;=36, C603&lt;=45),  "Midlife Adults",  AND(C603&gt;=46, C603&lt;=55), "Mature Adults", C603&gt;=56,  "Older Adults", TRUE, "Age Not Mentioned")</f>
        <v>Midlife Adults</v>
      </c>
      <c r="E603" s="2" t="str">
        <f>VLOOKUP(user_activity!A574,users_details!$A$1:$G$34,6,0)</f>
        <v>Midtown, Manhattan</v>
      </c>
      <c r="F603" s="2" t="str">
        <f>VLOOKUP(user_activity!A574,users_details!$A$1:$G$34,7,0)</f>
        <v>Midtown</v>
      </c>
      <c r="G603" s="2" t="s">
        <v>72</v>
      </c>
      <c r="H603" s="7">
        <v>42477</v>
      </c>
      <c r="I603" s="9" t="str">
        <f t="shared" si="45"/>
        <v>Sunday</v>
      </c>
      <c r="J603" s="9" t="str">
        <f t="shared" si="46"/>
        <v>April</v>
      </c>
      <c r="K603" s="2">
        <v>5.8800001139999996</v>
      </c>
      <c r="L603" s="2">
        <v>5.8800001139999996</v>
      </c>
      <c r="M603" s="2">
        <v>0</v>
      </c>
      <c r="N603" s="2">
        <v>1.4099999670000001</v>
      </c>
      <c r="O603" s="2">
        <v>0.10000000100000001</v>
      </c>
      <c r="P603" s="2">
        <v>4.3600001339999999</v>
      </c>
      <c r="Q603" s="2">
        <v>0.01</v>
      </c>
      <c r="R603" s="2">
        <v>11</v>
      </c>
      <c r="S603" s="2">
        <v>2</v>
      </c>
      <c r="T603" s="2">
        <v>322</v>
      </c>
      <c r="U603" s="2">
        <f t="shared" si="47"/>
        <v>335</v>
      </c>
      <c r="V603" s="2">
        <v>1105</v>
      </c>
      <c r="W603" s="2">
        <v>8199</v>
      </c>
      <c r="X603" s="2">
        <f t="shared" si="48"/>
        <v>8199</v>
      </c>
      <c r="Y603" s="2">
        <v>1964</v>
      </c>
      <c r="Z603" t="str" cm="1">
        <f t="array" ref="Z603">_xlfn.IFS(OR(R603&gt;66, S603&gt;38), "High Engagement", OR(AND(R603&gt;32, R603&lt;=66), AND(S603&gt;19, S603&lt;=38)), "Medium-High Engagement", OR(AND(R603&gt;4, R603&lt;=32), AND(S603&gt;6, S603&lt;=19)),"Medium Engagement", TRUE, "Low Engagement"
)</f>
        <v>Medium Engagement</v>
      </c>
      <c r="AA603">
        <f t="shared" si="49"/>
        <v>0.23954140748871813</v>
      </c>
    </row>
    <row r="604" spans="1:27" x14ac:dyDescent="0.35">
      <c r="A604" s="2">
        <v>3372868164</v>
      </c>
      <c r="B604" s="2" t="s">
        <v>97</v>
      </c>
      <c r="C604" s="2">
        <f>VLOOKUP(user_activity!A647,users_details!$A$1:$G$34,5,0)</f>
        <v>45</v>
      </c>
      <c r="D604" s="2" t="str" cm="1">
        <f t="array" ref="D604">_xlfn.IFS( AND(C604&gt;=18, C604&lt;=25), "Emerging Adults",  AND(C604&gt;=26, C604&lt;=35),  "Young Adults",  AND(C604&gt;=36, C604&lt;=45),  "Midlife Adults",  AND(C604&gt;=46, C604&lt;=55), "Mature Adults", C604&gt;=56,  "Older Adults", TRUE, "Age Not Mentioned")</f>
        <v>Midlife Adults</v>
      </c>
      <c r="E604" s="2" t="str">
        <f>VLOOKUP(user_activity!A647,users_details!$A$1:$G$34,6,0)</f>
        <v>Harlem, Manhattan</v>
      </c>
      <c r="F604" s="2" t="str">
        <f>VLOOKUP(user_activity!A647,users_details!$A$1:$G$34,7,0)</f>
        <v>Harlem</v>
      </c>
      <c r="G604" s="2" t="s">
        <v>72</v>
      </c>
      <c r="H604" s="7">
        <v>42479</v>
      </c>
      <c r="I604" s="9" t="str">
        <f t="shared" si="45"/>
        <v>Tuesday</v>
      </c>
      <c r="J604" s="9" t="str">
        <f t="shared" si="46"/>
        <v>April</v>
      </c>
      <c r="K604" s="2">
        <v>5.2600002290000001</v>
      </c>
      <c r="L604" s="2">
        <v>5.2600002290000001</v>
      </c>
      <c r="M604" s="2">
        <v>0</v>
      </c>
      <c r="N604" s="2">
        <v>0</v>
      </c>
      <c r="O604" s="2">
        <v>0</v>
      </c>
      <c r="P604" s="2">
        <v>5.2399997709999999</v>
      </c>
      <c r="Q604" s="2">
        <v>0.02</v>
      </c>
      <c r="R604" s="2">
        <v>0</v>
      </c>
      <c r="S604" s="2">
        <v>0</v>
      </c>
      <c r="T604" s="2">
        <v>376</v>
      </c>
      <c r="U604" s="2">
        <f t="shared" si="47"/>
        <v>376</v>
      </c>
      <c r="V604" s="2">
        <v>1064</v>
      </c>
      <c r="W604" s="2">
        <v>7711</v>
      </c>
      <c r="X604" s="2">
        <f t="shared" si="48"/>
        <v>7711</v>
      </c>
      <c r="Y604" s="2">
        <v>1985</v>
      </c>
      <c r="Z604" t="str" cm="1">
        <f t="array" ref="Z604">_xlfn.IFS(OR(R604&gt;66, S604&gt;38), "High Engagement", OR(AND(R604&gt;32, R604&lt;=66), AND(S604&gt;19, S604&lt;=38)), "Medium-High Engagement", OR(AND(R604&gt;4, R604&lt;=32), AND(S604&gt;6, S604&lt;=19)),"Medium Engagement", TRUE, "Low Engagement"
)</f>
        <v>Low Engagement</v>
      </c>
      <c r="AA604">
        <f t="shared" si="49"/>
        <v>0.25742445856568541</v>
      </c>
    </row>
    <row r="605" spans="1:27" x14ac:dyDescent="0.35">
      <c r="A605" s="2">
        <v>3372868164</v>
      </c>
      <c r="B605" s="2" t="s">
        <v>97</v>
      </c>
      <c r="C605" s="2">
        <f>VLOOKUP(user_activity!A655,users_details!$A$1:$G$34,5,0)</f>
        <v>45</v>
      </c>
      <c r="D605" s="2" t="str" cm="1">
        <f t="array" ref="D605">_xlfn.IFS( AND(C605&gt;=18, C605&lt;=25), "Emerging Adults",  AND(C605&gt;=26, C605&lt;=35),  "Young Adults",  AND(C605&gt;=36, C605&lt;=45),  "Midlife Adults",  AND(C605&gt;=46, C605&lt;=55), "Mature Adults", C605&gt;=56,  "Older Adults", TRUE, "Age Not Mentioned")</f>
        <v>Midlife Adults</v>
      </c>
      <c r="E605" s="2" t="str">
        <f>VLOOKUP(user_activity!A655,users_details!$A$1:$G$34,6,0)</f>
        <v>Harlem, Manhattan</v>
      </c>
      <c r="F605" s="2" t="str">
        <f>VLOOKUP(user_activity!A655,users_details!$A$1:$G$34,7,0)</f>
        <v>Harlem</v>
      </c>
      <c r="G605" s="2" t="s">
        <v>72</v>
      </c>
      <c r="H605" s="7">
        <v>42473</v>
      </c>
      <c r="I605" s="9" t="str">
        <f t="shared" si="45"/>
        <v>Wednesday</v>
      </c>
      <c r="J605" s="9" t="str">
        <f t="shared" si="46"/>
        <v>April</v>
      </c>
      <c r="K605" s="2">
        <v>6.6300001139999996</v>
      </c>
      <c r="L605" s="2">
        <v>6.6300001139999996</v>
      </c>
      <c r="M605" s="2">
        <v>0</v>
      </c>
      <c r="N605" s="2">
        <v>0.99000001000000004</v>
      </c>
      <c r="O605" s="2">
        <v>0.34000000400000002</v>
      </c>
      <c r="P605" s="2">
        <v>5.2699999809999998</v>
      </c>
      <c r="Q605" s="2">
        <v>0.02</v>
      </c>
      <c r="R605" s="2">
        <v>16</v>
      </c>
      <c r="S605" s="2">
        <v>8</v>
      </c>
      <c r="T605" s="2">
        <v>371</v>
      </c>
      <c r="U605" s="2">
        <f t="shared" si="47"/>
        <v>395</v>
      </c>
      <c r="V605" s="2">
        <v>1045</v>
      </c>
      <c r="W605" s="2">
        <v>9715</v>
      </c>
      <c r="X605" s="2">
        <f t="shared" si="48"/>
        <v>9715</v>
      </c>
      <c r="Y605" s="2">
        <v>2093</v>
      </c>
      <c r="Z605" t="str" cm="1">
        <f t="array" ref="Z605">_xlfn.IFS(OR(R605&gt;66, S605&gt;38), "High Engagement", OR(AND(R605&gt;32, R605&lt;=66), AND(S605&gt;19, S605&lt;=38)), "Medium-High Engagement", OR(AND(R605&gt;4, R605&lt;=32), AND(S605&gt;6, S605&lt;=19)),"Medium Engagement", TRUE, "Low Engagement"
)</f>
        <v>Medium Engagement</v>
      </c>
      <c r="AA605">
        <f t="shared" si="49"/>
        <v>0.21544004117344312</v>
      </c>
    </row>
    <row r="606" spans="1:27" x14ac:dyDescent="0.35">
      <c r="A606" s="2">
        <v>3372868164</v>
      </c>
      <c r="B606" s="2" t="s">
        <v>97</v>
      </c>
      <c r="C606" s="2">
        <f>VLOOKUP(user_activity!A878,users_details!$A$1:$G$34,5,0)</f>
        <v>58</v>
      </c>
      <c r="D606" s="2" t="str" cm="1">
        <f t="array" ref="D606">_xlfn.IFS( AND(C606&gt;=18, C606&lt;=25), "Emerging Adults",  AND(C606&gt;=26, C606&lt;=35),  "Young Adults",  AND(C606&gt;=36, C606&lt;=45),  "Midlife Adults",  AND(C606&gt;=46, C606&lt;=55), "Mature Adults", C606&gt;=56,  "Older Adults", TRUE, "Age Not Mentioned")</f>
        <v>Older Adults</v>
      </c>
      <c r="E606" s="2" t="str">
        <f>VLOOKUP(user_activity!A878,users_details!$A$1:$G$34,6,0)</f>
        <v>East Village, Manhattan</v>
      </c>
      <c r="F606" s="2" t="str">
        <f>VLOOKUP(user_activity!A878,users_details!$A$1:$G$34,7,0)</f>
        <v>East Village</v>
      </c>
      <c r="G606" s="2" t="s">
        <v>72</v>
      </c>
      <c r="H606" s="7">
        <v>42374</v>
      </c>
      <c r="I606" s="9" t="str">
        <f t="shared" si="45"/>
        <v>Tuesday</v>
      </c>
      <c r="J606" s="9" t="str">
        <f t="shared" si="46"/>
        <v>January</v>
      </c>
      <c r="K606" s="2">
        <v>2.0999999049999998</v>
      </c>
      <c r="L606" s="2">
        <v>2.0999999049999998</v>
      </c>
      <c r="M606" s="2">
        <v>0</v>
      </c>
      <c r="N606" s="2">
        <v>0</v>
      </c>
      <c r="O606" s="2">
        <v>0</v>
      </c>
      <c r="P606" s="2">
        <v>2.0899999139999998</v>
      </c>
      <c r="Q606" s="2">
        <v>0</v>
      </c>
      <c r="R606" s="2">
        <v>0</v>
      </c>
      <c r="S606" s="2">
        <v>0</v>
      </c>
      <c r="T606" s="2">
        <v>172</v>
      </c>
      <c r="U606" s="2">
        <f t="shared" si="47"/>
        <v>172</v>
      </c>
      <c r="V606" s="2">
        <v>842</v>
      </c>
      <c r="W606" s="2">
        <v>3077</v>
      </c>
      <c r="X606" s="2">
        <f t="shared" si="48"/>
        <v>3077</v>
      </c>
      <c r="Y606" s="2">
        <v>1237</v>
      </c>
      <c r="Z606" t="str" cm="1">
        <f t="array" ref="Z606">_xlfn.IFS(OR(R606&gt;66, S606&gt;38), "High Engagement", OR(AND(R606&gt;32, R606&lt;=66), AND(S606&gt;19, S606&lt;=38)), "Medium-High Engagement", OR(AND(R606&gt;4, R606&lt;=32), AND(S606&gt;6, S606&lt;=19)),"Medium Engagement", TRUE, "Low Engagement"
)</f>
        <v>Low Engagement</v>
      </c>
      <c r="AA606">
        <f t="shared" si="49"/>
        <v>0.40201494962625933</v>
      </c>
    </row>
    <row r="607" spans="1:27" x14ac:dyDescent="0.35">
      <c r="A607" s="2">
        <v>3372868164</v>
      </c>
      <c r="B607" s="2" t="s">
        <v>97</v>
      </c>
      <c r="C607" s="2">
        <f>VLOOKUP(user_activity!A909,users_details!$A$1:$G$34,5,0)</f>
        <v>59</v>
      </c>
      <c r="D607" s="2" t="str" cm="1">
        <f t="array" ref="D607">_xlfn.IFS( AND(C607&gt;=18, C607&lt;=25), "Emerging Adults",  AND(C607&gt;=26, C607&lt;=35),  "Young Adults",  AND(C607&gt;=36, C607&lt;=45),  "Midlife Adults",  AND(C607&gt;=46, C607&lt;=55), "Mature Adults", C607&gt;=56,  "Older Adults", TRUE, "Age Not Mentioned")</f>
        <v>Older Adults</v>
      </c>
      <c r="E607" s="2" t="str">
        <f>VLOOKUP(user_activity!A909,users_details!$A$1:$G$34,6,0)</f>
        <v>Upper West Side, Manhattan</v>
      </c>
      <c r="F607" s="2" t="str">
        <f>VLOOKUP(user_activity!A909,users_details!$A$1:$G$34,7,0)</f>
        <v>Upper West Side</v>
      </c>
      <c r="G607" s="2" t="s">
        <v>72</v>
      </c>
      <c r="H607" s="7">
        <v>42489</v>
      </c>
      <c r="I607" s="9" t="str">
        <f t="shared" si="45"/>
        <v>Friday</v>
      </c>
      <c r="J607" s="9" t="str">
        <f t="shared" si="46"/>
        <v>April</v>
      </c>
      <c r="K607" s="2">
        <v>6.2300000190000002</v>
      </c>
      <c r="L607" s="2">
        <v>6.2300000190000002</v>
      </c>
      <c r="M607" s="2">
        <v>0</v>
      </c>
      <c r="N607" s="2">
        <v>0</v>
      </c>
      <c r="O607" s="2">
        <v>0</v>
      </c>
      <c r="P607" s="2">
        <v>6.2199997900000001</v>
      </c>
      <c r="Q607" s="2">
        <v>0.01</v>
      </c>
      <c r="R607" s="2">
        <v>0</v>
      </c>
      <c r="S607" s="2">
        <v>0</v>
      </c>
      <c r="T607" s="2">
        <v>402</v>
      </c>
      <c r="U607" s="2">
        <f t="shared" si="47"/>
        <v>402</v>
      </c>
      <c r="V607" s="2">
        <v>1038</v>
      </c>
      <c r="W607" s="2">
        <v>9135</v>
      </c>
      <c r="X607" s="2">
        <f t="shared" si="48"/>
        <v>9135</v>
      </c>
      <c r="Y607" s="2">
        <v>2044</v>
      </c>
      <c r="Z607" t="str" cm="1">
        <f t="array" ref="Z607">_xlfn.IFS(OR(R607&gt;66, S607&gt;38), "High Engagement", OR(AND(R607&gt;32, R607&lt;=66), AND(S607&gt;19, S607&lt;=38)), "Medium-High Engagement", OR(AND(R607&gt;4, R607&lt;=32), AND(S607&gt;6, S607&lt;=19)),"Medium Engagement", TRUE, "Low Engagement"
)</f>
        <v>Low Engagement</v>
      </c>
      <c r="AA607">
        <f t="shared" si="49"/>
        <v>0.22375478927203066</v>
      </c>
    </row>
    <row r="608" spans="1:27" x14ac:dyDescent="0.35">
      <c r="A608" s="2">
        <v>3372868164</v>
      </c>
      <c r="B608" s="2" t="s">
        <v>97</v>
      </c>
      <c r="C608" s="2">
        <f>VLOOKUP(user_activity!A920,users_details!$A$1:$G$34,5,0)</f>
        <v>60</v>
      </c>
      <c r="D608" s="2" t="str" cm="1">
        <f t="array" ref="D608">_xlfn.IFS( AND(C608&gt;=18, C608&lt;=25), "Emerging Adults",  AND(C608&gt;=26, C608&lt;=35),  "Young Adults",  AND(C608&gt;=36, C608&lt;=45),  "Midlife Adults",  AND(C608&gt;=46, C608&lt;=55), "Mature Adults", C608&gt;=56,  "Older Adults", TRUE, "Age Not Mentioned")</f>
        <v>Older Adults</v>
      </c>
      <c r="E608" s="2" t="str">
        <f>VLOOKUP(user_activity!A920,users_details!$A$1:$G$34,6,0)</f>
        <v>East Village, Manhattan</v>
      </c>
      <c r="F608" s="2" t="str">
        <f>VLOOKUP(user_activity!A920,users_details!$A$1:$G$34,7,0)</f>
        <v>East Village</v>
      </c>
      <c r="G608" s="2" t="s">
        <v>72</v>
      </c>
      <c r="H608" s="7">
        <v>42484</v>
      </c>
      <c r="I608" s="9" t="str">
        <f t="shared" si="45"/>
        <v>Sunday</v>
      </c>
      <c r="J608" s="9" t="str">
        <f t="shared" si="46"/>
        <v>April</v>
      </c>
      <c r="K608" s="2">
        <v>4.5900001530000001</v>
      </c>
      <c r="L608" s="2">
        <v>4.5900001530000001</v>
      </c>
      <c r="M608" s="2">
        <v>0</v>
      </c>
      <c r="N608" s="2">
        <v>0.88999998599999997</v>
      </c>
      <c r="O608" s="2">
        <v>0.189999998</v>
      </c>
      <c r="P608" s="2">
        <v>3.4900000100000002</v>
      </c>
      <c r="Q608" s="2">
        <v>0.02</v>
      </c>
      <c r="R608" s="2">
        <v>14</v>
      </c>
      <c r="S608" s="2">
        <v>7</v>
      </c>
      <c r="T608" s="2">
        <v>292</v>
      </c>
      <c r="U608" s="2">
        <f t="shared" si="47"/>
        <v>313</v>
      </c>
      <c r="V608" s="2">
        <v>1127</v>
      </c>
      <c r="W608" s="2">
        <v>6731</v>
      </c>
      <c r="X608" s="2">
        <f t="shared" si="48"/>
        <v>6731</v>
      </c>
      <c r="Y608" s="2">
        <v>1921</v>
      </c>
      <c r="Z608" t="str" cm="1">
        <f t="array" ref="Z608">_xlfn.IFS(OR(R608&gt;66, S608&gt;38), "High Engagement", OR(AND(R608&gt;32, R608&lt;=66), AND(S608&gt;19, S608&lt;=38)), "Medium-High Engagement", OR(AND(R608&gt;4, R608&lt;=32), AND(S608&gt;6, S608&lt;=19)),"Medium Engagement", TRUE, "Low Engagement"
)</f>
        <v>Medium Engagement</v>
      </c>
      <c r="AA608">
        <f t="shared" si="49"/>
        <v>0.28539592928242458</v>
      </c>
    </row>
    <row r="609" spans="1:27" x14ac:dyDescent="0.35">
      <c r="A609" s="2">
        <v>4702921684</v>
      </c>
      <c r="B609" s="2" t="s">
        <v>94</v>
      </c>
      <c r="C609" s="2">
        <f>VLOOKUP(user_activity!A49,users_details!$A$1:$G$34,5,0)</f>
        <v>18</v>
      </c>
      <c r="D609" s="2" t="str" cm="1">
        <f t="array" ref="D609">_xlfn.IFS( AND(C609&gt;=18, C609&lt;=25), "Emerging Adults",  AND(C609&gt;=26, C609&lt;=35),  "Young Adults",  AND(C609&gt;=36, C609&lt;=45),  "Midlife Adults",  AND(C609&gt;=46, C609&lt;=55), "Mature Adults", C609&gt;=56,  "Older Adults", TRUE, "Age Not Mentioned")</f>
        <v>Emerging Adults</v>
      </c>
      <c r="E609" s="2" t="str">
        <f>VLOOKUP(user_activity!A49,users_details!$A$1:$G$34,6,0)</f>
        <v>Hell's Kitchen, Manhattan</v>
      </c>
      <c r="F609" s="2" t="str">
        <f>VLOOKUP(user_activity!A49,users_details!$A$1:$G$34,7,0)</f>
        <v>Hell's Kitchen</v>
      </c>
      <c r="G609" s="2" t="s">
        <v>72</v>
      </c>
      <c r="H609" s="7">
        <v>42709</v>
      </c>
      <c r="I609" s="9" t="str">
        <f t="shared" si="45"/>
        <v>Monday</v>
      </c>
      <c r="J609" s="9" t="str">
        <f t="shared" si="46"/>
        <v>December</v>
      </c>
      <c r="K609" s="2">
        <v>2.2300000190000002</v>
      </c>
      <c r="L609" s="2">
        <v>2.2300000190000002</v>
      </c>
      <c r="M609" s="2">
        <v>0</v>
      </c>
      <c r="N609" s="2">
        <v>0</v>
      </c>
      <c r="O609" s="2">
        <v>0</v>
      </c>
      <c r="P609" s="2">
        <v>2.2300000190000002</v>
      </c>
      <c r="Q609" s="2">
        <v>0</v>
      </c>
      <c r="R609" s="2">
        <v>0</v>
      </c>
      <c r="S609" s="2">
        <v>0</v>
      </c>
      <c r="T609" s="2">
        <v>68</v>
      </c>
      <c r="U609" s="2">
        <f t="shared" si="47"/>
        <v>68</v>
      </c>
      <c r="V609" s="2">
        <v>241</v>
      </c>
      <c r="W609" s="2">
        <v>2752</v>
      </c>
      <c r="X609" s="2">
        <f t="shared" si="48"/>
        <v>2752</v>
      </c>
      <c r="Y609" s="2">
        <v>1240</v>
      </c>
      <c r="Z609" t="str" cm="1">
        <f t="array" ref="Z609">_xlfn.IFS(OR(R609&gt;66, S609&gt;38), "High Engagement", OR(AND(R609&gt;32, R609&lt;=66), AND(S609&gt;19, S609&lt;=38)), "Medium-High Engagement", OR(AND(R609&gt;4, R609&lt;=32), AND(S609&gt;6, S609&lt;=19)),"Medium Engagement", TRUE, "Low Engagement"
)</f>
        <v>Low Engagement</v>
      </c>
      <c r="AA609">
        <f t="shared" si="49"/>
        <v>0.45058139534883723</v>
      </c>
    </row>
    <row r="610" spans="1:27" x14ac:dyDescent="0.35">
      <c r="A610" s="2">
        <v>4702921684</v>
      </c>
      <c r="B610" s="2" t="s">
        <v>94</v>
      </c>
      <c r="C610" s="2">
        <f>VLOOKUP(user_activity!A63,users_details!$A$1:$G$34,5,0)</f>
        <v>18</v>
      </c>
      <c r="D610" s="2" t="str" cm="1">
        <f t="array" ref="D610">_xlfn.IFS( AND(C610&gt;=18, C610&lt;=25), "Emerging Adults",  AND(C610&gt;=26, C610&lt;=35),  "Young Adults",  AND(C610&gt;=36, C610&lt;=45),  "Midlife Adults",  AND(C610&gt;=46, C610&lt;=55), "Mature Adults", C610&gt;=56,  "Older Adults", TRUE, "Age Not Mentioned")</f>
        <v>Emerging Adults</v>
      </c>
      <c r="E610" s="2" t="str">
        <f>VLOOKUP(user_activity!A63,users_details!$A$1:$G$34,6,0)</f>
        <v>Upper West Side, Manhattan</v>
      </c>
      <c r="F610" s="2" t="str">
        <f>VLOOKUP(user_activity!A63,users_details!$A$1:$G$34,7,0)</f>
        <v>Upper West Side</v>
      </c>
      <c r="G610" s="2" t="s">
        <v>72</v>
      </c>
      <c r="H610" s="7">
        <v>42488</v>
      </c>
      <c r="I610" s="9" t="str">
        <f t="shared" si="45"/>
        <v>Thursday</v>
      </c>
      <c r="J610" s="9" t="str">
        <f t="shared" si="46"/>
        <v>April</v>
      </c>
      <c r="K610" s="2">
        <v>7.3200001720000003</v>
      </c>
      <c r="L610" s="2">
        <v>7.3200001720000003</v>
      </c>
      <c r="M610" s="2">
        <v>0</v>
      </c>
      <c r="N610" s="2">
        <v>1.1299999949999999</v>
      </c>
      <c r="O610" s="2">
        <v>0.41999998700000002</v>
      </c>
      <c r="P610" s="2">
        <v>5.7699999809999998</v>
      </c>
      <c r="Q610" s="2">
        <v>0</v>
      </c>
      <c r="R610" s="2">
        <v>14</v>
      </c>
      <c r="S610" s="2">
        <v>9</v>
      </c>
      <c r="T610" s="2">
        <v>232</v>
      </c>
      <c r="U610" s="2">
        <f t="shared" si="47"/>
        <v>255</v>
      </c>
      <c r="V610" s="2">
        <v>738</v>
      </c>
      <c r="W610" s="2">
        <v>9023</v>
      </c>
      <c r="X610" s="2">
        <f t="shared" si="48"/>
        <v>9023</v>
      </c>
      <c r="Y610" s="2">
        <v>3033</v>
      </c>
      <c r="Z610" t="str" cm="1">
        <f t="array" ref="Z610">_xlfn.IFS(OR(R610&gt;66, S610&gt;38), "High Engagement", OR(AND(R610&gt;32, R610&lt;=66), AND(S610&gt;19, S610&lt;=38)), "Medium-High Engagement", OR(AND(R610&gt;4, R610&lt;=32), AND(S610&gt;6, S610&lt;=19)),"Medium Engagement", TRUE, "Low Engagement"
)</f>
        <v>Medium Engagement</v>
      </c>
      <c r="AA610">
        <f t="shared" si="49"/>
        <v>0.33614097306882412</v>
      </c>
    </row>
    <row r="611" spans="1:27" x14ac:dyDescent="0.35">
      <c r="A611" s="2">
        <v>4702921684</v>
      </c>
      <c r="B611" s="2" t="s">
        <v>94</v>
      </c>
      <c r="C611" s="2">
        <f>VLOOKUP(user_activity!A77,users_details!$A$1:$G$34,5,0)</f>
        <v>21</v>
      </c>
      <c r="D611" s="2" t="str" cm="1">
        <f t="array" ref="D611">_xlfn.IFS( AND(C611&gt;=18, C611&lt;=25), "Emerging Adults",  AND(C611&gt;=26, C611&lt;=35),  "Young Adults",  AND(C611&gt;=36, C611&lt;=45),  "Midlife Adults",  AND(C611&gt;=46, C611&lt;=55), "Mature Adults", C611&gt;=56,  "Older Adults", TRUE, "Age Not Mentioned")</f>
        <v>Emerging Adults</v>
      </c>
      <c r="E611" s="2" t="str">
        <f>VLOOKUP(user_activity!A77,users_details!$A$1:$G$34,6,0)</f>
        <v>Bushwick, Brooklyn</v>
      </c>
      <c r="F611" s="2" t="str">
        <f>VLOOKUP(user_activity!A77,users_details!$A$1:$G$34,7,0)</f>
        <v>Bushwick</v>
      </c>
      <c r="G611" s="2" t="s">
        <v>72</v>
      </c>
      <c r="H611" s="7">
        <v>42485</v>
      </c>
      <c r="I611" s="9" t="str">
        <f t="shared" si="45"/>
        <v>Monday</v>
      </c>
      <c r="J611" s="9" t="str">
        <f t="shared" si="46"/>
        <v>April</v>
      </c>
      <c r="K611" s="2">
        <v>7.4299998279999997</v>
      </c>
      <c r="L611" s="2">
        <v>7.4299998279999997</v>
      </c>
      <c r="M611" s="2">
        <v>0</v>
      </c>
      <c r="N611" s="2">
        <v>0.49000000999999999</v>
      </c>
      <c r="O611" s="2">
        <v>0.81999999300000004</v>
      </c>
      <c r="P611" s="2">
        <v>6.1100001339999999</v>
      </c>
      <c r="Q611" s="2">
        <v>0</v>
      </c>
      <c r="R611" s="2">
        <v>6</v>
      </c>
      <c r="S611" s="2">
        <v>15</v>
      </c>
      <c r="T611" s="2">
        <v>270</v>
      </c>
      <c r="U611" s="2">
        <f t="shared" si="47"/>
        <v>291</v>
      </c>
      <c r="V611" s="2">
        <v>730</v>
      </c>
      <c r="W611" s="2">
        <v>9167</v>
      </c>
      <c r="X611" s="2">
        <f t="shared" si="48"/>
        <v>9167</v>
      </c>
      <c r="Y611" s="2">
        <v>3064</v>
      </c>
      <c r="Z611" t="str" cm="1">
        <f t="array" ref="Z611">_xlfn.IFS(OR(R611&gt;66, S611&gt;38), "High Engagement", OR(AND(R611&gt;32, R611&lt;=66), AND(S611&gt;19, S611&lt;=38)), "Medium-High Engagement", OR(AND(R611&gt;4, R611&lt;=32), AND(S611&gt;6, S611&lt;=19)),"Medium Engagement", TRUE, "Low Engagement"
)</f>
        <v>Medium Engagement</v>
      </c>
      <c r="AA611">
        <f t="shared" si="49"/>
        <v>0.33424239118577509</v>
      </c>
    </row>
    <row r="612" spans="1:27" x14ac:dyDescent="0.35">
      <c r="A612" s="2">
        <v>4702921684</v>
      </c>
      <c r="B612" s="2" t="s">
        <v>94</v>
      </c>
      <c r="C612" s="2">
        <f>VLOOKUP(user_activity!A91,users_details!$A$1:$G$34,5,0)</f>
        <v>21</v>
      </c>
      <c r="D612" s="2" t="str" cm="1">
        <f t="array" ref="D612">_xlfn.IFS( AND(C612&gt;=18, C612&lt;=25), "Emerging Adults",  AND(C612&gt;=26, C612&lt;=35),  "Young Adults",  AND(C612&gt;=36, C612&lt;=45),  "Midlife Adults",  AND(C612&gt;=46, C612&lt;=55), "Mature Adults", C612&gt;=56,  "Older Adults", TRUE, "Age Not Mentioned")</f>
        <v>Emerging Adults</v>
      </c>
      <c r="E612" s="2" t="str">
        <f>VLOOKUP(user_activity!A91,users_details!$A$1:$G$34,6,0)</f>
        <v>Bushwick, Brooklyn</v>
      </c>
      <c r="F612" s="2" t="str">
        <f>VLOOKUP(user_activity!A91,users_details!$A$1:$G$34,7,0)</f>
        <v>Bushwick</v>
      </c>
      <c r="G612" s="2" t="s">
        <v>72</v>
      </c>
      <c r="H612" s="7">
        <v>42479</v>
      </c>
      <c r="I612" s="9" t="str">
        <f t="shared" si="45"/>
        <v>Tuesday</v>
      </c>
      <c r="J612" s="9" t="str">
        <f t="shared" si="46"/>
        <v>April</v>
      </c>
      <c r="K612" s="2">
        <v>5.4400000569999998</v>
      </c>
      <c r="L612" s="2">
        <v>5.4400000569999998</v>
      </c>
      <c r="M612" s="2">
        <v>0</v>
      </c>
      <c r="N612" s="2">
        <v>0.87999999500000003</v>
      </c>
      <c r="O612" s="2">
        <v>0.37000000500000002</v>
      </c>
      <c r="P612" s="2">
        <v>4.1900000569999998</v>
      </c>
      <c r="Q612" s="2">
        <v>0</v>
      </c>
      <c r="R612" s="2">
        <v>10</v>
      </c>
      <c r="S612" s="2">
        <v>8</v>
      </c>
      <c r="T612" s="2">
        <v>179</v>
      </c>
      <c r="U612" s="2">
        <f t="shared" si="47"/>
        <v>197</v>
      </c>
      <c r="V612" s="2">
        <v>757</v>
      </c>
      <c r="W612" s="2">
        <v>6708</v>
      </c>
      <c r="X612" s="2">
        <f t="shared" si="48"/>
        <v>6708</v>
      </c>
      <c r="Y612" s="2">
        <v>2812</v>
      </c>
      <c r="Z612" t="str" cm="1">
        <f t="array" ref="Z612">_xlfn.IFS(OR(R612&gt;66, S612&gt;38), "High Engagement", OR(AND(R612&gt;32, R612&lt;=66), AND(S612&gt;19, S612&lt;=38)), "Medium-High Engagement", OR(AND(R612&gt;4, R612&lt;=32), AND(S612&gt;6, S612&lt;=19)),"Medium Engagement", TRUE, "Low Engagement"
)</f>
        <v>Medium Engagement</v>
      </c>
      <c r="AA612">
        <f t="shared" si="49"/>
        <v>0.419200954084675</v>
      </c>
    </row>
    <row r="613" spans="1:27" x14ac:dyDescent="0.35">
      <c r="A613" s="2">
        <v>4702921684</v>
      </c>
      <c r="B613" s="2" t="s">
        <v>94</v>
      </c>
      <c r="C613" s="2">
        <f>VLOOKUP(user_activity!A120,users_details!$A$1:$G$34,5,0)</f>
        <v>22</v>
      </c>
      <c r="D613" s="2" t="str" cm="1">
        <f t="array" ref="D613">_xlfn.IFS( AND(C613&gt;=18, C613&lt;=25), "Emerging Adults",  AND(C613&gt;=26, C613&lt;=35),  "Young Adults",  AND(C613&gt;=36, C613&lt;=45),  "Midlife Adults",  AND(C613&gt;=46, C613&lt;=55), "Mature Adults", C613&gt;=56,  "Older Adults", TRUE, "Age Not Mentioned")</f>
        <v>Emerging Adults</v>
      </c>
      <c r="E613" s="2" t="str">
        <f>VLOOKUP(user_activity!A120,users_details!$A$1:$G$34,6,0)</f>
        <v>Upper East Side, Manhattan</v>
      </c>
      <c r="F613" s="2" t="str">
        <f>VLOOKUP(user_activity!A120,users_details!$A$1:$G$34,7,0)</f>
        <v>Upper East Side</v>
      </c>
      <c r="G613" s="2" t="s">
        <v>72</v>
      </c>
      <c r="H613" s="7">
        <v>42480</v>
      </c>
      <c r="I613" s="9" t="str">
        <f t="shared" si="45"/>
        <v>Wednesday</v>
      </c>
      <c r="J613" s="9" t="str">
        <f t="shared" si="46"/>
        <v>April</v>
      </c>
      <c r="K613" s="2">
        <v>7.1300001139999996</v>
      </c>
      <c r="L613" s="2">
        <v>7.1300001139999996</v>
      </c>
      <c r="M613" s="2">
        <v>0</v>
      </c>
      <c r="N613" s="2">
        <v>0.15999999600000001</v>
      </c>
      <c r="O613" s="2">
        <v>1.230000019</v>
      </c>
      <c r="P613" s="2">
        <v>5.7300000190000002</v>
      </c>
      <c r="Q613" s="2">
        <v>0</v>
      </c>
      <c r="R613" s="2">
        <v>2</v>
      </c>
      <c r="S613" s="2">
        <v>29</v>
      </c>
      <c r="T613" s="2">
        <v>260</v>
      </c>
      <c r="U613" s="2">
        <f t="shared" si="47"/>
        <v>291</v>
      </c>
      <c r="V613" s="2">
        <v>717</v>
      </c>
      <c r="W613" s="2">
        <v>8793</v>
      </c>
      <c r="X613" s="2">
        <f t="shared" si="48"/>
        <v>8793</v>
      </c>
      <c r="Y613" s="2">
        <v>3061</v>
      </c>
      <c r="Z613" t="str" cm="1">
        <f t="array" ref="Z613">_xlfn.IFS(OR(R613&gt;66, S613&gt;38), "High Engagement", OR(AND(R613&gt;32, R613&lt;=66), AND(S613&gt;19, S613&lt;=38)), "Medium-High Engagement", OR(AND(R613&gt;4, R613&lt;=32), AND(S613&gt;6, S613&lt;=19)),"Medium Engagement", TRUE, "Low Engagement"
)</f>
        <v>Medium-High Engagement</v>
      </c>
      <c r="AA613">
        <f t="shared" si="49"/>
        <v>0.34811782099397248</v>
      </c>
    </row>
    <row r="614" spans="1:27" x14ac:dyDescent="0.35">
      <c r="A614" s="2">
        <v>4702921684</v>
      </c>
      <c r="B614" s="2" t="s">
        <v>94</v>
      </c>
      <c r="C614" s="2">
        <f>VLOOKUP(user_activity!A145,users_details!$A$1:$G$34,5,0)</f>
        <v>23</v>
      </c>
      <c r="D614" s="2" t="str" cm="1">
        <f t="array" ref="D614">_xlfn.IFS( AND(C614&gt;=18, C614&lt;=25), "Emerging Adults",  AND(C614&gt;=26, C614&lt;=35),  "Young Adults",  AND(C614&gt;=36, C614&lt;=45),  "Midlife Adults",  AND(C614&gt;=46, C614&lt;=55), "Mature Adults", C614&gt;=56,  "Older Adults", TRUE, "Age Not Mentioned")</f>
        <v>Emerging Adults</v>
      </c>
      <c r="E614" s="2" t="str">
        <f>VLOOKUP(user_activity!A145,users_details!$A$1:$G$34,6,0)</f>
        <v>Crown Heights, Brooklyn</v>
      </c>
      <c r="F614" s="2" t="str">
        <f>VLOOKUP(user_activity!A145,users_details!$A$1:$G$34,7,0)</f>
        <v>Crown Heights</v>
      </c>
      <c r="G614" s="2" t="s">
        <v>72</v>
      </c>
      <c r="H614" s="7">
        <v>42486</v>
      </c>
      <c r="I614" s="9" t="str">
        <f t="shared" si="45"/>
        <v>Tuesday</v>
      </c>
      <c r="J614" s="9" t="str">
        <f t="shared" si="46"/>
        <v>April</v>
      </c>
      <c r="K614" s="2">
        <v>4.9499998090000004</v>
      </c>
      <c r="L614" s="2">
        <v>4.9499998090000004</v>
      </c>
      <c r="M614" s="2">
        <v>0</v>
      </c>
      <c r="N614" s="2">
        <v>7.0000000000000007E-2</v>
      </c>
      <c r="O614" s="2">
        <v>0.34999999399999998</v>
      </c>
      <c r="P614" s="2">
        <v>4.5399999619999996</v>
      </c>
      <c r="Q614" s="2">
        <v>0</v>
      </c>
      <c r="R614" s="2">
        <v>1</v>
      </c>
      <c r="S614" s="2">
        <v>8</v>
      </c>
      <c r="T614" s="2">
        <v>216</v>
      </c>
      <c r="U614" s="2">
        <f t="shared" si="47"/>
        <v>225</v>
      </c>
      <c r="V614" s="2">
        <v>765</v>
      </c>
      <c r="W614" s="2">
        <v>6108</v>
      </c>
      <c r="X614" s="2">
        <f t="shared" si="48"/>
        <v>6108</v>
      </c>
      <c r="Y614" s="2">
        <v>2784</v>
      </c>
      <c r="Z614" t="str" cm="1">
        <f t="array" ref="Z614">_xlfn.IFS(OR(R614&gt;66, S614&gt;38), "High Engagement", OR(AND(R614&gt;32, R614&lt;=66), AND(S614&gt;19, S614&lt;=38)), "Medium-High Engagement", OR(AND(R614&gt;4, R614&lt;=32), AND(S614&gt;6, S614&lt;=19)),"Medium Engagement", TRUE, "Low Engagement"
)</f>
        <v>Medium Engagement</v>
      </c>
      <c r="AA614">
        <f t="shared" si="49"/>
        <v>0.45579567779960706</v>
      </c>
    </row>
    <row r="615" spans="1:27" x14ac:dyDescent="0.35">
      <c r="A615" s="2">
        <v>4702921684</v>
      </c>
      <c r="B615" s="2" t="s">
        <v>94</v>
      </c>
      <c r="C615" s="2">
        <f>VLOOKUP(user_activity!A146,users_details!$A$1:$G$34,5,0)</f>
        <v>23</v>
      </c>
      <c r="D615" s="2" t="str" cm="1">
        <f t="array" ref="D615">_xlfn.IFS( AND(C615&gt;=18, C615&lt;=25), "Emerging Adults",  AND(C615&gt;=26, C615&lt;=35),  "Young Adults",  AND(C615&gt;=36, C615&lt;=45),  "Midlife Adults",  AND(C615&gt;=46, C615&lt;=55), "Mature Adults", C615&gt;=56,  "Older Adults", TRUE, "Age Not Mentioned")</f>
        <v>Emerging Adults</v>
      </c>
      <c r="E615" s="2" t="str">
        <f>VLOOKUP(user_activity!A146,users_details!$A$1:$G$34,6,0)</f>
        <v>Crown Heights, Brooklyn</v>
      </c>
      <c r="F615" s="2" t="str">
        <f>VLOOKUP(user_activity!A146,users_details!$A$1:$G$34,7,0)</f>
        <v>Crown Heights</v>
      </c>
      <c r="G615" s="2" t="s">
        <v>72</v>
      </c>
      <c r="H615" s="7">
        <v>42679</v>
      </c>
      <c r="I615" s="9" t="str">
        <f t="shared" si="45"/>
        <v>Saturday</v>
      </c>
      <c r="J615" s="9" t="str">
        <f t="shared" si="46"/>
        <v>November</v>
      </c>
      <c r="K615" s="2">
        <v>7.9600000380000004</v>
      </c>
      <c r="L615" s="2">
        <v>7.9600000380000004</v>
      </c>
      <c r="M615" s="2">
        <v>0</v>
      </c>
      <c r="N615" s="2">
        <v>0.77999997099999996</v>
      </c>
      <c r="O615" s="2">
        <v>2.1600000860000002</v>
      </c>
      <c r="P615" s="2">
        <v>4.9800000190000002</v>
      </c>
      <c r="Q615" s="2">
        <v>0</v>
      </c>
      <c r="R615" s="2">
        <v>10</v>
      </c>
      <c r="S615" s="2">
        <v>41</v>
      </c>
      <c r="T615" s="2">
        <v>235</v>
      </c>
      <c r="U615" s="2">
        <f t="shared" si="47"/>
        <v>286</v>
      </c>
      <c r="V615" s="2">
        <v>784</v>
      </c>
      <c r="W615" s="2">
        <v>9810</v>
      </c>
      <c r="X615" s="2">
        <f t="shared" si="48"/>
        <v>9810</v>
      </c>
      <c r="Y615" s="2">
        <v>3069</v>
      </c>
      <c r="Z615" t="str" cm="1">
        <f t="array" ref="Z615">_xlfn.IFS(OR(R615&gt;66, S615&gt;38), "High Engagement", OR(AND(R615&gt;32, R615&lt;=66), AND(S615&gt;19, S615&lt;=38)), "Medium-High Engagement", OR(AND(R615&gt;4, R615&lt;=32), AND(S615&gt;6, S615&lt;=19)),"Medium Engagement", TRUE, "Low Engagement"
)</f>
        <v>High Engagement</v>
      </c>
      <c r="AA615">
        <f t="shared" si="49"/>
        <v>0.3128440366972477</v>
      </c>
    </row>
    <row r="616" spans="1:27" x14ac:dyDescent="0.35">
      <c r="A616" s="2">
        <v>4702921684</v>
      </c>
      <c r="B616" s="2" t="s">
        <v>94</v>
      </c>
      <c r="C616" s="2">
        <f>VLOOKUP(user_activity!A156,users_details!$A$1:$G$34,5,0)</f>
        <v>23</v>
      </c>
      <c r="D616" s="2" t="str" cm="1">
        <f t="array" ref="D616">_xlfn.IFS( AND(C616&gt;=18, C616&lt;=25), "Emerging Adults",  AND(C616&gt;=26, C616&lt;=35),  "Young Adults",  AND(C616&gt;=36, C616&lt;=45),  "Midlife Adults",  AND(C616&gt;=46, C616&lt;=55), "Mature Adults", C616&gt;=56,  "Older Adults", TRUE, "Age Not Mentioned")</f>
        <v>Emerging Adults</v>
      </c>
      <c r="E616" s="2" t="str">
        <f>VLOOKUP(user_activity!A156,users_details!$A$1:$G$34,6,0)</f>
        <v>Crown Heights, Brooklyn</v>
      </c>
      <c r="F616" s="2" t="str">
        <f>VLOOKUP(user_activity!A156,users_details!$A$1:$G$34,7,0)</f>
        <v>Crown Heights</v>
      </c>
      <c r="G616" s="2" t="s">
        <v>72</v>
      </c>
      <c r="H616" s="7">
        <v>42405</v>
      </c>
      <c r="I616" s="9" t="str">
        <f t="shared" si="45"/>
        <v>Friday</v>
      </c>
      <c r="J616" s="9" t="str">
        <f t="shared" si="46"/>
        <v>February</v>
      </c>
      <c r="K616" s="2">
        <v>5.920000076</v>
      </c>
      <c r="L616" s="2">
        <v>5.920000076</v>
      </c>
      <c r="M616" s="2">
        <v>0</v>
      </c>
      <c r="N616" s="2">
        <v>0.37999999499999998</v>
      </c>
      <c r="O616" s="2">
        <v>1.7400000099999999</v>
      </c>
      <c r="P616" s="2">
        <v>3.7599999899999998</v>
      </c>
      <c r="Q616" s="2">
        <v>0</v>
      </c>
      <c r="R616" s="2">
        <v>5</v>
      </c>
      <c r="S616" s="2">
        <v>40</v>
      </c>
      <c r="T616" s="2">
        <v>195</v>
      </c>
      <c r="U616" s="2">
        <f t="shared" si="47"/>
        <v>240</v>
      </c>
      <c r="V616" s="2">
        <v>1131</v>
      </c>
      <c r="W616" s="2">
        <v>7245</v>
      </c>
      <c r="X616" s="2">
        <f t="shared" si="48"/>
        <v>7245</v>
      </c>
      <c r="Y616" s="2">
        <v>2859</v>
      </c>
      <c r="Z616" t="str" cm="1">
        <f t="array" ref="Z616">_xlfn.IFS(OR(R616&gt;66, S616&gt;38), "High Engagement", OR(AND(R616&gt;32, R616&lt;=66), AND(S616&gt;19, S616&lt;=38)), "Medium-High Engagement", OR(AND(R616&gt;4, R616&lt;=32), AND(S616&gt;6, S616&lt;=19)),"Medium Engagement", TRUE, "Low Engagement"
)</f>
        <v>High Engagement</v>
      </c>
      <c r="AA616">
        <f t="shared" si="49"/>
        <v>0.3946169772256729</v>
      </c>
    </row>
    <row r="617" spans="1:27" x14ac:dyDescent="0.35">
      <c r="A617" s="2">
        <v>4702921684</v>
      </c>
      <c r="B617" s="2" t="s">
        <v>94</v>
      </c>
      <c r="C617" s="2">
        <f>VLOOKUP(user_activity!A162,users_details!$A$1:$G$34,5,0)</f>
        <v>23</v>
      </c>
      <c r="D617" s="2" t="str" cm="1">
        <f t="array" ref="D617">_xlfn.IFS( AND(C617&gt;=18, C617&lt;=25), "Emerging Adults",  AND(C617&gt;=26, C617&lt;=35),  "Young Adults",  AND(C617&gt;=36, C617&lt;=45),  "Midlife Adults",  AND(C617&gt;=46, C617&lt;=55), "Mature Adults", C617&gt;=56,  "Older Adults", TRUE, "Age Not Mentioned")</f>
        <v>Emerging Adults</v>
      </c>
      <c r="E617" s="2" t="str">
        <f>VLOOKUP(user_activity!A162,users_details!$A$1:$G$34,6,0)</f>
        <v>Washington Heights, Manhattan</v>
      </c>
      <c r="F617" s="2" t="str">
        <f>VLOOKUP(user_activity!A162,users_details!$A$1:$G$34,7,0)</f>
        <v>Washington Heights</v>
      </c>
      <c r="G617" s="2" t="s">
        <v>72</v>
      </c>
      <c r="H617" s="7">
        <v>42587</v>
      </c>
      <c r="I617" s="9" t="str">
        <f t="shared" si="45"/>
        <v>Friday</v>
      </c>
      <c r="J617" s="9" t="str">
        <f t="shared" si="46"/>
        <v>August</v>
      </c>
      <c r="K617" s="2">
        <v>10.43000031</v>
      </c>
      <c r="L617" s="2">
        <v>10.43000031</v>
      </c>
      <c r="M617" s="2">
        <v>0</v>
      </c>
      <c r="N617" s="2">
        <v>0.68000000699999996</v>
      </c>
      <c r="O617" s="2">
        <v>6.2100000380000004</v>
      </c>
      <c r="P617" s="2">
        <v>3.539999962</v>
      </c>
      <c r="Q617" s="2">
        <v>0</v>
      </c>
      <c r="R617" s="2">
        <v>9</v>
      </c>
      <c r="S617" s="2">
        <v>125</v>
      </c>
      <c r="T617" s="2">
        <v>192</v>
      </c>
      <c r="U617" s="2">
        <f t="shared" si="47"/>
        <v>326</v>
      </c>
      <c r="V617" s="2">
        <v>1019</v>
      </c>
      <c r="W617" s="2">
        <v>12857</v>
      </c>
      <c r="X617" s="2">
        <f t="shared" si="48"/>
        <v>12857</v>
      </c>
      <c r="Y617" s="2">
        <v>3287</v>
      </c>
      <c r="Z617" t="str" cm="1">
        <f t="array" ref="Z617">_xlfn.IFS(OR(R617&gt;66, S617&gt;38), "High Engagement", OR(AND(R617&gt;32, R617&lt;=66), AND(S617&gt;19, S617&lt;=38)), "Medium-High Engagement", OR(AND(R617&gt;4, R617&lt;=32), AND(S617&gt;6, S617&lt;=19)),"Medium Engagement", TRUE, "Low Engagement"
)</f>
        <v>High Engagement</v>
      </c>
      <c r="AA617">
        <f t="shared" si="49"/>
        <v>0.25565839620440228</v>
      </c>
    </row>
    <row r="618" spans="1:27" x14ac:dyDescent="0.35">
      <c r="A618" s="2">
        <v>4702921684</v>
      </c>
      <c r="B618" s="2" t="s">
        <v>94</v>
      </c>
      <c r="C618" s="2">
        <f>VLOOKUP(user_activity!A199,users_details!$A$1:$G$34,5,0)</f>
        <v>23</v>
      </c>
      <c r="D618" s="2" t="str" cm="1">
        <f t="array" ref="D618">_xlfn.IFS( AND(C618&gt;=18, C618&lt;=25), "Emerging Adults",  AND(C618&gt;=26, C618&lt;=35),  "Young Adults",  AND(C618&gt;=36, C618&lt;=45),  "Midlife Adults",  AND(C618&gt;=46, C618&lt;=55), "Mature Adults", C618&gt;=56,  "Older Adults", TRUE, "Age Not Mentioned")</f>
        <v>Emerging Adults</v>
      </c>
      <c r="E618" s="2" t="str">
        <f>VLOOKUP(user_activity!A199,users_details!$A$1:$G$34,6,0)</f>
        <v>Washington Heights, Manhattan</v>
      </c>
      <c r="F618" s="2" t="str">
        <f>VLOOKUP(user_activity!A199,users_details!$A$1:$G$34,7,0)</f>
        <v>Washington Heights</v>
      </c>
      <c r="G618" s="2" t="s">
        <v>72</v>
      </c>
      <c r="H618" s="7">
        <v>42526</v>
      </c>
      <c r="I618" s="9" t="str">
        <f t="shared" si="45"/>
        <v>Sunday</v>
      </c>
      <c r="J618" s="9" t="str">
        <f t="shared" si="46"/>
        <v>June</v>
      </c>
      <c r="K618" s="2">
        <v>5.6300001139999996</v>
      </c>
      <c r="L618" s="2">
        <v>5.6300001139999996</v>
      </c>
      <c r="M618" s="2">
        <v>0</v>
      </c>
      <c r="N618" s="2">
        <v>7.9999998000000003E-2</v>
      </c>
      <c r="O618" s="2">
        <v>0.66000002599999996</v>
      </c>
      <c r="P618" s="2">
        <v>4.8699998860000004</v>
      </c>
      <c r="Q618" s="2">
        <v>0</v>
      </c>
      <c r="R618" s="2">
        <v>1</v>
      </c>
      <c r="S618" s="2">
        <v>16</v>
      </c>
      <c r="T618" s="2">
        <v>207</v>
      </c>
      <c r="U618" s="2">
        <f t="shared" si="47"/>
        <v>224</v>
      </c>
      <c r="V618" s="2">
        <v>682</v>
      </c>
      <c r="W618" s="2">
        <v>6943</v>
      </c>
      <c r="X618" s="2">
        <f t="shared" si="48"/>
        <v>6943</v>
      </c>
      <c r="Y618" s="2">
        <v>2859</v>
      </c>
      <c r="Z618" t="str" cm="1">
        <f t="array" ref="Z618">_xlfn.IFS(OR(R618&gt;66, S618&gt;38), "High Engagement", OR(AND(R618&gt;32, R618&lt;=66), AND(S618&gt;19, S618&lt;=38)), "Medium-High Engagement", OR(AND(R618&gt;4, R618&lt;=32), AND(S618&gt;6, S618&lt;=19)),"Medium Engagement", TRUE, "Low Engagement"
)</f>
        <v>Medium Engagement</v>
      </c>
      <c r="AA618">
        <f t="shared" si="49"/>
        <v>0.41178165058332133</v>
      </c>
    </row>
    <row r="619" spans="1:27" x14ac:dyDescent="0.35">
      <c r="A619" s="2">
        <v>4702921684</v>
      </c>
      <c r="B619" s="2" t="s">
        <v>94</v>
      </c>
      <c r="C619" s="2">
        <f>VLOOKUP(user_activity!A204,users_details!$A$1:$G$34,5,0)</f>
        <v>23</v>
      </c>
      <c r="D619" s="2" t="str" cm="1">
        <f t="array" ref="D619">_xlfn.IFS( AND(C619&gt;=18, C619&lt;=25), "Emerging Adults",  AND(C619&gt;=26, C619&lt;=35),  "Young Adults",  AND(C619&gt;=36, C619&lt;=45),  "Midlife Adults",  AND(C619&gt;=46, C619&lt;=55), "Mature Adults", C619&gt;=56,  "Older Adults", TRUE, "Age Not Mentioned")</f>
        <v>Emerging Adults</v>
      </c>
      <c r="E619" s="2" t="str">
        <f>VLOOKUP(user_activity!A204,users_details!$A$1:$G$34,6,0)</f>
        <v>Washington Heights, Manhattan</v>
      </c>
      <c r="F619" s="2" t="str">
        <f>VLOOKUP(user_activity!A204,users_details!$A$1:$G$34,7,0)</f>
        <v>Washington Heights</v>
      </c>
      <c r="G619" s="2" t="s">
        <v>72</v>
      </c>
      <c r="H619" s="7">
        <v>42490</v>
      </c>
      <c r="I619" s="9" t="str">
        <f t="shared" si="45"/>
        <v>Saturday</v>
      </c>
      <c r="J619" s="9" t="str">
        <f t="shared" si="46"/>
        <v>April</v>
      </c>
      <c r="K619" s="2">
        <v>8.2299995419999998</v>
      </c>
      <c r="L619" s="2">
        <v>8.2299995419999998</v>
      </c>
      <c r="M619" s="2">
        <v>0</v>
      </c>
      <c r="N619" s="2">
        <v>0.31999999299999998</v>
      </c>
      <c r="O619" s="2">
        <v>2.0299999710000001</v>
      </c>
      <c r="P619" s="2">
        <v>5.8800001139999996</v>
      </c>
      <c r="Q619" s="2">
        <v>0</v>
      </c>
      <c r="R619" s="2">
        <v>4</v>
      </c>
      <c r="S619" s="2">
        <v>36</v>
      </c>
      <c r="T619" s="2">
        <v>263</v>
      </c>
      <c r="U619" s="2">
        <f t="shared" si="47"/>
        <v>303</v>
      </c>
      <c r="V619" s="2">
        <v>728</v>
      </c>
      <c r="W619" s="2">
        <v>10144</v>
      </c>
      <c r="X619" s="2">
        <f t="shared" si="48"/>
        <v>10144</v>
      </c>
      <c r="Y619" s="2">
        <v>3115</v>
      </c>
      <c r="Z619" t="str" cm="1">
        <f t="array" ref="Z619">_xlfn.IFS(OR(R619&gt;66, S619&gt;38), "High Engagement", OR(AND(R619&gt;32, R619&lt;=66), AND(S619&gt;19, S619&lt;=38)), "Medium-High Engagement", OR(AND(R619&gt;4, R619&lt;=32), AND(S619&gt;6, S619&lt;=19)),"Medium Engagement", TRUE, "Low Engagement"
)</f>
        <v>Medium-High Engagement</v>
      </c>
      <c r="AA619">
        <f t="shared" si="49"/>
        <v>0.30707807570977919</v>
      </c>
    </row>
    <row r="620" spans="1:27" x14ac:dyDescent="0.35">
      <c r="A620" s="2">
        <v>4702921684</v>
      </c>
      <c r="B620" s="2" t="s">
        <v>94</v>
      </c>
      <c r="C620" s="2">
        <f>VLOOKUP(user_activity!A264,users_details!$A$1:$G$34,5,0)</f>
        <v>29</v>
      </c>
      <c r="D620" s="2" t="str" cm="1">
        <f t="array" ref="D620">_xlfn.IFS( AND(C620&gt;=18, C620&lt;=25), "Emerging Adults",  AND(C620&gt;=26, C620&lt;=35),  "Young Adults",  AND(C620&gt;=36, C620&lt;=45),  "Midlife Adults",  AND(C620&gt;=46, C620&lt;=55), "Mature Adults", C620&gt;=56,  "Older Adults", TRUE, "Age Not Mentioned")</f>
        <v>Young Adults</v>
      </c>
      <c r="E620" s="2" t="str">
        <f>VLOOKUP(user_activity!A264,users_details!$A$1:$G$34,6,0)</f>
        <v>Crown Heights, Brooklyn</v>
      </c>
      <c r="F620" s="2" t="str">
        <f>VLOOKUP(user_activity!A264,users_details!$A$1:$G$34,7,0)</f>
        <v>Crown Heights</v>
      </c>
      <c r="G620" s="2" t="s">
        <v>72</v>
      </c>
      <c r="H620" s="7">
        <v>42483</v>
      </c>
      <c r="I620" s="9" t="str">
        <f t="shared" si="45"/>
        <v>Saturday</v>
      </c>
      <c r="J620" s="9" t="str">
        <f t="shared" si="46"/>
        <v>April</v>
      </c>
      <c r="K620" s="2">
        <v>12.27000046</v>
      </c>
      <c r="L620" s="2">
        <v>12.27000046</v>
      </c>
      <c r="M620" s="2">
        <v>0</v>
      </c>
      <c r="N620" s="2">
        <v>0.75999998999999996</v>
      </c>
      <c r="O620" s="2">
        <v>3.2400000100000002</v>
      </c>
      <c r="P620" s="2">
        <v>8.2700004580000002</v>
      </c>
      <c r="Q620" s="2">
        <v>0</v>
      </c>
      <c r="R620" s="2">
        <v>9</v>
      </c>
      <c r="S620" s="2">
        <v>66</v>
      </c>
      <c r="T620" s="2">
        <v>408</v>
      </c>
      <c r="U620" s="2">
        <f t="shared" si="47"/>
        <v>483</v>
      </c>
      <c r="V620" s="2">
        <v>469</v>
      </c>
      <c r="W620" s="2">
        <v>15126</v>
      </c>
      <c r="X620" s="2">
        <f t="shared" si="48"/>
        <v>15126</v>
      </c>
      <c r="Y620" s="2">
        <v>3691</v>
      </c>
      <c r="Z620" t="str" cm="1">
        <f t="array" ref="Z620">_xlfn.IFS(OR(R620&gt;66, S620&gt;38), "High Engagement", OR(AND(R620&gt;32, R620&lt;=66), AND(S620&gt;19, S620&lt;=38)), "Medium-High Engagement", OR(AND(R620&gt;4, R620&lt;=32), AND(S620&gt;6, S620&lt;=19)),"Medium Engagement", TRUE, "Low Engagement"
)</f>
        <v>High Engagement</v>
      </c>
      <c r="AA620">
        <f t="shared" si="49"/>
        <v>0.24401692450085946</v>
      </c>
    </row>
    <row r="621" spans="1:27" x14ac:dyDescent="0.35">
      <c r="A621" s="2">
        <v>4702921684</v>
      </c>
      <c r="B621" s="2" t="s">
        <v>94</v>
      </c>
      <c r="C621" s="2">
        <f>VLOOKUP(user_activity!A266,users_details!$A$1:$G$34,5,0)</f>
        <v>29</v>
      </c>
      <c r="D621" s="2" t="str" cm="1">
        <f t="array" ref="D621">_xlfn.IFS( AND(C621&gt;=18, C621&lt;=25), "Emerging Adults",  AND(C621&gt;=26, C621&lt;=35),  "Young Adults",  AND(C621&gt;=36, C621&lt;=45),  "Midlife Adults",  AND(C621&gt;=46, C621&lt;=55), "Mature Adults", C621&gt;=56,  "Older Adults", TRUE, "Age Not Mentioned")</f>
        <v>Young Adults</v>
      </c>
      <c r="E621" s="2" t="str">
        <f>VLOOKUP(user_activity!A266,users_details!$A$1:$G$34,6,0)</f>
        <v>East Village, Manhattan</v>
      </c>
      <c r="F621" s="2" t="str">
        <f>VLOOKUP(user_activity!A266,users_details!$A$1:$G$34,7,0)</f>
        <v>East Village</v>
      </c>
      <c r="G621" s="2" t="s">
        <v>72</v>
      </c>
      <c r="H621" s="7">
        <v>42556</v>
      </c>
      <c r="I621" s="9" t="str">
        <f t="shared" si="45"/>
        <v>Tuesday</v>
      </c>
      <c r="J621" s="9" t="str">
        <f t="shared" si="46"/>
        <v>July</v>
      </c>
      <c r="K621" s="2">
        <v>11.649999619999999</v>
      </c>
      <c r="L621" s="2">
        <v>11.649999619999999</v>
      </c>
      <c r="M621" s="2">
        <v>0</v>
      </c>
      <c r="N621" s="2">
        <v>0.37000000500000002</v>
      </c>
      <c r="O621" s="2">
        <v>2.3099999430000002</v>
      </c>
      <c r="P621" s="2">
        <v>8.9700002669999996</v>
      </c>
      <c r="Q621" s="2">
        <v>0</v>
      </c>
      <c r="R621" s="2">
        <v>5</v>
      </c>
      <c r="S621" s="2">
        <v>46</v>
      </c>
      <c r="T621" s="2">
        <v>439</v>
      </c>
      <c r="U621" s="2">
        <f t="shared" si="47"/>
        <v>490</v>
      </c>
      <c r="V621" s="2">
        <v>577</v>
      </c>
      <c r="W621" s="2">
        <v>14370</v>
      </c>
      <c r="X621" s="2">
        <f t="shared" si="48"/>
        <v>14370</v>
      </c>
      <c r="Y621" s="2">
        <v>3683</v>
      </c>
      <c r="Z621" t="str" cm="1">
        <f t="array" ref="Z621">_xlfn.IFS(OR(R621&gt;66, S621&gt;38), "High Engagement", OR(AND(R621&gt;32, R621&lt;=66), AND(S621&gt;19, S621&lt;=38)), "Medium-High Engagement", OR(AND(R621&gt;4, R621&lt;=32), AND(S621&gt;6, S621&lt;=19)),"Medium Engagement", TRUE, "Low Engagement"
)</f>
        <v>High Engagement</v>
      </c>
      <c r="AA621">
        <f t="shared" si="49"/>
        <v>0.25629784272790535</v>
      </c>
    </row>
    <row r="622" spans="1:27" x14ac:dyDescent="0.35">
      <c r="A622" s="2">
        <v>4702921684</v>
      </c>
      <c r="B622" s="2" t="s">
        <v>94</v>
      </c>
      <c r="C622" s="2">
        <f>VLOOKUP(user_activity!A288,users_details!$A$1:$G$34,5,0)</f>
        <v>29</v>
      </c>
      <c r="D622" s="2" t="str" cm="1">
        <f t="array" ref="D622">_xlfn.IFS( AND(C622&gt;=18, C622&lt;=25), "Emerging Adults",  AND(C622&gt;=26, C622&lt;=35),  "Young Adults",  AND(C622&gt;=36, C622&lt;=45),  "Midlife Adults",  AND(C622&gt;=46, C622&lt;=55), "Mature Adults", C622&gt;=56,  "Older Adults", TRUE, "Age Not Mentioned")</f>
        <v>Young Adults</v>
      </c>
      <c r="E622" s="2" t="str">
        <f>VLOOKUP(user_activity!A288,users_details!$A$1:$G$34,6,0)</f>
        <v>East Village, Manhattan</v>
      </c>
      <c r="F622" s="2" t="str">
        <f>VLOOKUP(user_activity!A288,users_details!$A$1:$G$34,7,0)</f>
        <v>East Village</v>
      </c>
      <c r="G622" s="2" t="s">
        <v>72</v>
      </c>
      <c r="H622" s="7">
        <v>42481</v>
      </c>
      <c r="I622" s="9" t="str">
        <f t="shared" si="45"/>
        <v>Thursday</v>
      </c>
      <c r="J622" s="9" t="str">
        <f t="shared" si="46"/>
        <v>April</v>
      </c>
      <c r="K622" s="2">
        <v>5.3000001909999996</v>
      </c>
      <c r="L622" s="2">
        <v>5.3000001909999996</v>
      </c>
      <c r="M622" s="2">
        <v>0</v>
      </c>
      <c r="N622" s="2">
        <v>0.310000002</v>
      </c>
      <c r="O622" s="2">
        <v>2.0499999519999998</v>
      </c>
      <c r="P622" s="2">
        <v>2.9400000569999998</v>
      </c>
      <c r="Q622" s="2">
        <v>0</v>
      </c>
      <c r="R622" s="2">
        <v>4</v>
      </c>
      <c r="S622" s="2">
        <v>41</v>
      </c>
      <c r="T622" s="2">
        <v>144</v>
      </c>
      <c r="U622" s="2">
        <f t="shared" si="47"/>
        <v>189</v>
      </c>
      <c r="V622" s="2">
        <v>901</v>
      </c>
      <c r="W622" s="2">
        <v>6530</v>
      </c>
      <c r="X622" s="2">
        <f t="shared" si="48"/>
        <v>6530</v>
      </c>
      <c r="Y622" s="2">
        <v>2729</v>
      </c>
      <c r="Z622" t="str" cm="1">
        <f t="array" ref="Z622">_xlfn.IFS(OR(R622&gt;66, S622&gt;38), "High Engagement", OR(AND(R622&gt;32, R622&lt;=66), AND(S622&gt;19, S622&lt;=38)), "Medium-High Engagement", OR(AND(R622&gt;4, R622&lt;=32), AND(S622&gt;6, S622&lt;=19)),"Medium Engagement", TRUE, "Low Engagement"
)</f>
        <v>High Engagement</v>
      </c>
      <c r="AA622">
        <f t="shared" si="49"/>
        <v>0.41791730474732008</v>
      </c>
    </row>
    <row r="623" spans="1:27" x14ac:dyDescent="0.35">
      <c r="A623" s="2">
        <v>4702921684</v>
      </c>
      <c r="B623" s="2" t="s">
        <v>94</v>
      </c>
      <c r="C623" s="2">
        <f>VLOOKUP(user_activity!A291,users_details!$A$1:$G$34,5,0)</f>
        <v>29</v>
      </c>
      <c r="D623" s="2" t="str" cm="1">
        <f t="array" ref="D623">_xlfn.IFS( AND(C623&gt;=18, C623&lt;=25), "Emerging Adults",  AND(C623&gt;=26, C623&lt;=35),  "Young Adults",  AND(C623&gt;=36, C623&lt;=45),  "Midlife Adults",  AND(C623&gt;=46, C623&lt;=55), "Mature Adults", C623&gt;=56,  "Older Adults", TRUE, "Age Not Mentioned")</f>
        <v>Young Adults</v>
      </c>
      <c r="E623" s="2" t="str">
        <f>VLOOKUP(user_activity!A291,users_details!$A$1:$G$34,6,0)</f>
        <v>Crown Heights, Brooklyn</v>
      </c>
      <c r="F623" s="2" t="str">
        <f>VLOOKUP(user_activity!A291,users_details!$A$1:$G$34,7,0)</f>
        <v>Crown Heights</v>
      </c>
      <c r="G623" s="2" t="s">
        <v>72</v>
      </c>
      <c r="H623" s="7">
        <v>42473</v>
      </c>
      <c r="I623" s="9" t="str">
        <f t="shared" si="45"/>
        <v>Wednesday</v>
      </c>
      <c r="J623" s="9" t="str">
        <f t="shared" si="46"/>
        <v>April</v>
      </c>
      <c r="K623" s="2">
        <v>5.579999924</v>
      </c>
      <c r="L623" s="2">
        <v>5.579999924</v>
      </c>
      <c r="M623" s="2">
        <v>0</v>
      </c>
      <c r="N623" s="2">
        <v>0</v>
      </c>
      <c r="O623" s="2">
        <v>0</v>
      </c>
      <c r="P623" s="2">
        <v>5.579999924</v>
      </c>
      <c r="Q623" s="2">
        <v>0</v>
      </c>
      <c r="R623" s="2">
        <v>0</v>
      </c>
      <c r="S623" s="2">
        <v>0</v>
      </c>
      <c r="T623" s="2">
        <v>258</v>
      </c>
      <c r="U623" s="2">
        <f t="shared" si="47"/>
        <v>258</v>
      </c>
      <c r="V623" s="2">
        <v>777</v>
      </c>
      <c r="W623" s="2">
        <v>6877</v>
      </c>
      <c r="X623" s="2">
        <f t="shared" si="48"/>
        <v>6877</v>
      </c>
      <c r="Y623" s="2">
        <v>2898</v>
      </c>
      <c r="Z623" t="str" cm="1">
        <f t="array" ref="Z623">_xlfn.IFS(OR(R623&gt;66, S623&gt;38), "High Engagement", OR(AND(R623&gt;32, R623&lt;=66), AND(S623&gt;19, S623&lt;=38)), "Medium-High Engagement", OR(AND(R623&gt;4, R623&lt;=32), AND(S623&gt;6, S623&lt;=19)),"Medium Engagement", TRUE, "Low Engagement"
)</f>
        <v>Low Engagement</v>
      </c>
      <c r="AA623">
        <f t="shared" si="49"/>
        <v>0.42140468227424749</v>
      </c>
    </row>
    <row r="624" spans="1:27" x14ac:dyDescent="0.35">
      <c r="A624" s="2">
        <v>4702921684</v>
      </c>
      <c r="B624" s="2" t="s">
        <v>94</v>
      </c>
      <c r="C624" s="2">
        <f>VLOOKUP(user_activity!A317,users_details!$A$1:$G$34,5,0)</f>
        <v>30</v>
      </c>
      <c r="D624" s="2" t="str" cm="1">
        <f t="array" ref="D624">_xlfn.IFS( AND(C624&gt;=18, C624&lt;=25), "Emerging Adults",  AND(C624&gt;=26, C624&lt;=35),  "Young Adults",  AND(C624&gt;=36, C624&lt;=45),  "Midlife Adults",  AND(C624&gt;=46, C624&lt;=55), "Mature Adults", C624&gt;=56,  "Older Adults", TRUE, "Age Not Mentioned")</f>
        <v>Young Adults</v>
      </c>
      <c r="E624" s="2" t="str">
        <f>VLOOKUP(user_activity!A317,users_details!$A$1:$G$34,6,0)</f>
        <v>Clinton Hill, Brooklyn</v>
      </c>
      <c r="F624" s="2" t="str">
        <f>VLOOKUP(user_activity!A317,users_details!$A$1:$G$34,7,0)</f>
        <v>Clinton Hill</v>
      </c>
      <c r="G624" s="2" t="s">
        <v>72</v>
      </c>
      <c r="H624" s="7">
        <v>42434</v>
      </c>
      <c r="I624" s="9" t="str">
        <f t="shared" si="45"/>
        <v>Saturday</v>
      </c>
      <c r="J624" s="9" t="str">
        <f t="shared" si="46"/>
        <v>March</v>
      </c>
      <c r="K624" s="2">
        <v>7.670000076</v>
      </c>
      <c r="L624" s="2">
        <v>7.670000076</v>
      </c>
      <c r="M624" s="2">
        <v>0</v>
      </c>
      <c r="N624" s="2">
        <v>0</v>
      </c>
      <c r="O624" s="2">
        <v>0</v>
      </c>
      <c r="P624" s="2">
        <v>7.670000076</v>
      </c>
      <c r="Q624" s="2">
        <v>0</v>
      </c>
      <c r="R624" s="2">
        <v>0</v>
      </c>
      <c r="S624" s="2">
        <v>0</v>
      </c>
      <c r="T624" s="2">
        <v>313</v>
      </c>
      <c r="U624" s="2">
        <f t="shared" si="47"/>
        <v>313</v>
      </c>
      <c r="V624" s="2">
        <v>729</v>
      </c>
      <c r="W624" s="2">
        <v>9454</v>
      </c>
      <c r="X624" s="2">
        <f t="shared" si="48"/>
        <v>9454</v>
      </c>
      <c r="Y624" s="2">
        <v>3145</v>
      </c>
      <c r="Z624" t="str" cm="1">
        <f t="array" ref="Z624">_xlfn.IFS(OR(R624&gt;66, S624&gt;38), "High Engagement", OR(AND(R624&gt;32, R624&lt;=66), AND(S624&gt;19, S624&lt;=38)), "Medium-High Engagement", OR(AND(R624&gt;4, R624&lt;=32), AND(S624&gt;6, S624&lt;=19)),"Medium Engagement", TRUE, "Low Engagement"
)</f>
        <v>Low Engagement</v>
      </c>
      <c r="AA624">
        <f t="shared" si="49"/>
        <v>0.33266342288978212</v>
      </c>
    </row>
    <row r="625" spans="1:27" x14ac:dyDescent="0.35">
      <c r="A625" s="2">
        <v>4702921684</v>
      </c>
      <c r="B625" s="2" t="s">
        <v>94</v>
      </c>
      <c r="C625" s="2">
        <f>VLOOKUP(user_activity!A339,users_details!$A$1:$G$34,5,0)</f>
        <v>30</v>
      </c>
      <c r="D625" s="2" t="str" cm="1">
        <f t="array" ref="D625">_xlfn.IFS( AND(C625&gt;=18, C625&lt;=25), "Emerging Adults",  AND(C625&gt;=26, C625&lt;=35),  "Young Adults",  AND(C625&gt;=36, C625&lt;=45),  "Midlife Adults",  AND(C625&gt;=46, C625&lt;=55), "Mature Adults", C625&gt;=56,  "Older Adults", TRUE, "Age Not Mentioned")</f>
        <v>Young Adults</v>
      </c>
      <c r="E625" s="2" t="str">
        <f>VLOOKUP(user_activity!A339,users_details!$A$1:$G$34,6,0)</f>
        <v>Midtown, Manhattan</v>
      </c>
      <c r="F625" s="2" t="str">
        <f>VLOOKUP(user_activity!A339,users_details!$A$1:$G$34,7,0)</f>
        <v>Midtown</v>
      </c>
      <c r="G625" s="2" t="s">
        <v>72</v>
      </c>
      <c r="H625" s="7">
        <v>42474</v>
      </c>
      <c r="I625" s="9" t="str">
        <f t="shared" si="45"/>
        <v>Thursday</v>
      </c>
      <c r="J625" s="9" t="str">
        <f t="shared" si="46"/>
        <v>April</v>
      </c>
      <c r="K625" s="2">
        <v>6.3699998860000004</v>
      </c>
      <c r="L625" s="2">
        <v>6.3699998860000004</v>
      </c>
      <c r="M625" s="2">
        <v>0</v>
      </c>
      <c r="N625" s="2">
        <v>0</v>
      </c>
      <c r="O625" s="2">
        <v>0</v>
      </c>
      <c r="P625" s="2">
        <v>6.3699998860000004</v>
      </c>
      <c r="Q625" s="2">
        <v>0</v>
      </c>
      <c r="R625" s="2">
        <v>0</v>
      </c>
      <c r="S625" s="2">
        <v>0</v>
      </c>
      <c r="T625" s="2">
        <v>271</v>
      </c>
      <c r="U625" s="2">
        <f t="shared" si="47"/>
        <v>271</v>
      </c>
      <c r="V625" s="2">
        <v>772</v>
      </c>
      <c r="W625" s="2">
        <v>7860</v>
      </c>
      <c r="X625" s="2">
        <f t="shared" si="48"/>
        <v>7860</v>
      </c>
      <c r="Y625" s="2">
        <v>2984</v>
      </c>
      <c r="Z625" t="str" cm="1">
        <f t="array" ref="Z625">_xlfn.IFS(OR(R625&gt;66, S625&gt;38), "High Engagement", OR(AND(R625&gt;32, R625&lt;=66), AND(S625&gt;19, S625&lt;=38)), "Medium-High Engagement", OR(AND(R625&gt;4, R625&lt;=32), AND(S625&gt;6, S625&lt;=19)),"Medium Engagement", TRUE, "Low Engagement"
)</f>
        <v>Low Engagement</v>
      </c>
      <c r="AA625">
        <f t="shared" si="49"/>
        <v>0.37964376590330789</v>
      </c>
    </row>
    <row r="626" spans="1:27" x14ac:dyDescent="0.35">
      <c r="A626" s="2">
        <v>4702921684</v>
      </c>
      <c r="B626" s="2" t="s">
        <v>94</v>
      </c>
      <c r="C626" s="2">
        <f>VLOOKUP(user_activity!A349,users_details!$A$1:$G$34,5,0)</f>
        <v>31</v>
      </c>
      <c r="D626" s="2" t="str" cm="1">
        <f t="array" ref="D626">_xlfn.IFS( AND(C626&gt;=18, C626&lt;=25), "Emerging Adults",  AND(C626&gt;=26, C626&lt;=35),  "Young Adults",  AND(C626&gt;=36, C626&lt;=45),  "Midlife Adults",  AND(C626&gt;=46, C626&lt;=55), "Mature Adults", C626&gt;=56,  "Older Adults", TRUE, "Age Not Mentioned")</f>
        <v>Young Adults</v>
      </c>
      <c r="E626" s="2" t="str">
        <f>VLOOKUP(user_activity!A349,users_details!$A$1:$G$34,6,0)</f>
        <v>Midtown, Manhattan</v>
      </c>
      <c r="F626" s="2" t="str">
        <f>VLOOKUP(user_activity!A349,users_details!$A$1:$G$34,7,0)</f>
        <v>Midtown</v>
      </c>
      <c r="G626" s="2" t="s">
        <v>72</v>
      </c>
      <c r="H626" s="7">
        <v>42465</v>
      </c>
      <c r="I626" s="9" t="str">
        <f t="shared" si="45"/>
        <v>Tuesday</v>
      </c>
      <c r="J626" s="9" t="str">
        <f t="shared" si="46"/>
        <v>April</v>
      </c>
      <c r="K626" s="2">
        <v>6.6199998860000004</v>
      </c>
      <c r="L626" s="2">
        <v>6.6199998860000004</v>
      </c>
      <c r="M626" s="2">
        <v>0</v>
      </c>
      <c r="N626" s="2">
        <v>0.34000000400000002</v>
      </c>
      <c r="O626" s="2">
        <v>0.730000019</v>
      </c>
      <c r="P626" s="2">
        <v>5.5399999619999996</v>
      </c>
      <c r="Q626" s="2">
        <v>0</v>
      </c>
      <c r="R626" s="2">
        <v>4</v>
      </c>
      <c r="S626" s="2">
        <v>15</v>
      </c>
      <c r="T626" s="2">
        <v>251</v>
      </c>
      <c r="U626" s="2">
        <f t="shared" si="47"/>
        <v>270</v>
      </c>
      <c r="V626" s="2">
        <v>757</v>
      </c>
      <c r="W626" s="2">
        <v>8161</v>
      </c>
      <c r="X626" s="2">
        <f t="shared" si="48"/>
        <v>8161</v>
      </c>
      <c r="Y626" s="2">
        <v>3004</v>
      </c>
      <c r="Z626" t="str" cm="1">
        <f t="array" ref="Z626">_xlfn.IFS(OR(R626&gt;66, S626&gt;38), "High Engagement", OR(AND(R626&gt;32, R626&lt;=66), AND(S626&gt;19, S626&lt;=38)), "Medium-High Engagement", OR(AND(R626&gt;4, R626&lt;=32), AND(S626&gt;6, S626&lt;=19)),"Medium Engagement", TRUE, "Low Engagement"
)</f>
        <v>Medium Engagement</v>
      </c>
      <c r="AA626">
        <f t="shared" si="49"/>
        <v>0.36809214557039577</v>
      </c>
    </row>
    <row r="627" spans="1:27" x14ac:dyDescent="0.35">
      <c r="A627" s="2">
        <v>4702921684</v>
      </c>
      <c r="B627" s="2" t="s">
        <v>94</v>
      </c>
      <c r="C627" s="2">
        <f>VLOOKUP(user_activity!A366,users_details!$A$1:$G$34,5,0)</f>
        <v>31</v>
      </c>
      <c r="D627" s="2" t="str" cm="1">
        <f t="array" ref="D627">_xlfn.IFS( AND(C627&gt;=18, C627&lt;=25), "Emerging Adults",  AND(C627&gt;=26, C627&lt;=35),  "Young Adults",  AND(C627&gt;=36, C627&lt;=45),  "Midlife Adults",  AND(C627&gt;=46, C627&lt;=55), "Mature Adults", C627&gt;=56,  "Older Adults", TRUE, "Age Not Mentioned")</f>
        <v>Young Adults</v>
      </c>
      <c r="E627" s="2" t="str">
        <f>VLOOKUP(user_activity!A366,users_details!$A$1:$G$34,6,0)</f>
        <v>Midtown, Manhattan</v>
      </c>
      <c r="F627" s="2" t="str">
        <f>VLOOKUP(user_activity!A366,users_details!$A$1:$G$34,7,0)</f>
        <v>Midtown</v>
      </c>
      <c r="G627" s="2" t="s">
        <v>72</v>
      </c>
      <c r="H627" s="7">
        <v>42618</v>
      </c>
      <c r="I627" s="9" t="str">
        <f t="shared" si="45"/>
        <v>Monday</v>
      </c>
      <c r="J627" s="9" t="str">
        <f t="shared" si="46"/>
        <v>September</v>
      </c>
      <c r="K627" s="2">
        <v>6.6799998279999997</v>
      </c>
      <c r="L627" s="2">
        <v>6.6799998279999997</v>
      </c>
      <c r="M627" s="2">
        <v>0</v>
      </c>
      <c r="N627" s="2">
        <v>0</v>
      </c>
      <c r="O627" s="2">
        <v>0.56999999300000004</v>
      </c>
      <c r="P627" s="2">
        <v>6.0999999049999998</v>
      </c>
      <c r="Q627" s="2">
        <v>0</v>
      </c>
      <c r="R627" s="2">
        <v>0</v>
      </c>
      <c r="S627" s="2">
        <v>12</v>
      </c>
      <c r="T627" s="2">
        <v>253</v>
      </c>
      <c r="U627" s="2">
        <f t="shared" si="47"/>
        <v>265</v>
      </c>
      <c r="V627" s="2">
        <v>746</v>
      </c>
      <c r="W627" s="2">
        <v>8232</v>
      </c>
      <c r="X627" s="2">
        <f t="shared" si="48"/>
        <v>8232</v>
      </c>
      <c r="Y627" s="2">
        <v>2990</v>
      </c>
      <c r="Z627" t="str" cm="1">
        <f t="array" ref="Z627">_xlfn.IFS(OR(R627&gt;66, S627&gt;38), "High Engagement", OR(AND(R627&gt;32, R627&lt;=66), AND(S627&gt;19, S627&lt;=38)), "Medium-High Engagement", OR(AND(R627&gt;4, R627&lt;=32), AND(S627&gt;6, S627&lt;=19)),"Medium Engagement", TRUE, "Low Engagement"
)</f>
        <v>Medium Engagement</v>
      </c>
      <c r="AA627">
        <f t="shared" si="49"/>
        <v>0.36321671525753157</v>
      </c>
    </row>
    <row r="628" spans="1:27" x14ac:dyDescent="0.35">
      <c r="A628" s="2">
        <v>4702921684</v>
      </c>
      <c r="B628" s="2" t="s">
        <v>94</v>
      </c>
      <c r="C628" s="2">
        <f>VLOOKUP(user_activity!A399,users_details!$A$1:$G$34,5,0)</f>
        <v>32</v>
      </c>
      <c r="D628" s="2" t="str" cm="1">
        <f t="array" ref="D628">_xlfn.IFS( AND(C628&gt;=18, C628&lt;=25), "Emerging Adults",  AND(C628&gt;=26, C628&lt;=35),  "Young Adults",  AND(C628&gt;=36, C628&lt;=45),  "Midlife Adults",  AND(C628&gt;=46, C628&lt;=55), "Mature Adults", C628&gt;=56,  "Older Adults", TRUE, "Age Not Mentioned")</f>
        <v>Young Adults</v>
      </c>
      <c r="E628" s="2" t="str">
        <f>VLOOKUP(user_activity!A399,users_details!$A$1:$G$34,6,0)</f>
        <v>East Harlem, Manhattan</v>
      </c>
      <c r="F628" s="2" t="str">
        <f>VLOOKUP(user_activity!A399,users_details!$A$1:$G$34,7,0)</f>
        <v>East Harlem</v>
      </c>
      <c r="G628" s="2" t="s">
        <v>72</v>
      </c>
      <c r="H628" s="7">
        <v>42648</v>
      </c>
      <c r="I628" s="9" t="str">
        <f t="shared" si="45"/>
        <v>Wednesday</v>
      </c>
      <c r="J628" s="9" t="str">
        <f t="shared" si="46"/>
        <v>October</v>
      </c>
      <c r="K628" s="2">
        <v>8.6099996569999995</v>
      </c>
      <c r="L628" s="2">
        <v>8.6099996569999995</v>
      </c>
      <c r="M628" s="2">
        <v>0</v>
      </c>
      <c r="N628" s="2">
        <v>7.9999998000000003E-2</v>
      </c>
      <c r="O628" s="2">
        <v>1.8799999949999999</v>
      </c>
      <c r="P628" s="2">
        <v>6.6500000950000002</v>
      </c>
      <c r="Q628" s="2">
        <v>0</v>
      </c>
      <c r="R628" s="2">
        <v>1</v>
      </c>
      <c r="S628" s="2">
        <v>37</v>
      </c>
      <c r="T628" s="2">
        <v>262</v>
      </c>
      <c r="U628" s="2">
        <f t="shared" si="47"/>
        <v>300</v>
      </c>
      <c r="V628" s="2">
        <v>701</v>
      </c>
      <c r="W628" s="2">
        <v>10613</v>
      </c>
      <c r="X628" s="2">
        <f t="shared" si="48"/>
        <v>10613</v>
      </c>
      <c r="Y628" s="2">
        <v>3172</v>
      </c>
      <c r="Z628" t="str" cm="1">
        <f t="array" ref="Z628">_xlfn.IFS(OR(R628&gt;66, S628&gt;38), "High Engagement", OR(AND(R628&gt;32, R628&lt;=66), AND(S628&gt;19, S628&lt;=38)), "Medium-High Engagement", OR(AND(R628&gt;4, R628&lt;=32), AND(S628&gt;6, S628&lt;=19)),"Medium Engagement", TRUE, "Low Engagement"
)</f>
        <v>Medium-High Engagement</v>
      </c>
      <c r="AA628">
        <f t="shared" si="49"/>
        <v>0.29887873362856876</v>
      </c>
    </row>
    <row r="629" spans="1:27" x14ac:dyDescent="0.35">
      <c r="A629" s="2">
        <v>4702921684</v>
      </c>
      <c r="B629" s="2" t="s">
        <v>94</v>
      </c>
      <c r="C629" s="2">
        <f>VLOOKUP(user_activity!A406,users_details!$A$1:$G$34,5,0)</f>
        <v>32</v>
      </c>
      <c r="D629" s="2" t="str" cm="1">
        <f t="array" ref="D629">_xlfn.IFS( AND(C629&gt;=18, C629&lt;=25), "Emerging Adults",  AND(C629&gt;=26, C629&lt;=35),  "Young Adults",  AND(C629&gt;=36, C629&lt;=45),  "Midlife Adults",  AND(C629&gt;=46, C629&lt;=55), "Mature Adults", C629&gt;=56,  "Older Adults", TRUE, "Age Not Mentioned")</f>
        <v>Young Adults</v>
      </c>
      <c r="E629" s="2" t="str">
        <f>VLOOKUP(user_activity!A406,users_details!$A$1:$G$34,6,0)</f>
        <v>East Harlem, Manhattan</v>
      </c>
      <c r="F629" s="2" t="str">
        <f>VLOOKUP(user_activity!A406,users_details!$A$1:$G$34,7,0)</f>
        <v>East Harlem</v>
      </c>
      <c r="G629" s="2" t="s">
        <v>72</v>
      </c>
      <c r="H629" s="7">
        <v>42495</v>
      </c>
      <c r="I629" s="9" t="str">
        <f t="shared" si="45"/>
        <v>Thursday</v>
      </c>
      <c r="J629" s="9" t="str">
        <f t="shared" si="46"/>
        <v>May</v>
      </c>
      <c r="K629" s="2">
        <v>6.9899997709999999</v>
      </c>
      <c r="L629" s="2">
        <v>6.9899997709999999</v>
      </c>
      <c r="M629" s="2">
        <v>0</v>
      </c>
      <c r="N629" s="2">
        <v>0.670000017</v>
      </c>
      <c r="O629" s="2">
        <v>0.219999999</v>
      </c>
      <c r="P629" s="2">
        <v>6.0900001530000001</v>
      </c>
      <c r="Q629" s="2">
        <v>0</v>
      </c>
      <c r="R629" s="2">
        <v>8</v>
      </c>
      <c r="S629" s="2">
        <v>5</v>
      </c>
      <c r="T629" s="2">
        <v>241</v>
      </c>
      <c r="U629" s="2">
        <f t="shared" si="47"/>
        <v>254</v>
      </c>
      <c r="V629" s="2">
        <v>745</v>
      </c>
      <c r="W629" s="2">
        <v>8614</v>
      </c>
      <c r="X629" s="2">
        <f t="shared" si="48"/>
        <v>8614</v>
      </c>
      <c r="Y629" s="2">
        <v>3006</v>
      </c>
      <c r="Z629" t="str" cm="1">
        <f t="array" ref="Z629">_xlfn.IFS(OR(R629&gt;66, S629&gt;38), "High Engagement", OR(AND(R629&gt;32, R629&lt;=66), AND(S629&gt;19, S629&lt;=38)), "Medium-High Engagement", OR(AND(R629&gt;4, R629&lt;=32), AND(S629&gt;6, S629&lt;=19)),"Medium Engagement", TRUE, "Low Engagement"
)</f>
        <v>Medium Engagement</v>
      </c>
      <c r="AA629">
        <f t="shared" si="49"/>
        <v>0.3489667982354307</v>
      </c>
    </row>
    <row r="630" spans="1:27" x14ac:dyDescent="0.35">
      <c r="A630" s="2">
        <v>4702921684</v>
      </c>
      <c r="B630" s="2" t="s">
        <v>94</v>
      </c>
      <c r="C630" s="2">
        <f>VLOOKUP(user_activity!A476,users_details!$A$1:$G$34,5,0)</f>
        <v>33</v>
      </c>
      <c r="D630" s="2" t="str" cm="1">
        <f t="array" ref="D630">_xlfn.IFS( AND(C630&gt;=18, C630&lt;=25), "Emerging Adults",  AND(C630&gt;=26, C630&lt;=35),  "Young Adults",  AND(C630&gt;=36, C630&lt;=45),  "Midlife Adults",  AND(C630&gt;=46, C630&lt;=55), "Mature Adults", C630&gt;=56,  "Older Adults", TRUE, "Age Not Mentioned")</f>
        <v>Young Adults</v>
      </c>
      <c r="E630" s="2" t="str">
        <f>VLOOKUP(user_activity!A476,users_details!$A$1:$G$34,6,0)</f>
        <v>Harlem, Manhattan</v>
      </c>
      <c r="F630" s="2" t="str">
        <f>VLOOKUP(user_activity!A476,users_details!$A$1:$G$34,7,0)</f>
        <v>Harlem</v>
      </c>
      <c r="G630" s="2" t="s">
        <v>72</v>
      </c>
      <c r="H630" s="7">
        <v>42489</v>
      </c>
      <c r="I630" s="9" t="str">
        <f t="shared" si="45"/>
        <v>Friday</v>
      </c>
      <c r="J630" s="9" t="str">
        <f t="shared" si="46"/>
        <v>April</v>
      </c>
      <c r="K630" s="2">
        <v>8.0500001910000005</v>
      </c>
      <c r="L630" s="2">
        <v>8.0500001910000005</v>
      </c>
      <c r="M630" s="2">
        <v>0</v>
      </c>
      <c r="N630" s="2">
        <v>1.059999943</v>
      </c>
      <c r="O630" s="2">
        <v>0.920000017</v>
      </c>
      <c r="P630" s="2">
        <v>6.0700001720000003</v>
      </c>
      <c r="Q630" s="2">
        <v>0</v>
      </c>
      <c r="R630" s="2">
        <v>12</v>
      </c>
      <c r="S630" s="2">
        <v>19</v>
      </c>
      <c r="T630" s="2">
        <v>267</v>
      </c>
      <c r="U630" s="2">
        <f t="shared" si="47"/>
        <v>298</v>
      </c>
      <c r="V630" s="2">
        <v>692</v>
      </c>
      <c r="W630" s="2">
        <v>9930</v>
      </c>
      <c r="X630" s="2">
        <f t="shared" si="48"/>
        <v>9930</v>
      </c>
      <c r="Y630" s="2">
        <v>3165</v>
      </c>
      <c r="Z630" t="str" cm="1">
        <f t="array" ref="Z630">_xlfn.IFS(OR(R630&gt;66, S630&gt;38), "High Engagement", OR(AND(R630&gt;32, R630&lt;=66), AND(S630&gt;19, S630&lt;=38)), "Medium-High Engagement", OR(AND(R630&gt;4, R630&lt;=32), AND(S630&gt;6, S630&lt;=19)),"Medium Engagement", TRUE, "Low Engagement"
)</f>
        <v>Medium Engagement</v>
      </c>
      <c r="AA630">
        <f t="shared" si="49"/>
        <v>0.31873111782477342</v>
      </c>
    </row>
    <row r="631" spans="1:27" x14ac:dyDescent="0.35">
      <c r="A631" s="2">
        <v>4702921684</v>
      </c>
      <c r="B631" s="2" t="s">
        <v>94</v>
      </c>
      <c r="C631" s="2">
        <f>VLOOKUP(user_activity!A580,users_details!$A$1:$G$34,5,0)</f>
        <v>38</v>
      </c>
      <c r="D631" s="2" t="str" cm="1">
        <f t="array" ref="D631">_xlfn.IFS( AND(C631&gt;=18, C631&lt;=25), "Emerging Adults",  AND(C631&gt;=26, C631&lt;=35),  "Young Adults",  AND(C631&gt;=36, C631&lt;=45),  "Midlife Adults",  AND(C631&gt;=46, C631&lt;=55), "Mature Adults", C631&gt;=56,  "Older Adults", TRUE, "Age Not Mentioned")</f>
        <v>Midlife Adults</v>
      </c>
      <c r="E631" s="2" t="str">
        <f>VLOOKUP(user_activity!A580,users_details!$A$1:$G$34,6,0)</f>
        <v>East Harlem, Manhattan</v>
      </c>
      <c r="F631" s="2" t="str">
        <f>VLOOKUP(user_activity!A580,users_details!$A$1:$G$34,7,0)</f>
        <v>East Harlem</v>
      </c>
      <c r="G631" s="2" t="s">
        <v>72</v>
      </c>
      <c r="H631" s="7">
        <v>42484</v>
      </c>
      <c r="I631" s="9" t="str">
        <f t="shared" si="45"/>
        <v>Sunday</v>
      </c>
      <c r="J631" s="9" t="str">
        <f t="shared" si="46"/>
        <v>April</v>
      </c>
      <c r="K631" s="2">
        <v>12.22000027</v>
      </c>
      <c r="L631" s="2">
        <v>12.22000027</v>
      </c>
      <c r="M631" s="2">
        <v>0</v>
      </c>
      <c r="N631" s="2">
        <v>1.2000000479999999</v>
      </c>
      <c r="O631" s="2">
        <v>5.1199998860000004</v>
      </c>
      <c r="P631" s="2">
        <v>5.8800001139999996</v>
      </c>
      <c r="Q631" s="2">
        <v>0</v>
      </c>
      <c r="R631" s="2">
        <v>15</v>
      </c>
      <c r="S631" s="2">
        <v>95</v>
      </c>
      <c r="T631" s="2">
        <v>281</v>
      </c>
      <c r="U631" s="2">
        <f t="shared" si="47"/>
        <v>391</v>
      </c>
      <c r="V631" s="2">
        <v>542</v>
      </c>
      <c r="W631" s="2">
        <v>15050</v>
      </c>
      <c r="X631" s="2">
        <f t="shared" si="48"/>
        <v>15050</v>
      </c>
      <c r="Y631" s="2">
        <v>3538</v>
      </c>
      <c r="Z631" t="str" cm="1">
        <f t="array" ref="Z631">_xlfn.IFS(OR(R631&gt;66, S631&gt;38), "High Engagement", OR(AND(R631&gt;32, R631&lt;=66), AND(S631&gt;19, S631&lt;=38)), "Medium-High Engagement", OR(AND(R631&gt;4, R631&lt;=32), AND(S631&gt;6, S631&lt;=19)),"Medium Engagement", TRUE, "Low Engagement"
)</f>
        <v>High Engagement</v>
      </c>
      <c r="AA631">
        <f t="shared" si="49"/>
        <v>0.23508305647840533</v>
      </c>
    </row>
    <row r="632" spans="1:27" x14ac:dyDescent="0.35">
      <c r="A632" s="2">
        <v>4702921684</v>
      </c>
      <c r="B632" s="2" t="s">
        <v>94</v>
      </c>
      <c r="C632" s="2">
        <f>VLOOKUP(user_activity!A588,users_details!$A$1:$G$34,5,0)</f>
        <v>38</v>
      </c>
      <c r="D632" s="2" t="str" cm="1">
        <f t="array" ref="D632">_xlfn.IFS( AND(C632&gt;=18, C632&lt;=25), "Emerging Adults",  AND(C632&gt;=26, C632&lt;=35),  "Young Adults",  AND(C632&gt;=36, C632&lt;=45),  "Midlife Adults",  AND(C632&gt;=46, C632&lt;=55), "Mature Adults", C632&gt;=56,  "Older Adults", TRUE, "Age Not Mentioned")</f>
        <v>Midlife Adults</v>
      </c>
      <c r="E632" s="2" t="str">
        <f>VLOOKUP(user_activity!A588,users_details!$A$1:$G$34,6,0)</f>
        <v>Midtown, Manhattan</v>
      </c>
      <c r="F632" s="2" t="str">
        <f>VLOOKUP(user_activity!A588,users_details!$A$1:$G$34,7,0)</f>
        <v>Midtown</v>
      </c>
      <c r="G632" s="2" t="s">
        <v>72</v>
      </c>
      <c r="H632" s="7">
        <v>42478</v>
      </c>
      <c r="I632" s="9" t="str">
        <f t="shared" si="45"/>
        <v>Monday</v>
      </c>
      <c r="J632" s="9" t="str">
        <f t="shared" si="46"/>
        <v>April</v>
      </c>
      <c r="K632" s="2">
        <v>7.3800001139999996</v>
      </c>
      <c r="L632" s="2">
        <v>7.3800001139999996</v>
      </c>
      <c r="M632" s="2">
        <v>0</v>
      </c>
      <c r="N632" s="2">
        <v>1.8200000519999999</v>
      </c>
      <c r="O632" s="2">
        <v>1.4900000099999999</v>
      </c>
      <c r="P632" s="2">
        <v>4.0700001720000003</v>
      </c>
      <c r="Q632" s="2">
        <v>0</v>
      </c>
      <c r="R632" s="2">
        <v>22</v>
      </c>
      <c r="S632" s="2">
        <v>30</v>
      </c>
      <c r="T632" s="2">
        <v>191</v>
      </c>
      <c r="U632" s="2">
        <f t="shared" si="47"/>
        <v>243</v>
      </c>
      <c r="V632" s="2">
        <v>890</v>
      </c>
      <c r="W632" s="2">
        <v>9105</v>
      </c>
      <c r="X632" s="2">
        <f t="shared" si="48"/>
        <v>9105</v>
      </c>
      <c r="Y632" s="2">
        <v>3013</v>
      </c>
      <c r="Z632" t="str" cm="1">
        <f t="array" ref="Z632">_xlfn.IFS(OR(R632&gt;66, S632&gt;38), "High Engagement", OR(AND(R632&gt;32, R632&lt;=66), AND(S632&gt;19, S632&lt;=38)), "Medium-High Engagement", OR(AND(R632&gt;4, R632&lt;=32), AND(S632&gt;6, S632&lt;=19)),"Medium Engagement", TRUE, "Low Engagement"
)</f>
        <v>Medium-High Engagement</v>
      </c>
      <c r="AA632">
        <f t="shared" si="49"/>
        <v>0.33091707852828117</v>
      </c>
    </row>
    <row r="633" spans="1:27" x14ac:dyDescent="0.35">
      <c r="A633" s="2">
        <v>4702921684</v>
      </c>
      <c r="B633" s="2" t="s">
        <v>94</v>
      </c>
      <c r="C633" s="2">
        <f>VLOOKUP(user_activity!A592,users_details!$A$1:$G$34,5,0)</f>
        <v>39</v>
      </c>
      <c r="D633" s="2" t="str" cm="1">
        <f t="array" ref="D633">_xlfn.IFS( AND(C633&gt;=18, C633&lt;=25), "Emerging Adults",  AND(C633&gt;=26, C633&lt;=35),  "Young Adults",  AND(C633&gt;=36, C633&lt;=45),  "Midlife Adults",  AND(C633&gt;=46, C633&lt;=55), "Mature Adults", C633&gt;=56,  "Older Adults", TRUE, "Age Not Mentioned")</f>
        <v>Midlife Adults</v>
      </c>
      <c r="E633" s="2" t="str">
        <f>VLOOKUP(user_activity!A592,users_details!$A$1:$G$34,6,0)</f>
        <v>East Village, Manhattan</v>
      </c>
      <c r="F633" s="2" t="str">
        <f>VLOOKUP(user_activity!A592,users_details!$A$1:$G$34,7,0)</f>
        <v>East Village</v>
      </c>
      <c r="G633" s="2" t="s">
        <v>72</v>
      </c>
      <c r="H633" s="7">
        <v>42482</v>
      </c>
      <c r="I633" s="9" t="str">
        <f t="shared" si="45"/>
        <v>Friday</v>
      </c>
      <c r="J633" s="9" t="str">
        <f t="shared" si="46"/>
        <v>April</v>
      </c>
      <c r="K633" s="2">
        <v>1.3500000240000001</v>
      </c>
      <c r="L633" s="2">
        <v>1.3500000240000001</v>
      </c>
      <c r="M633" s="2">
        <v>0</v>
      </c>
      <c r="N633" s="2">
        <v>0</v>
      </c>
      <c r="O633" s="2">
        <v>0</v>
      </c>
      <c r="P633" s="2">
        <v>1.3500000240000001</v>
      </c>
      <c r="Q633" s="2">
        <v>0</v>
      </c>
      <c r="R633" s="2">
        <v>0</v>
      </c>
      <c r="S633" s="2">
        <v>0</v>
      </c>
      <c r="T633" s="2">
        <v>72</v>
      </c>
      <c r="U633" s="2">
        <f t="shared" si="47"/>
        <v>72</v>
      </c>
      <c r="V633" s="2">
        <v>1341</v>
      </c>
      <c r="W633" s="2">
        <v>1664</v>
      </c>
      <c r="X633" s="2">
        <f t="shared" si="48"/>
        <v>1664</v>
      </c>
      <c r="Y633" s="2">
        <v>2241</v>
      </c>
      <c r="Z633" t="str" cm="1">
        <f t="array" ref="Z633">_xlfn.IFS(OR(R633&gt;66, S633&gt;38), "High Engagement", OR(AND(R633&gt;32, R633&lt;=66), AND(S633&gt;19, S633&lt;=38)), "Medium-High Engagement", OR(AND(R633&gt;4, R633&lt;=32), AND(S633&gt;6, S633&lt;=19)),"Medium Engagement", TRUE, "Low Engagement"
)</f>
        <v>Low Engagement</v>
      </c>
      <c r="AA633">
        <f t="shared" si="49"/>
        <v>1.3467548076923077</v>
      </c>
    </row>
    <row r="634" spans="1:27" x14ac:dyDescent="0.35">
      <c r="A634" s="2">
        <v>4702921684</v>
      </c>
      <c r="B634" s="2" t="s">
        <v>94</v>
      </c>
      <c r="C634" s="2">
        <f>VLOOKUP(user_activity!A710,users_details!$A$1:$G$34,5,0)</f>
        <v>53</v>
      </c>
      <c r="D634" s="2" t="str" cm="1">
        <f t="array" ref="D634">_xlfn.IFS( AND(C634&gt;=18, C634&lt;=25), "Emerging Adults",  AND(C634&gt;=26, C634&lt;=35),  "Young Adults",  AND(C634&gt;=36, C634&lt;=45),  "Midlife Adults",  AND(C634&gt;=46, C634&lt;=55), "Mature Adults", C634&gt;=56,  "Older Adults", TRUE, "Age Not Mentioned")</f>
        <v>Mature Adults</v>
      </c>
      <c r="E634" s="2" t="str">
        <f>VLOOKUP(user_activity!A710,users_details!$A$1:$G$34,6,0)</f>
        <v>Harlem, Manhattan</v>
      </c>
      <c r="F634" s="2" t="str">
        <f>VLOOKUP(user_activity!A710,users_details!$A$1:$G$34,7,0)</f>
        <v>Harlem</v>
      </c>
      <c r="G634" s="2" t="s">
        <v>72</v>
      </c>
      <c r="H634" s="7">
        <v>42476</v>
      </c>
      <c r="I634" s="9" t="str">
        <f t="shared" si="45"/>
        <v>Saturday</v>
      </c>
      <c r="J634" s="9" t="str">
        <f t="shared" si="46"/>
        <v>April</v>
      </c>
      <c r="K634" s="2">
        <v>9.0299997330000004</v>
      </c>
      <c r="L634" s="2">
        <v>9.0299997330000004</v>
      </c>
      <c r="M634" s="2">
        <v>0</v>
      </c>
      <c r="N634" s="2">
        <v>0.23999999499999999</v>
      </c>
      <c r="O634" s="2">
        <v>1.25</v>
      </c>
      <c r="P634" s="2">
        <v>7.5399999619999996</v>
      </c>
      <c r="Q634" s="2">
        <v>0</v>
      </c>
      <c r="R634" s="2">
        <v>3</v>
      </c>
      <c r="S634" s="2">
        <v>24</v>
      </c>
      <c r="T634" s="2">
        <v>335</v>
      </c>
      <c r="U634" s="2">
        <f t="shared" si="47"/>
        <v>362</v>
      </c>
      <c r="V634" s="2">
        <v>556</v>
      </c>
      <c r="W634" s="2">
        <v>11140</v>
      </c>
      <c r="X634" s="2">
        <f t="shared" si="48"/>
        <v>11140</v>
      </c>
      <c r="Y634" s="2">
        <v>3328</v>
      </c>
      <c r="Z634" t="str" cm="1">
        <f t="array" ref="Z634">_xlfn.IFS(OR(R634&gt;66, S634&gt;38), "High Engagement", OR(AND(R634&gt;32, R634&lt;=66), AND(S634&gt;19, S634&lt;=38)), "Medium-High Engagement", OR(AND(R634&gt;4, R634&lt;=32), AND(S634&gt;6, S634&lt;=19)),"Medium Engagement", TRUE, "Low Engagement"
)</f>
        <v>Medium-High Engagement</v>
      </c>
      <c r="AA634">
        <f t="shared" si="49"/>
        <v>0.29874326750448832</v>
      </c>
    </row>
    <row r="635" spans="1:27" x14ac:dyDescent="0.35">
      <c r="A635" s="2">
        <v>4702921684</v>
      </c>
      <c r="B635" s="2" t="s">
        <v>94</v>
      </c>
      <c r="C635" s="2">
        <f>VLOOKUP(user_activity!A744,users_details!$A$1:$G$34,5,0)</f>
        <v>53</v>
      </c>
      <c r="D635" s="2" t="str" cm="1">
        <f t="array" ref="D635">_xlfn.IFS( AND(C635&gt;=18, C635&lt;=25), "Emerging Adults",  AND(C635&gt;=26, C635&lt;=35),  "Young Adults",  AND(C635&gt;=36, C635&lt;=45),  "Midlife Adults",  AND(C635&gt;=46, C635&lt;=55), "Mature Adults", C635&gt;=56,  "Older Adults", TRUE, "Age Not Mentioned")</f>
        <v>Mature Adults</v>
      </c>
      <c r="E635" s="2" t="str">
        <f>VLOOKUP(user_activity!A744,users_details!$A$1:$G$34,6,0)</f>
        <v>Harlem, Manhattan</v>
      </c>
      <c r="F635" s="2" t="str">
        <f>VLOOKUP(user_activity!A744,users_details!$A$1:$G$34,7,0)</f>
        <v>Harlem</v>
      </c>
      <c r="G635" s="2" t="s">
        <v>72</v>
      </c>
      <c r="H635" s="7">
        <v>42708</v>
      </c>
      <c r="I635" s="9" t="str">
        <f t="shared" si="45"/>
        <v>Sunday</v>
      </c>
      <c r="J635" s="9" t="str">
        <f t="shared" si="46"/>
        <v>December</v>
      </c>
      <c r="K635" s="2">
        <v>5.8800001139999996</v>
      </c>
      <c r="L635" s="2">
        <v>5.8800001139999996</v>
      </c>
      <c r="M635" s="2">
        <v>0</v>
      </c>
      <c r="N635" s="2">
        <v>0</v>
      </c>
      <c r="O635" s="2">
        <v>0</v>
      </c>
      <c r="P635" s="2">
        <v>5.8499999049999998</v>
      </c>
      <c r="Q635" s="2">
        <v>0</v>
      </c>
      <c r="R635" s="2">
        <v>0</v>
      </c>
      <c r="S635" s="2">
        <v>0</v>
      </c>
      <c r="T635" s="2">
        <v>263</v>
      </c>
      <c r="U635" s="2">
        <f t="shared" si="47"/>
        <v>263</v>
      </c>
      <c r="V635" s="2">
        <v>718</v>
      </c>
      <c r="W635" s="2">
        <v>7213</v>
      </c>
      <c r="X635" s="2">
        <f t="shared" si="48"/>
        <v>7213</v>
      </c>
      <c r="Y635" s="2">
        <v>2947</v>
      </c>
      <c r="Z635" t="str" cm="1">
        <f t="array" ref="Z635">_xlfn.IFS(OR(R635&gt;66, S635&gt;38), "High Engagement", OR(AND(R635&gt;32, R635&lt;=66), AND(S635&gt;19, S635&lt;=38)), "Medium-High Engagement", OR(AND(R635&gt;4, R635&lt;=32), AND(S635&gt;6, S635&lt;=19)),"Medium Engagement", TRUE, "Low Engagement"
)</f>
        <v>Low Engagement</v>
      </c>
      <c r="AA635">
        <f t="shared" si="49"/>
        <v>0.40856786357964786</v>
      </c>
    </row>
    <row r="636" spans="1:27" x14ac:dyDescent="0.35">
      <c r="A636" s="2">
        <v>4702921684</v>
      </c>
      <c r="B636" s="2" t="s">
        <v>94</v>
      </c>
      <c r="C636" s="2">
        <f>VLOOKUP(user_activity!A760,users_details!$A$1:$G$34,5,0)</f>
        <v>53</v>
      </c>
      <c r="D636" s="2" t="str" cm="1">
        <f t="array" ref="D636">_xlfn.IFS( AND(C636&gt;=18, C636&lt;=25), "Emerging Adults",  AND(C636&gt;=26, C636&lt;=35),  "Young Adults",  AND(C636&gt;=36, C636&lt;=45),  "Midlife Adults",  AND(C636&gt;=46, C636&lt;=55), "Mature Adults", C636&gt;=56,  "Older Adults", TRUE, "Age Not Mentioned")</f>
        <v>Mature Adults</v>
      </c>
      <c r="E636" s="2" t="str">
        <f>VLOOKUP(user_activity!A760,users_details!$A$1:$G$34,6,0)</f>
        <v>Williamsburg, Brooklyn</v>
      </c>
      <c r="F636" s="2" t="str">
        <f>VLOOKUP(user_activity!A760,users_details!$A$1:$G$34,7,0)</f>
        <v>Williamsburg</v>
      </c>
      <c r="G636" s="2" t="s">
        <v>72</v>
      </c>
      <c r="H636" s="7">
        <v>42374</v>
      </c>
      <c r="I636" s="9" t="str">
        <f t="shared" si="45"/>
        <v>Tuesday</v>
      </c>
      <c r="J636" s="9" t="str">
        <f t="shared" si="46"/>
        <v>January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f t="shared" si="47"/>
        <v>0</v>
      </c>
      <c r="V636" s="2">
        <v>1440</v>
      </c>
      <c r="W636" s="2">
        <v>0</v>
      </c>
      <c r="X636" s="2">
        <f t="shared" si="48"/>
        <v>7405.5</v>
      </c>
      <c r="Y636" s="2">
        <v>2017</v>
      </c>
      <c r="Z636" t="str" cm="1">
        <f t="array" ref="Z636">_xlfn.IFS(OR(R636&gt;66, S636&gt;38), "High Engagement", OR(AND(R636&gt;32, R636&lt;=66), AND(S636&gt;19, S636&lt;=38)), "Medium-High Engagement", OR(AND(R636&gt;4, R636&lt;=32), AND(S636&gt;6, S636&lt;=19)),"Medium Engagement", TRUE, "Low Engagement"
)</f>
        <v>Low Engagement</v>
      </c>
      <c r="AA636">
        <f t="shared" si="49"/>
        <v>0</v>
      </c>
    </row>
    <row r="637" spans="1:27" x14ac:dyDescent="0.35">
      <c r="A637" s="2">
        <v>4702921684</v>
      </c>
      <c r="B637" s="2" t="s">
        <v>94</v>
      </c>
      <c r="C637" s="2">
        <f>VLOOKUP(user_activity!A822,users_details!$A$1:$G$34,5,0)</f>
        <v>56</v>
      </c>
      <c r="D637" s="2" t="str" cm="1">
        <f t="array" ref="D637">_xlfn.IFS( AND(C637&gt;=18, C637&lt;=25), "Emerging Adults",  AND(C637&gt;=26, C637&lt;=35),  "Young Adults",  AND(C637&gt;=36, C637&lt;=45),  "Midlife Adults",  AND(C637&gt;=46, C637&lt;=55), "Mature Adults", C637&gt;=56,  "Older Adults", TRUE, "Age Not Mentioned")</f>
        <v>Older Adults</v>
      </c>
      <c r="E637" s="2" t="str">
        <f>VLOOKUP(user_activity!A822,users_details!$A$1:$G$34,6,0)</f>
        <v>Flatbush, Brooklyn</v>
      </c>
      <c r="F637" s="2" t="str">
        <f>VLOOKUP(user_activity!A822,users_details!$A$1:$G$34,7,0)</f>
        <v>Flatbush</v>
      </c>
      <c r="G637" s="2" t="s">
        <v>72</v>
      </c>
      <c r="H637" s="7">
        <v>42487</v>
      </c>
      <c r="I637" s="9" t="str">
        <f t="shared" si="45"/>
        <v>Wednesday</v>
      </c>
      <c r="J637" s="9" t="str">
        <f t="shared" si="46"/>
        <v>April</v>
      </c>
      <c r="K637" s="2">
        <v>5.7199997900000001</v>
      </c>
      <c r="L637" s="2">
        <v>5.7199997900000001</v>
      </c>
      <c r="M637" s="2">
        <v>0</v>
      </c>
      <c r="N637" s="2">
        <v>9.0000003999999995E-2</v>
      </c>
      <c r="O637" s="2">
        <v>0.80000001200000004</v>
      </c>
      <c r="P637" s="2">
        <v>4.7800002099999999</v>
      </c>
      <c r="Q637" s="2">
        <v>0</v>
      </c>
      <c r="R637" s="2">
        <v>1</v>
      </c>
      <c r="S637" s="2">
        <v>16</v>
      </c>
      <c r="T637" s="2">
        <v>238</v>
      </c>
      <c r="U637" s="2">
        <f t="shared" si="47"/>
        <v>255</v>
      </c>
      <c r="V637" s="2">
        <v>733</v>
      </c>
      <c r="W637" s="2">
        <v>7047</v>
      </c>
      <c r="X637" s="2">
        <f t="shared" si="48"/>
        <v>7047</v>
      </c>
      <c r="Y637" s="2">
        <v>2908</v>
      </c>
      <c r="Z637" t="str" cm="1">
        <f t="array" ref="Z637">_xlfn.IFS(OR(R637&gt;66, S637&gt;38), "High Engagement", OR(AND(R637&gt;32, R637&lt;=66), AND(S637&gt;19, S637&lt;=38)), "Medium-High Engagement", OR(AND(R637&gt;4, R637&lt;=32), AND(S637&gt;6, S637&lt;=19)),"Medium Engagement", TRUE, "Low Engagement"
)</f>
        <v>Medium Engagement</v>
      </c>
      <c r="AA637">
        <f t="shared" si="49"/>
        <v>0.41265786859656589</v>
      </c>
    </row>
    <row r="638" spans="1:27" x14ac:dyDescent="0.35">
      <c r="A638" s="2">
        <v>4702921684</v>
      </c>
      <c r="B638" s="2" t="s">
        <v>94</v>
      </c>
      <c r="C638" s="2">
        <f>VLOOKUP(user_activity!A867,users_details!$A$1:$G$34,5,0)</f>
        <v>58</v>
      </c>
      <c r="D638" s="2" t="str" cm="1">
        <f t="array" ref="D638">_xlfn.IFS( AND(C638&gt;=18, C638&lt;=25), "Emerging Adults",  AND(C638&gt;=26, C638&lt;=35),  "Young Adults",  AND(C638&gt;=36, C638&lt;=45),  "Midlife Adults",  AND(C638&gt;=46, C638&lt;=55), "Mature Adults", C638&gt;=56,  "Older Adults", TRUE, "Age Not Mentioned")</f>
        <v>Older Adults</v>
      </c>
      <c r="E638" s="2" t="str">
        <f>VLOOKUP(user_activity!A867,users_details!$A$1:$G$34,6,0)</f>
        <v>East Village, Manhattan</v>
      </c>
      <c r="F638" s="2" t="str">
        <f>VLOOKUP(user_activity!A867,users_details!$A$1:$G$34,7,0)</f>
        <v>East Village</v>
      </c>
      <c r="G638" s="2" t="s">
        <v>72</v>
      </c>
      <c r="H638" s="7">
        <v>42475</v>
      </c>
      <c r="I638" s="9" t="str">
        <f t="shared" si="45"/>
        <v>Friday</v>
      </c>
      <c r="J638" s="9" t="str">
        <f t="shared" si="46"/>
        <v>April</v>
      </c>
      <c r="K638" s="2">
        <v>5.2800002099999999</v>
      </c>
      <c r="L638" s="2">
        <v>5.2800002099999999</v>
      </c>
      <c r="M638" s="2">
        <v>0</v>
      </c>
      <c r="N638" s="2">
        <v>7.0000000000000007E-2</v>
      </c>
      <c r="O638" s="2">
        <v>0.41999998700000002</v>
      </c>
      <c r="P638" s="2">
        <v>4.7899999619999996</v>
      </c>
      <c r="Q638" s="2">
        <v>0</v>
      </c>
      <c r="R638" s="2">
        <v>1</v>
      </c>
      <c r="S638" s="2">
        <v>8</v>
      </c>
      <c r="T638" s="2">
        <v>256</v>
      </c>
      <c r="U638" s="2">
        <f t="shared" si="47"/>
        <v>265</v>
      </c>
      <c r="V638" s="2">
        <v>944</v>
      </c>
      <c r="W638" s="2">
        <v>6506</v>
      </c>
      <c r="X638" s="2">
        <f t="shared" si="48"/>
        <v>6506</v>
      </c>
      <c r="Y638" s="2">
        <v>2896</v>
      </c>
      <c r="Z638" t="str" cm="1">
        <f t="array" ref="Z638">_xlfn.IFS(OR(R638&gt;66, S638&gt;38), "High Engagement", OR(AND(R638&gt;32, R638&lt;=66), AND(S638&gt;19, S638&lt;=38)), "Medium-High Engagement", OR(AND(R638&gt;4, R638&lt;=32), AND(S638&gt;6, S638&lt;=19)),"Medium Engagement", TRUE, "Low Engagement"
)</f>
        <v>Medium Engagement</v>
      </c>
      <c r="AA638">
        <f t="shared" si="49"/>
        <v>0.44512757454657237</v>
      </c>
    </row>
    <row r="639" spans="1:27" x14ac:dyDescent="0.35">
      <c r="A639" s="2">
        <v>4702921684</v>
      </c>
      <c r="B639" s="2" t="s">
        <v>94</v>
      </c>
      <c r="C639" s="2">
        <f>VLOOKUP(user_activity!A901,users_details!$A$1:$G$34,5,0)</f>
        <v>59</v>
      </c>
      <c r="D639" s="2" t="str" cm="1">
        <f t="array" ref="D639">_xlfn.IFS( AND(C639&gt;=18, C639&lt;=25), "Emerging Adults",  AND(C639&gt;=26, C639&lt;=35),  "Young Adults",  AND(C639&gt;=36, C639&lt;=45),  "Midlife Adults",  AND(C639&gt;=46, C639&lt;=55), "Mature Adults", C639&gt;=56,  "Older Adults", TRUE, "Age Not Mentioned")</f>
        <v>Older Adults</v>
      </c>
      <c r="E639" s="2" t="str">
        <f>VLOOKUP(user_activity!A901,users_details!$A$1:$G$34,6,0)</f>
        <v>Upper West Side, Manhattan</v>
      </c>
      <c r="F639" s="2" t="str">
        <f>VLOOKUP(user_activity!A901,users_details!$A$1:$G$34,7,0)</f>
        <v>Upper West Side</v>
      </c>
      <c r="G639" s="2" t="s">
        <v>72</v>
      </c>
      <c r="H639" s="7">
        <v>42477</v>
      </c>
      <c r="I639" s="9" t="str">
        <f t="shared" si="45"/>
        <v>Sunday</v>
      </c>
      <c r="J639" s="9" t="str">
        <f t="shared" si="46"/>
        <v>April</v>
      </c>
      <c r="K639" s="2">
        <v>10.289999959999999</v>
      </c>
      <c r="L639" s="2">
        <v>10.289999959999999</v>
      </c>
      <c r="M639" s="2">
        <v>0</v>
      </c>
      <c r="N639" s="2">
        <v>0.959999979</v>
      </c>
      <c r="O639" s="2">
        <v>3.460000038</v>
      </c>
      <c r="P639" s="2">
        <v>5.8800001139999996</v>
      </c>
      <c r="Q639" s="2">
        <v>0</v>
      </c>
      <c r="R639" s="2">
        <v>12</v>
      </c>
      <c r="S639" s="2">
        <v>66</v>
      </c>
      <c r="T639" s="2">
        <v>302</v>
      </c>
      <c r="U639" s="2">
        <f t="shared" si="47"/>
        <v>380</v>
      </c>
      <c r="V639" s="2">
        <v>437</v>
      </c>
      <c r="W639" s="2">
        <v>12692</v>
      </c>
      <c r="X639" s="2">
        <f t="shared" si="48"/>
        <v>12692</v>
      </c>
      <c r="Y639" s="2">
        <v>3394</v>
      </c>
      <c r="Z639" t="str" cm="1">
        <f t="array" ref="Z639">_xlfn.IFS(OR(R639&gt;66, S639&gt;38), "High Engagement", OR(AND(R639&gt;32, R639&lt;=66), AND(S639&gt;19, S639&lt;=38)), "Medium-High Engagement", OR(AND(R639&gt;4, R639&lt;=32), AND(S639&gt;6, S639&lt;=19)),"Medium Engagement", TRUE, "Low Engagement"
)</f>
        <v>High Engagement</v>
      </c>
      <c r="AA639">
        <f t="shared" si="49"/>
        <v>0.26741254333438386</v>
      </c>
    </row>
    <row r="640" spans="1:27" x14ac:dyDescent="0.35">
      <c r="A640" s="2">
        <v>6775888955</v>
      </c>
      <c r="B640" s="2" t="s">
        <v>76</v>
      </c>
      <c r="C640" s="2">
        <f>VLOOKUP(user_activity!A7,users_details!$A$1:$G$34,5,0)</f>
        <v>18</v>
      </c>
      <c r="D640" s="2" t="str" cm="1">
        <f t="array" ref="D640">_xlfn.IFS( AND(C640&gt;=18, C640&lt;=25), "Emerging Adults",  AND(C640&gt;=26, C640&lt;=35),  "Young Adults",  AND(C640&gt;=36, C640&lt;=45),  "Midlife Adults",  AND(C640&gt;=46, C640&lt;=55), "Mature Adults", C640&gt;=56,  "Older Adults", TRUE, "Age Not Mentioned")</f>
        <v>Emerging Adults</v>
      </c>
      <c r="E640" s="2" t="str">
        <f>VLOOKUP(user_activity!A7,users_details!$A$1:$G$34,6,0)</f>
        <v>Upper West Side, Manhattan</v>
      </c>
      <c r="F640" s="2" t="str">
        <f>VLOOKUP(user_activity!A7,users_details!$A$1:$G$34,7,0)</f>
        <v>Upper West Side</v>
      </c>
      <c r="G640" s="2" t="s">
        <v>72</v>
      </c>
      <c r="H640" s="7">
        <v>42488</v>
      </c>
      <c r="I640" s="9" t="str">
        <f t="shared" si="45"/>
        <v>Thursday</v>
      </c>
      <c r="J640" s="9" t="str">
        <f t="shared" si="46"/>
        <v>April</v>
      </c>
      <c r="K640" s="2">
        <v>0.5</v>
      </c>
      <c r="L640" s="2">
        <v>0.5</v>
      </c>
      <c r="M640" s="2">
        <v>0</v>
      </c>
      <c r="N640" s="2">
        <v>5.9999998999999998E-2</v>
      </c>
      <c r="O640" s="2">
        <v>0.20000000300000001</v>
      </c>
      <c r="P640" s="2">
        <v>0.23999999499999999</v>
      </c>
      <c r="Q640" s="2">
        <v>0</v>
      </c>
      <c r="R640" s="2">
        <v>2</v>
      </c>
      <c r="S640" s="2">
        <v>13</v>
      </c>
      <c r="T640" s="2">
        <v>15</v>
      </c>
      <c r="U640" s="2">
        <f t="shared" si="47"/>
        <v>30</v>
      </c>
      <c r="V640" s="2">
        <v>1410</v>
      </c>
      <c r="W640" s="2">
        <v>703</v>
      </c>
      <c r="X640" s="2">
        <f t="shared" si="48"/>
        <v>703</v>
      </c>
      <c r="Y640" s="2">
        <v>1993</v>
      </c>
      <c r="Z640" t="str" cm="1">
        <f t="array" ref="Z640">_xlfn.IFS(OR(R640&gt;66, S640&gt;38), "High Engagement", OR(AND(R640&gt;32, R640&lt;=66), AND(S640&gt;19, S640&lt;=38)), "Medium-High Engagement", OR(AND(R640&gt;4, R640&lt;=32), AND(S640&gt;6, S640&lt;=19)),"Medium Engagement", TRUE, "Low Engagement"
)</f>
        <v>Medium Engagement</v>
      </c>
      <c r="AA640">
        <f t="shared" si="49"/>
        <v>2.8349928876244666</v>
      </c>
    </row>
    <row r="641" spans="1:27" x14ac:dyDescent="0.35">
      <c r="A641" s="2">
        <v>6775888955</v>
      </c>
      <c r="B641" s="2" t="s">
        <v>76</v>
      </c>
      <c r="C641" s="2">
        <f>VLOOKUP(user_activity!A62,users_details!$A$1:$G$34,5,0)</f>
        <v>18</v>
      </c>
      <c r="D641" s="2" t="str" cm="1">
        <f t="array" ref="D641">_xlfn.IFS( AND(C641&gt;=18, C641&lt;=25), "Emerging Adults",  AND(C641&gt;=26, C641&lt;=35),  "Young Adults",  AND(C641&gt;=36, C641&lt;=45),  "Midlife Adults",  AND(C641&gt;=46, C641&lt;=55), "Mature Adults", C641&gt;=56,  "Older Adults", TRUE, "Age Not Mentioned")</f>
        <v>Emerging Adults</v>
      </c>
      <c r="E641" s="2" t="str">
        <f>VLOOKUP(user_activity!A62,users_details!$A$1:$G$34,6,0)</f>
        <v>Hell's Kitchen, Manhattan</v>
      </c>
      <c r="F641" s="2" t="str">
        <f>VLOOKUP(user_activity!A62,users_details!$A$1:$G$34,7,0)</f>
        <v>Hell's Kitchen</v>
      </c>
      <c r="G641" s="2" t="s">
        <v>72</v>
      </c>
      <c r="H641" s="7">
        <v>42526</v>
      </c>
      <c r="I641" s="9" t="str">
        <f t="shared" si="45"/>
        <v>Sunday</v>
      </c>
      <c r="J641" s="9" t="str">
        <f t="shared" si="46"/>
        <v>June</v>
      </c>
      <c r="K641" s="2">
        <v>3.369999886</v>
      </c>
      <c r="L641" s="2">
        <v>3.369999886</v>
      </c>
      <c r="M641" s="2">
        <v>0</v>
      </c>
      <c r="N641" s="2">
        <v>0.469999999</v>
      </c>
      <c r="O641" s="2">
        <v>0.93000000699999996</v>
      </c>
      <c r="P641" s="2">
        <v>1.9299999480000001</v>
      </c>
      <c r="Q641" s="2">
        <v>0</v>
      </c>
      <c r="R641" s="2">
        <v>12</v>
      </c>
      <c r="S641" s="2">
        <v>35</v>
      </c>
      <c r="T641" s="2">
        <v>75</v>
      </c>
      <c r="U641" s="2">
        <f t="shared" si="47"/>
        <v>122</v>
      </c>
      <c r="V641" s="2">
        <v>1318</v>
      </c>
      <c r="W641" s="2">
        <v>4697</v>
      </c>
      <c r="X641" s="2">
        <f t="shared" si="48"/>
        <v>4697</v>
      </c>
      <c r="Y641" s="2">
        <v>2496</v>
      </c>
      <c r="Z641" t="str" cm="1">
        <f t="array" ref="Z641">_xlfn.IFS(OR(R641&gt;66, S641&gt;38), "High Engagement", OR(AND(R641&gt;32, R641&lt;=66), AND(S641&gt;19, S641&lt;=38)), "Medium-High Engagement", OR(AND(R641&gt;4, R641&lt;=32), AND(S641&gt;6, S641&lt;=19)),"Medium Engagement", TRUE, "Low Engagement"
)</f>
        <v>Medium-High Engagement</v>
      </c>
      <c r="AA641">
        <f t="shared" si="49"/>
        <v>0.53140302320630195</v>
      </c>
    </row>
    <row r="642" spans="1:27" x14ac:dyDescent="0.35">
      <c r="A642" s="2">
        <v>6775888955</v>
      </c>
      <c r="B642" s="2" t="s">
        <v>76</v>
      </c>
      <c r="C642" s="2">
        <f>VLOOKUP(user_activity!A71,users_details!$A$1:$G$34,5,0)</f>
        <v>21</v>
      </c>
      <c r="D642" s="2" t="str" cm="1">
        <f t="array" ref="D642">_xlfn.IFS( AND(C642&gt;=18, C642&lt;=25), "Emerging Adults",  AND(C642&gt;=26, C642&lt;=35),  "Young Adults",  AND(C642&gt;=36, C642&lt;=45),  "Midlife Adults",  AND(C642&gt;=46, C642&lt;=55), "Mature Adults", C642&gt;=56,  "Older Adults", TRUE, "Age Not Mentioned")</f>
        <v>Emerging Adults</v>
      </c>
      <c r="E642" s="2" t="str">
        <f>VLOOKUP(user_activity!A71,users_details!$A$1:$G$34,6,0)</f>
        <v>Bushwick, Brooklyn</v>
      </c>
      <c r="F642" s="2" t="str">
        <f>VLOOKUP(user_activity!A71,users_details!$A$1:$G$34,7,0)</f>
        <v>Bushwick</v>
      </c>
      <c r="G642" s="2" t="s">
        <v>72</v>
      </c>
      <c r="H642" s="7">
        <v>42490</v>
      </c>
      <c r="I642" s="9" t="str">
        <f t="shared" ref="I642:I705" si="50">TEXT(H642, "dddd")</f>
        <v>Saturday</v>
      </c>
      <c r="J642" s="9" t="str">
        <f t="shared" ref="J642:J705" si="51">TEXT(H642, "mmmm")</f>
        <v>April</v>
      </c>
      <c r="K642" s="2">
        <v>1.789999962</v>
      </c>
      <c r="L642" s="2">
        <v>1.789999962</v>
      </c>
      <c r="M642" s="2">
        <v>0</v>
      </c>
      <c r="N642" s="2">
        <v>0.15999999600000001</v>
      </c>
      <c r="O642" s="2">
        <v>0.15999999600000001</v>
      </c>
      <c r="P642" s="2">
        <v>1.480000019</v>
      </c>
      <c r="Q642" s="2">
        <v>0</v>
      </c>
      <c r="R642" s="2">
        <v>3</v>
      </c>
      <c r="S642" s="2">
        <v>9</v>
      </c>
      <c r="T642" s="2">
        <v>84</v>
      </c>
      <c r="U642" s="2">
        <f t="shared" ref="U642:U705" si="52">R642+S642+T642</f>
        <v>96</v>
      </c>
      <c r="V642" s="2">
        <v>1344</v>
      </c>
      <c r="W642" s="2">
        <v>2503</v>
      </c>
      <c r="X642" s="2">
        <f t="shared" ref="X642:X705" si="53">IF(W642=0,MEDIAN($W$2:$W$941),W642)</f>
        <v>2503</v>
      </c>
      <c r="Y642" s="2">
        <v>2280</v>
      </c>
      <c r="Z642" t="str" cm="1">
        <f t="array" ref="Z642">_xlfn.IFS(OR(R642&gt;66, S642&gt;38), "High Engagement", OR(AND(R642&gt;32, R642&lt;=66), AND(S642&gt;19, S642&lt;=38)), "Medium-High Engagement", OR(AND(R642&gt;4, R642&lt;=32), AND(S642&gt;6, S642&lt;=19)),"Medium Engagement", TRUE, "Low Engagement"
)</f>
        <v>Medium Engagement</v>
      </c>
      <c r="AA642">
        <f t="shared" si="49"/>
        <v>0.91090691170595284</v>
      </c>
    </row>
    <row r="643" spans="1:27" x14ac:dyDescent="0.35">
      <c r="A643" s="2">
        <v>6775888955</v>
      </c>
      <c r="B643" s="2" t="s">
        <v>76</v>
      </c>
      <c r="C643" s="2">
        <f>VLOOKUP(user_activity!A78,users_details!$A$1:$G$34,5,0)</f>
        <v>21</v>
      </c>
      <c r="D643" s="2" t="str" cm="1">
        <f t="array" ref="D643">_xlfn.IFS( AND(C643&gt;=18, C643&lt;=25), "Emerging Adults",  AND(C643&gt;=26, C643&lt;=35),  "Young Adults",  AND(C643&gt;=36, C643&lt;=45),  "Midlife Adults",  AND(C643&gt;=46, C643&lt;=55), "Mature Adults", C643&gt;=56,  "Older Adults", TRUE, "Age Not Mentioned")</f>
        <v>Emerging Adults</v>
      </c>
      <c r="E643" s="2" t="str">
        <f>VLOOKUP(user_activity!A78,users_details!$A$1:$G$34,6,0)</f>
        <v>Bushwick, Brooklyn</v>
      </c>
      <c r="F643" s="2" t="str">
        <f>VLOOKUP(user_activity!A78,users_details!$A$1:$G$34,7,0)</f>
        <v>Bushwick</v>
      </c>
      <c r="G643" s="2" t="s">
        <v>72</v>
      </c>
      <c r="H643" s="7">
        <v>42482</v>
      </c>
      <c r="I643" s="9" t="str">
        <f t="shared" si="50"/>
        <v>Friday</v>
      </c>
      <c r="J643" s="9" t="str">
        <f t="shared" si="51"/>
        <v>April</v>
      </c>
      <c r="K643" s="2">
        <v>0.46000000800000002</v>
      </c>
      <c r="L643" s="2">
        <v>0.46000000800000002</v>
      </c>
      <c r="M643" s="2">
        <v>0</v>
      </c>
      <c r="N643" s="2">
        <v>0</v>
      </c>
      <c r="O643" s="2">
        <v>0</v>
      </c>
      <c r="P643" s="2">
        <v>0.46000000800000002</v>
      </c>
      <c r="Q643" s="2">
        <v>0</v>
      </c>
      <c r="R643" s="2">
        <v>0</v>
      </c>
      <c r="S643" s="2">
        <v>0</v>
      </c>
      <c r="T643" s="2">
        <v>20</v>
      </c>
      <c r="U643" s="2">
        <f t="shared" si="52"/>
        <v>20</v>
      </c>
      <c r="V643" s="2">
        <v>1420</v>
      </c>
      <c r="W643" s="2">
        <v>637</v>
      </c>
      <c r="X643" s="2">
        <f t="shared" si="53"/>
        <v>637</v>
      </c>
      <c r="Y643" s="2">
        <v>1922</v>
      </c>
      <c r="Z643" t="str" cm="1">
        <f t="array" ref="Z643">_xlfn.IFS(OR(R643&gt;66, S643&gt;38), "High Engagement", OR(AND(R643&gt;32, R643&lt;=66), AND(S643&gt;19, S643&lt;=38)), "Medium-High Engagement", OR(AND(R643&gt;4, R643&lt;=32), AND(S643&gt;6, S643&lt;=19)),"Medium Engagement", TRUE, "Low Engagement"
)</f>
        <v>Low Engagement</v>
      </c>
      <c r="AA643">
        <f t="shared" ref="AA643:AA706" si="54">IF(W643&gt;0, Y643/W643, 0)</f>
        <v>3.0172684458398744</v>
      </c>
    </row>
    <row r="644" spans="1:27" x14ac:dyDescent="0.35">
      <c r="A644" s="2">
        <v>6775888955</v>
      </c>
      <c r="B644" s="2" t="s">
        <v>76</v>
      </c>
      <c r="C644" s="2">
        <f>VLOOKUP(user_activity!A177,users_details!$A$1:$G$34,5,0)</f>
        <v>23</v>
      </c>
      <c r="D644" s="2" t="str" cm="1">
        <f t="array" ref="D644">_xlfn.IFS( AND(C644&gt;=18, C644&lt;=25), "Emerging Adults",  AND(C644&gt;=26, C644&lt;=35),  "Young Adults",  AND(C644&gt;=36, C644&lt;=45),  "Midlife Adults",  AND(C644&gt;=46, C644&lt;=55), "Mature Adults", C644&gt;=56,  "Older Adults", TRUE, "Age Not Mentioned")</f>
        <v>Emerging Adults</v>
      </c>
      <c r="E644" s="2" t="str">
        <f>VLOOKUP(user_activity!A177,users_details!$A$1:$G$34,6,0)</f>
        <v>Crown Heights, Brooklyn</v>
      </c>
      <c r="F644" s="2" t="str">
        <f>VLOOKUP(user_activity!A177,users_details!$A$1:$G$34,7,0)</f>
        <v>Crown Heights</v>
      </c>
      <c r="G644" s="2" t="s">
        <v>72</v>
      </c>
      <c r="H644" s="7">
        <v>42495</v>
      </c>
      <c r="I644" s="9" t="str">
        <f t="shared" si="50"/>
        <v>Thursday</v>
      </c>
      <c r="J644" s="9" t="str">
        <f t="shared" si="51"/>
        <v>May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f t="shared" si="52"/>
        <v>0</v>
      </c>
      <c r="V644" s="2">
        <v>1440</v>
      </c>
      <c r="W644" s="2">
        <v>0</v>
      </c>
      <c r="X644" s="2">
        <f t="shared" si="53"/>
        <v>7405.5</v>
      </c>
      <c r="Y644" s="2">
        <v>1841</v>
      </c>
      <c r="Z644" t="str" cm="1">
        <f t="array" ref="Z644">_xlfn.IFS(OR(R644&gt;66, S644&gt;38), "High Engagement", OR(AND(R644&gt;32, R644&lt;=66), AND(S644&gt;19, S644&lt;=38)), "Medium-High Engagement", OR(AND(R644&gt;4, R644&lt;=32), AND(S644&gt;6, S644&lt;=19)),"Medium Engagement", TRUE, "Low Engagement"
)</f>
        <v>Low Engagement</v>
      </c>
      <c r="AA644">
        <f t="shared" si="54"/>
        <v>0</v>
      </c>
    </row>
    <row r="645" spans="1:27" x14ac:dyDescent="0.35">
      <c r="A645" s="2">
        <v>6775888955</v>
      </c>
      <c r="B645" s="2" t="s">
        <v>76</v>
      </c>
      <c r="C645" s="2">
        <f>VLOOKUP(user_activity!A184,users_details!$A$1:$G$34,5,0)</f>
        <v>23</v>
      </c>
      <c r="D645" s="2" t="str" cm="1">
        <f t="array" ref="D645">_xlfn.IFS( AND(C645&gt;=18, C645&lt;=25), "Emerging Adults",  AND(C645&gt;=26, C645&lt;=35),  "Young Adults",  AND(C645&gt;=36, C645&lt;=45),  "Midlife Adults",  AND(C645&gt;=46, C645&lt;=55), "Mature Adults", C645&gt;=56,  "Older Adults", TRUE, "Age Not Mentioned")</f>
        <v>Emerging Adults</v>
      </c>
      <c r="E645" s="2" t="str">
        <f>VLOOKUP(user_activity!A184,users_details!$A$1:$G$34,6,0)</f>
        <v>Crown Heights, Brooklyn</v>
      </c>
      <c r="F645" s="2" t="str">
        <f>VLOOKUP(user_activity!A184,users_details!$A$1:$G$34,7,0)</f>
        <v>Crown Heights</v>
      </c>
      <c r="G645" s="2" t="s">
        <v>72</v>
      </c>
      <c r="H645" s="7">
        <v>42485</v>
      </c>
      <c r="I645" s="9" t="str">
        <f t="shared" si="50"/>
        <v>Monday</v>
      </c>
      <c r="J645" s="9" t="str">
        <f t="shared" si="51"/>
        <v>April</v>
      </c>
      <c r="K645" s="2">
        <v>4.6399998660000001</v>
      </c>
      <c r="L645" s="2">
        <v>4.6399998660000001</v>
      </c>
      <c r="M645" s="2">
        <v>0</v>
      </c>
      <c r="N645" s="2">
        <v>2.2699999809999998</v>
      </c>
      <c r="O645" s="2">
        <v>0.46000000800000002</v>
      </c>
      <c r="P645" s="2">
        <v>1.8999999759999999</v>
      </c>
      <c r="Q645" s="2">
        <v>0</v>
      </c>
      <c r="R645" s="2">
        <v>33</v>
      </c>
      <c r="S645" s="2">
        <v>13</v>
      </c>
      <c r="T645" s="2">
        <v>92</v>
      </c>
      <c r="U645" s="2">
        <f t="shared" si="52"/>
        <v>138</v>
      </c>
      <c r="V645" s="2">
        <v>1302</v>
      </c>
      <c r="W645" s="2">
        <v>6474</v>
      </c>
      <c r="X645" s="2">
        <f t="shared" si="53"/>
        <v>6474</v>
      </c>
      <c r="Y645" s="2">
        <v>2484</v>
      </c>
      <c r="Z645" t="str" cm="1">
        <f t="array" ref="Z645">_xlfn.IFS(OR(R645&gt;66, S645&gt;38), "High Engagement", OR(AND(R645&gt;32, R645&lt;=66), AND(S645&gt;19, S645&lt;=38)), "Medium-High Engagement", OR(AND(R645&gt;4, R645&lt;=32), AND(S645&gt;6, S645&lt;=19)),"Medium Engagement", TRUE, "Low Engagement"
)</f>
        <v>Medium-High Engagement</v>
      </c>
      <c r="AA645">
        <f t="shared" si="54"/>
        <v>0.38368860055607046</v>
      </c>
    </row>
    <row r="646" spans="1:27" x14ac:dyDescent="0.35">
      <c r="A646" s="2">
        <v>6775888955</v>
      </c>
      <c r="B646" s="2" t="s">
        <v>76</v>
      </c>
      <c r="C646" s="2">
        <f>VLOOKUP(user_activity!A243,users_details!$A$1:$G$34,5,0)</f>
        <v>29</v>
      </c>
      <c r="D646" s="2" t="str" cm="1">
        <f t="array" ref="D646">_xlfn.IFS( AND(C646&gt;=18, C646&lt;=25), "Emerging Adults",  AND(C646&gt;=26, C646&lt;=35),  "Young Adults",  AND(C646&gt;=36, C646&lt;=45),  "Midlife Adults",  AND(C646&gt;=46, C646&lt;=55), "Mature Adults", C646&gt;=56,  "Older Adults", TRUE, "Age Not Mentioned")</f>
        <v>Young Adults</v>
      </c>
      <c r="E646" s="2" t="str">
        <f>VLOOKUP(user_activity!A243,users_details!$A$1:$G$34,6,0)</f>
        <v>East Village, Manhattan</v>
      </c>
      <c r="F646" s="2" t="str">
        <f>VLOOKUP(user_activity!A243,users_details!$A$1:$G$34,7,0)</f>
        <v>East Village</v>
      </c>
      <c r="G646" s="2" t="s">
        <v>72</v>
      </c>
      <c r="H646" s="7">
        <v>42374</v>
      </c>
      <c r="I646" s="9" t="str">
        <f t="shared" si="50"/>
        <v>Tuesday</v>
      </c>
      <c r="J646" s="9" t="str">
        <f t="shared" si="51"/>
        <v>January</v>
      </c>
      <c r="K646" s="2">
        <v>1.7799999710000001</v>
      </c>
      <c r="L646" s="2">
        <v>1.7799999710000001</v>
      </c>
      <c r="M646" s="2">
        <v>0</v>
      </c>
      <c r="N646" s="2">
        <v>0.47999998900000002</v>
      </c>
      <c r="O646" s="2">
        <v>0.62000000499999997</v>
      </c>
      <c r="P646" s="2">
        <v>0.68000000699999996</v>
      </c>
      <c r="Q646" s="2">
        <v>0</v>
      </c>
      <c r="R646" s="2">
        <v>9</v>
      </c>
      <c r="S646" s="2">
        <v>34</v>
      </c>
      <c r="T646" s="2">
        <v>50</v>
      </c>
      <c r="U646" s="2">
        <f t="shared" si="52"/>
        <v>93</v>
      </c>
      <c r="V646" s="2">
        <v>1347</v>
      </c>
      <c r="W646" s="2">
        <v>2487</v>
      </c>
      <c r="X646" s="2">
        <f t="shared" si="53"/>
        <v>2487</v>
      </c>
      <c r="Y646" s="2">
        <v>2319</v>
      </c>
      <c r="Z646" t="str" cm="1">
        <f t="array" ref="Z646">_xlfn.IFS(OR(R646&gt;66, S646&gt;38), "High Engagement", OR(AND(R646&gt;32, R646&lt;=66), AND(S646&gt;19, S646&lt;=38)), "Medium-High Engagement", OR(AND(R646&gt;4, R646&lt;=32), AND(S646&gt;6, S646&lt;=19)),"Medium Engagement", TRUE, "Low Engagement"
)</f>
        <v>Medium-High Engagement</v>
      </c>
      <c r="AA646">
        <f t="shared" si="54"/>
        <v>0.93244873341375156</v>
      </c>
    </row>
    <row r="647" spans="1:27" x14ac:dyDescent="0.35">
      <c r="A647" s="2">
        <v>6775888955</v>
      </c>
      <c r="B647" s="2" t="s">
        <v>76</v>
      </c>
      <c r="C647" s="2">
        <f>VLOOKUP(user_activity!A257,users_details!$A$1:$G$34,5,0)</f>
        <v>29</v>
      </c>
      <c r="D647" s="2" t="str" cm="1">
        <f t="array" ref="D647">_xlfn.IFS( AND(C647&gt;=18, C647&lt;=25), "Emerging Adults",  AND(C647&gt;=26, C647&lt;=35),  "Young Adults",  AND(C647&gt;=36, C647&lt;=45),  "Midlife Adults",  AND(C647&gt;=46, C647&lt;=55), "Mature Adults", C647&gt;=56,  "Older Adults", TRUE, "Age Not Mentioned")</f>
        <v>Young Adults</v>
      </c>
      <c r="E647" s="2" t="str">
        <f>VLOOKUP(user_activity!A257,users_details!$A$1:$G$34,6,0)</f>
        <v>Crown Heights, Brooklyn</v>
      </c>
      <c r="F647" s="2" t="str">
        <f>VLOOKUP(user_activity!A257,users_details!$A$1:$G$34,7,0)</f>
        <v>Crown Heights</v>
      </c>
      <c r="G647" s="2" t="s">
        <v>72</v>
      </c>
      <c r="H647" s="7">
        <v>42484</v>
      </c>
      <c r="I647" s="9" t="str">
        <f t="shared" si="50"/>
        <v>Sunday</v>
      </c>
      <c r="J647" s="9" t="str">
        <f t="shared" si="51"/>
        <v>April</v>
      </c>
      <c r="K647" s="2">
        <v>1.539999962</v>
      </c>
      <c r="L647" s="2">
        <v>1.539999962</v>
      </c>
      <c r="M647" s="2">
        <v>0</v>
      </c>
      <c r="N647" s="2">
        <v>0.769999981</v>
      </c>
      <c r="O647" s="2">
        <v>0.62000000499999997</v>
      </c>
      <c r="P647" s="2">
        <v>0.15000000599999999</v>
      </c>
      <c r="Q647" s="2">
        <v>0</v>
      </c>
      <c r="R647" s="2">
        <v>11</v>
      </c>
      <c r="S647" s="2">
        <v>18</v>
      </c>
      <c r="T647" s="2">
        <v>11</v>
      </c>
      <c r="U647" s="2">
        <f t="shared" si="52"/>
        <v>40</v>
      </c>
      <c r="V647" s="2">
        <v>1400</v>
      </c>
      <c r="W647" s="2">
        <v>2153</v>
      </c>
      <c r="X647" s="2">
        <f t="shared" si="53"/>
        <v>2153</v>
      </c>
      <c r="Y647" s="2">
        <v>2053</v>
      </c>
      <c r="Z647" t="str" cm="1">
        <f t="array" ref="Z647">_xlfn.IFS(OR(R647&gt;66, S647&gt;38), "High Engagement", OR(AND(R647&gt;32, R647&lt;=66), AND(S647&gt;19, S647&lt;=38)), "Medium-High Engagement", OR(AND(R647&gt;4, R647&lt;=32), AND(S647&gt;6, S647&lt;=19)),"Medium Engagement", TRUE, "Low Engagement"
)</f>
        <v>Medium Engagement</v>
      </c>
      <c r="AA647">
        <f t="shared" si="54"/>
        <v>0.95355318160705993</v>
      </c>
    </row>
    <row r="648" spans="1:27" x14ac:dyDescent="0.35">
      <c r="A648" s="2">
        <v>6775888955</v>
      </c>
      <c r="B648" s="2" t="s">
        <v>76</v>
      </c>
      <c r="C648" s="2">
        <f>VLOOKUP(user_activity!A292,users_details!$A$1:$G$34,5,0)</f>
        <v>29</v>
      </c>
      <c r="D648" s="2" t="str" cm="1">
        <f t="array" ref="D648">_xlfn.IFS( AND(C648&gt;=18, C648&lt;=25), "Emerging Adults",  AND(C648&gt;=26, C648&lt;=35),  "Young Adults",  AND(C648&gt;=36, C648&lt;=45),  "Midlife Adults",  AND(C648&gt;=46, C648&lt;=55), "Mature Adults", C648&gt;=56,  "Older Adults", TRUE, "Age Not Mentioned")</f>
        <v>Young Adults</v>
      </c>
      <c r="E648" s="2" t="str">
        <f>VLOOKUP(user_activity!A292,users_details!$A$1:$G$34,6,0)</f>
        <v>East Village, Manhattan</v>
      </c>
      <c r="F648" s="2" t="str">
        <f>VLOOKUP(user_activity!A292,users_details!$A$1:$G$34,7,0)</f>
        <v>East Village</v>
      </c>
      <c r="G648" s="2" t="s">
        <v>72</v>
      </c>
      <c r="H648" s="7">
        <v>42480</v>
      </c>
      <c r="I648" s="9" t="str">
        <f t="shared" si="50"/>
        <v>Wednesday</v>
      </c>
      <c r="J648" s="9" t="str">
        <f t="shared" si="51"/>
        <v>April</v>
      </c>
      <c r="K648" s="2">
        <v>7.7199997900000001</v>
      </c>
      <c r="L648" s="2">
        <v>7.7199997900000001</v>
      </c>
      <c r="M648" s="2">
        <v>0</v>
      </c>
      <c r="N648" s="2">
        <v>3.7699999809999998</v>
      </c>
      <c r="O648" s="2">
        <v>1.7400000099999999</v>
      </c>
      <c r="P648" s="2">
        <v>2.2200000289999999</v>
      </c>
      <c r="Q648" s="2">
        <v>0</v>
      </c>
      <c r="R648" s="2">
        <v>70</v>
      </c>
      <c r="S648" s="2">
        <v>113</v>
      </c>
      <c r="T648" s="2">
        <v>178</v>
      </c>
      <c r="U648" s="2">
        <f t="shared" si="52"/>
        <v>361</v>
      </c>
      <c r="V648" s="2">
        <v>1079</v>
      </c>
      <c r="W648" s="2">
        <v>10771</v>
      </c>
      <c r="X648" s="2">
        <f t="shared" si="53"/>
        <v>10771</v>
      </c>
      <c r="Y648" s="2">
        <v>3727</v>
      </c>
      <c r="Z648" t="str" cm="1">
        <f t="array" ref="Z648">_xlfn.IFS(OR(R648&gt;66, S648&gt;38), "High Engagement", OR(AND(R648&gt;32, R648&lt;=66), AND(S648&gt;19, S648&lt;=38)), "Medium-High Engagement", OR(AND(R648&gt;4, R648&lt;=32), AND(S648&gt;6, S648&lt;=19)),"Medium Engagement", TRUE, "Low Engagement"
)</f>
        <v>High Engagement</v>
      </c>
      <c r="AA648">
        <f t="shared" si="54"/>
        <v>0.34602172500232103</v>
      </c>
    </row>
    <row r="649" spans="1:27" x14ac:dyDescent="0.35">
      <c r="A649" s="2">
        <v>6775888955</v>
      </c>
      <c r="B649" s="2" t="s">
        <v>76</v>
      </c>
      <c r="C649" s="2">
        <f>VLOOKUP(user_activity!A329,users_details!$A$1:$G$34,5,0)</f>
        <v>30</v>
      </c>
      <c r="D649" s="2" t="str" cm="1">
        <f t="array" ref="D649">_xlfn.IFS( AND(C649&gt;=18, C649&lt;=25), "Emerging Adults",  AND(C649&gt;=26, C649&lt;=35),  "Young Adults",  AND(C649&gt;=36, C649&lt;=45),  "Midlife Adults",  AND(C649&gt;=46, C649&lt;=55), "Mature Adults", C649&gt;=56,  "Older Adults", TRUE, "Age Not Mentioned")</f>
        <v>Young Adults</v>
      </c>
      <c r="E649" s="2" t="str">
        <f>VLOOKUP(user_activity!A329,users_details!$A$1:$G$34,6,0)</f>
        <v>Midtown, Manhattan</v>
      </c>
      <c r="F649" s="2" t="str">
        <f>VLOOKUP(user_activity!A329,users_details!$A$1:$G$34,7,0)</f>
        <v>Midtown</v>
      </c>
      <c r="G649" s="2" t="s">
        <v>72</v>
      </c>
      <c r="H649" s="7">
        <v>42475</v>
      </c>
      <c r="I649" s="9" t="str">
        <f t="shared" si="50"/>
        <v>Friday</v>
      </c>
      <c r="J649" s="9" t="str">
        <f t="shared" si="51"/>
        <v>April</v>
      </c>
      <c r="K649" s="2">
        <v>0.920000017</v>
      </c>
      <c r="L649" s="2">
        <v>0.920000017</v>
      </c>
      <c r="M649" s="2">
        <v>0</v>
      </c>
      <c r="N649" s="2">
        <v>0</v>
      </c>
      <c r="O649" s="2">
        <v>0</v>
      </c>
      <c r="P649" s="2">
        <v>0.920000017</v>
      </c>
      <c r="Q649" s="2">
        <v>0</v>
      </c>
      <c r="R649" s="2">
        <v>0</v>
      </c>
      <c r="S649" s="2">
        <v>0</v>
      </c>
      <c r="T649" s="2">
        <v>58</v>
      </c>
      <c r="U649" s="2">
        <f t="shared" si="52"/>
        <v>58</v>
      </c>
      <c r="V649" s="2">
        <v>976</v>
      </c>
      <c r="W649" s="2">
        <v>1282</v>
      </c>
      <c r="X649" s="2">
        <f t="shared" si="53"/>
        <v>1282</v>
      </c>
      <c r="Y649" s="2">
        <v>2127</v>
      </c>
      <c r="Z649" t="str" cm="1">
        <f t="array" ref="Z649">_xlfn.IFS(OR(R649&gt;66, S649&gt;38), "High Engagement", OR(AND(R649&gt;32, R649&lt;=66), AND(S649&gt;19, S649&lt;=38)), "Medium-High Engagement", OR(AND(R649&gt;4, R649&lt;=32), AND(S649&gt;6, S649&lt;=19)),"Medium Engagement", TRUE, "Low Engagement"
)</f>
        <v>Low Engagement</v>
      </c>
      <c r="AA649">
        <f t="shared" si="54"/>
        <v>1.6591263650546022</v>
      </c>
    </row>
    <row r="650" spans="1:27" x14ac:dyDescent="0.35">
      <c r="A650" s="2">
        <v>6775888955</v>
      </c>
      <c r="B650" s="2" t="s">
        <v>76</v>
      </c>
      <c r="C650" s="2">
        <f>VLOOKUP(user_activity!A361,users_details!$A$1:$G$34,5,0)</f>
        <v>31</v>
      </c>
      <c r="D650" s="2" t="str" cm="1">
        <f t="array" ref="D650">_xlfn.IFS( AND(C650&gt;=18, C650&lt;=25), "Emerging Adults",  AND(C650&gt;=26, C650&lt;=35),  "Young Adults",  AND(C650&gt;=36, C650&lt;=45),  "Midlife Adults",  AND(C650&gt;=46, C650&lt;=55), "Mature Adults", C650&gt;=56,  "Older Adults", TRUE, "Age Not Mentioned")</f>
        <v>Young Adults</v>
      </c>
      <c r="E650" s="2" t="str">
        <f>VLOOKUP(user_activity!A361,users_details!$A$1:$G$34,6,0)</f>
        <v>Midtown, Manhattan</v>
      </c>
      <c r="F650" s="2" t="str">
        <f>VLOOKUP(user_activity!A361,users_details!$A$1:$G$34,7,0)</f>
        <v>Midtown</v>
      </c>
      <c r="G650" s="2" t="s">
        <v>72</v>
      </c>
      <c r="H650" s="7">
        <v>42478</v>
      </c>
      <c r="I650" s="9" t="str">
        <f t="shared" si="50"/>
        <v>Monday</v>
      </c>
      <c r="J650" s="9" t="str">
        <f t="shared" si="51"/>
        <v>April</v>
      </c>
      <c r="K650" s="2">
        <v>5.9499998090000004</v>
      </c>
      <c r="L650" s="2">
        <v>5.9499998090000004</v>
      </c>
      <c r="M650" s="2">
        <v>0</v>
      </c>
      <c r="N650" s="2">
        <v>2</v>
      </c>
      <c r="O650" s="2">
        <v>0.769999981</v>
      </c>
      <c r="P650" s="2">
        <v>3.170000076</v>
      </c>
      <c r="Q650" s="2">
        <v>0</v>
      </c>
      <c r="R650" s="2">
        <v>30</v>
      </c>
      <c r="S650" s="2">
        <v>31</v>
      </c>
      <c r="T650" s="2">
        <v>146</v>
      </c>
      <c r="U650" s="2">
        <f t="shared" si="52"/>
        <v>207</v>
      </c>
      <c r="V650" s="2">
        <v>1233</v>
      </c>
      <c r="W650" s="2">
        <v>8294</v>
      </c>
      <c r="X650" s="2">
        <f t="shared" si="53"/>
        <v>8294</v>
      </c>
      <c r="Y650" s="2">
        <v>2798</v>
      </c>
      <c r="Z650" t="str" cm="1">
        <f t="array" ref="Z650">_xlfn.IFS(OR(R650&gt;66, S650&gt;38), "High Engagement", OR(AND(R650&gt;32, R650&lt;=66), AND(S650&gt;19, S650&lt;=38)), "Medium-High Engagement", OR(AND(R650&gt;4, R650&lt;=32), AND(S650&gt;6, S650&lt;=19)),"Medium Engagement", TRUE, "Low Engagement"
)</f>
        <v>Medium-High Engagement</v>
      </c>
      <c r="AA650">
        <f t="shared" si="54"/>
        <v>0.33735230286954426</v>
      </c>
    </row>
    <row r="651" spans="1:27" x14ac:dyDescent="0.35">
      <c r="A651" s="2">
        <v>6775888955</v>
      </c>
      <c r="B651" s="2" t="s">
        <v>76</v>
      </c>
      <c r="C651" s="2">
        <f>VLOOKUP(user_activity!A383,users_details!$A$1:$G$34,5,0)</f>
        <v>32</v>
      </c>
      <c r="D651" s="2" t="str" cm="1">
        <f t="array" ref="D651">_xlfn.IFS( AND(C651&gt;=18, C651&lt;=25), "Emerging Adults",  AND(C651&gt;=26, C651&lt;=35),  "Young Adults",  AND(C651&gt;=36, C651&lt;=45),  "Midlife Adults",  AND(C651&gt;=46, C651&lt;=55), "Mature Adults", C651&gt;=56,  "Older Adults", TRUE, "Age Not Mentioned")</f>
        <v>Young Adults</v>
      </c>
      <c r="E651" s="2" t="str">
        <f>VLOOKUP(user_activity!A383,users_details!$A$1:$G$34,6,0)</f>
        <v>East Harlem, Manhattan</v>
      </c>
      <c r="F651" s="2" t="str">
        <f>VLOOKUP(user_activity!A383,users_details!$A$1:$G$34,7,0)</f>
        <v>East Harlem</v>
      </c>
      <c r="G651" s="2" t="s">
        <v>72</v>
      </c>
      <c r="H651" s="7">
        <v>42473</v>
      </c>
      <c r="I651" s="9" t="str">
        <f t="shared" si="50"/>
        <v>Wednesday</v>
      </c>
      <c r="J651" s="9" t="str">
        <f t="shared" si="51"/>
        <v>April</v>
      </c>
      <c r="K651" s="2">
        <v>2.9100000860000002</v>
      </c>
      <c r="L651" s="2">
        <v>2.9100000860000002</v>
      </c>
      <c r="M651" s="2">
        <v>0</v>
      </c>
      <c r="N651" s="2">
        <v>1.1100000139999999</v>
      </c>
      <c r="O651" s="2">
        <v>0.579999983</v>
      </c>
      <c r="P651" s="2">
        <v>1.2200000289999999</v>
      </c>
      <c r="Q651" s="2">
        <v>0</v>
      </c>
      <c r="R651" s="2">
        <v>17</v>
      </c>
      <c r="S651" s="2">
        <v>18</v>
      </c>
      <c r="T651" s="2">
        <v>85</v>
      </c>
      <c r="U651" s="2">
        <f t="shared" si="52"/>
        <v>120</v>
      </c>
      <c r="V651" s="2">
        <v>1053</v>
      </c>
      <c r="W651" s="2">
        <v>4053</v>
      </c>
      <c r="X651" s="2">
        <f t="shared" si="53"/>
        <v>4053</v>
      </c>
      <c r="Y651" s="2">
        <v>2400</v>
      </c>
      <c r="Z651" t="str" cm="1">
        <f t="array" ref="Z651">_xlfn.IFS(OR(R651&gt;66, S651&gt;38), "High Engagement", OR(AND(R651&gt;32, R651&lt;=66), AND(S651&gt;19, S651&lt;=38)), "Medium-High Engagement", OR(AND(R651&gt;4, R651&lt;=32), AND(S651&gt;6, S651&lt;=19)),"Medium Engagement", TRUE, "Low Engagement"
)</f>
        <v>Medium Engagement</v>
      </c>
      <c r="AA651">
        <f t="shared" si="54"/>
        <v>0.59215396002960774</v>
      </c>
    </row>
    <row r="652" spans="1:27" x14ac:dyDescent="0.35">
      <c r="A652" s="2">
        <v>6775888955</v>
      </c>
      <c r="B652" s="2" t="s">
        <v>76</v>
      </c>
      <c r="C652" s="2">
        <f>VLOOKUP(user_activity!A455,users_details!$A$1:$G$34,5,0)</f>
        <v>33</v>
      </c>
      <c r="D652" s="2" t="str" cm="1">
        <f t="array" ref="D652">_xlfn.IFS( AND(C652&gt;=18, C652&lt;=25), "Emerging Adults",  AND(C652&gt;=26, C652&lt;=35),  "Young Adults",  AND(C652&gt;=36, C652&lt;=45),  "Midlife Adults",  AND(C652&gt;=46, C652&lt;=55), "Mature Adults", C652&gt;=56,  "Older Adults", TRUE, "Age Not Mentioned")</f>
        <v>Young Adults</v>
      </c>
      <c r="E652" s="2" t="str">
        <f>VLOOKUP(user_activity!A455,users_details!$A$1:$G$34,6,0)</f>
        <v>Greenpoint, Brooklyn</v>
      </c>
      <c r="F652" s="2" t="str">
        <f>VLOOKUP(user_activity!A455,users_details!$A$1:$G$34,7,0)</f>
        <v>Greenpoint</v>
      </c>
      <c r="G652" s="2" t="s">
        <v>72</v>
      </c>
      <c r="H652" s="7">
        <v>42487</v>
      </c>
      <c r="I652" s="9" t="str">
        <f t="shared" si="50"/>
        <v>Wednesday</v>
      </c>
      <c r="J652" s="9" t="str">
        <f t="shared" si="51"/>
        <v>April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f t="shared" si="52"/>
        <v>0</v>
      </c>
      <c r="V652" s="2">
        <v>1440</v>
      </c>
      <c r="W652" s="2">
        <v>0</v>
      </c>
      <c r="X652" s="2">
        <f t="shared" si="53"/>
        <v>7405.5</v>
      </c>
      <c r="Y652" s="2">
        <v>1841</v>
      </c>
      <c r="Z652" t="str" cm="1">
        <f t="array" ref="Z652">_xlfn.IFS(OR(R652&gt;66, S652&gt;38), "High Engagement", OR(AND(R652&gt;32, R652&lt;=66), AND(S652&gt;19, S652&lt;=38)), "Medium-High Engagement", OR(AND(R652&gt;4, R652&lt;=32), AND(S652&gt;6, S652&lt;=19)),"Medium Engagement", TRUE, "Low Engagement"
)</f>
        <v>Low Engagement</v>
      </c>
      <c r="AA652">
        <f t="shared" si="54"/>
        <v>0</v>
      </c>
    </row>
    <row r="653" spans="1:27" x14ac:dyDescent="0.35">
      <c r="A653" s="2">
        <v>6775888955</v>
      </c>
      <c r="B653" s="2" t="s">
        <v>76</v>
      </c>
      <c r="C653" s="2">
        <f>VLOOKUP(user_activity!A576,users_details!$A$1:$G$34,5,0)</f>
        <v>38</v>
      </c>
      <c r="D653" s="2" t="str" cm="1">
        <f t="array" ref="D653">_xlfn.IFS( AND(C653&gt;=18, C653&lt;=25), "Emerging Adults",  AND(C653&gt;=26, C653&lt;=35),  "Young Adults",  AND(C653&gt;=36, C653&lt;=45),  "Midlife Adults",  AND(C653&gt;=46, C653&lt;=55), "Mature Adults", C653&gt;=56,  "Older Adults", TRUE, "Age Not Mentioned")</f>
        <v>Midlife Adults</v>
      </c>
      <c r="E653" s="2" t="str">
        <f>VLOOKUP(user_activity!A576,users_details!$A$1:$G$34,6,0)</f>
        <v>Midtown, Manhattan</v>
      </c>
      <c r="F653" s="2" t="str">
        <f>VLOOKUP(user_activity!A576,users_details!$A$1:$G$34,7,0)</f>
        <v>Midtown</v>
      </c>
      <c r="G653" s="2" t="s">
        <v>72</v>
      </c>
      <c r="H653" s="7">
        <v>42486</v>
      </c>
      <c r="I653" s="9" t="str">
        <f t="shared" si="50"/>
        <v>Tuesday</v>
      </c>
      <c r="J653" s="9" t="str">
        <f t="shared" si="51"/>
        <v>April</v>
      </c>
      <c r="K653" s="2">
        <v>5.2699999809999998</v>
      </c>
      <c r="L653" s="2">
        <v>5.2699999809999998</v>
      </c>
      <c r="M653" s="2">
        <v>1.9595960379999999</v>
      </c>
      <c r="N653" s="2">
        <v>3.4800000190000002</v>
      </c>
      <c r="O653" s="2">
        <v>0.87000000499999997</v>
      </c>
      <c r="P653" s="2">
        <v>0.730000019</v>
      </c>
      <c r="Q653" s="2">
        <v>0</v>
      </c>
      <c r="R653" s="2">
        <v>42</v>
      </c>
      <c r="S653" s="2">
        <v>30</v>
      </c>
      <c r="T653" s="2">
        <v>47</v>
      </c>
      <c r="U653" s="2">
        <f t="shared" si="52"/>
        <v>119</v>
      </c>
      <c r="V653" s="2">
        <v>1321</v>
      </c>
      <c r="W653" s="2">
        <v>7091</v>
      </c>
      <c r="X653" s="2">
        <f t="shared" si="53"/>
        <v>7091</v>
      </c>
      <c r="Y653" s="2">
        <v>2584</v>
      </c>
      <c r="Z653" t="str" cm="1">
        <f t="array" ref="Z653">_xlfn.IFS(OR(R653&gt;66, S653&gt;38), "High Engagement", OR(AND(R653&gt;32, R653&lt;=66), AND(S653&gt;19, S653&lt;=38)), "Medium-High Engagement", OR(AND(R653&gt;4, R653&lt;=32), AND(S653&gt;6, S653&lt;=19)),"Medium Engagement", TRUE, "Low Engagement"
)</f>
        <v>Medium-High Engagement</v>
      </c>
      <c r="AA653">
        <f t="shared" si="54"/>
        <v>0.36440558454378791</v>
      </c>
    </row>
    <row r="654" spans="1:27" x14ac:dyDescent="0.35">
      <c r="A654" s="2">
        <v>6775888955</v>
      </c>
      <c r="B654" s="2" t="s">
        <v>76</v>
      </c>
      <c r="C654" s="2">
        <f>VLOOKUP(user_activity!A577,users_details!$A$1:$G$34,5,0)</f>
        <v>38</v>
      </c>
      <c r="D654" s="2" t="str" cm="1">
        <f t="array" ref="D654">_xlfn.IFS( AND(C654&gt;=18, C654&lt;=25), "Emerging Adults",  AND(C654&gt;=26, C654&lt;=35),  "Young Adults",  AND(C654&gt;=36, C654&lt;=45),  "Midlife Adults",  AND(C654&gt;=46, C654&lt;=55), "Mature Adults", C654&gt;=56,  "Older Adults", TRUE, "Age Not Mentioned")</f>
        <v>Midlife Adults</v>
      </c>
      <c r="E654" s="2" t="str">
        <f>VLOOKUP(user_activity!A577,users_details!$A$1:$G$34,6,0)</f>
        <v>East Harlem, Manhattan</v>
      </c>
      <c r="F654" s="2" t="str">
        <f>VLOOKUP(user_activity!A577,users_details!$A$1:$G$34,7,0)</f>
        <v>East Harlem</v>
      </c>
      <c r="G654" s="2" t="s">
        <v>72</v>
      </c>
      <c r="H654" s="7">
        <v>42556</v>
      </c>
      <c r="I654" s="9" t="str">
        <f t="shared" si="50"/>
        <v>Tuesday</v>
      </c>
      <c r="J654" s="9" t="str">
        <f t="shared" si="51"/>
        <v>July</v>
      </c>
      <c r="K654" s="2">
        <v>1.4099999670000001</v>
      </c>
      <c r="L654" s="2">
        <v>1.4099999670000001</v>
      </c>
      <c r="M654" s="2">
        <v>0</v>
      </c>
      <c r="N654" s="2">
        <v>0.12999999500000001</v>
      </c>
      <c r="O654" s="2">
        <v>0.23999999499999999</v>
      </c>
      <c r="P654" s="2">
        <v>1.0499999520000001</v>
      </c>
      <c r="Q654" s="2">
        <v>0</v>
      </c>
      <c r="R654" s="2">
        <v>2</v>
      </c>
      <c r="S654" s="2">
        <v>5</v>
      </c>
      <c r="T654" s="2">
        <v>49</v>
      </c>
      <c r="U654" s="2">
        <f t="shared" si="52"/>
        <v>56</v>
      </c>
      <c r="V654" s="2">
        <v>551</v>
      </c>
      <c r="W654" s="2">
        <v>1967</v>
      </c>
      <c r="X654" s="2">
        <f t="shared" si="53"/>
        <v>1967</v>
      </c>
      <c r="Y654" s="2">
        <v>1032</v>
      </c>
      <c r="Z654" t="str" cm="1">
        <f t="array" ref="Z654">_xlfn.IFS(OR(R654&gt;66, S654&gt;38), "High Engagement", OR(AND(R654&gt;32, R654&lt;=66), AND(S654&gt;19, S654&lt;=38)), "Medium-High Engagement", OR(AND(R654&gt;4, R654&lt;=32), AND(S654&gt;6, S654&lt;=19)),"Medium Engagement", TRUE, "Low Engagement"
)</f>
        <v>Low Engagement</v>
      </c>
      <c r="AA654">
        <f t="shared" si="54"/>
        <v>0.52465683782409767</v>
      </c>
    </row>
    <row r="655" spans="1:27" x14ac:dyDescent="0.35">
      <c r="A655" s="2">
        <v>6775888955</v>
      </c>
      <c r="B655" s="2" t="s">
        <v>76</v>
      </c>
      <c r="C655" s="2">
        <f>VLOOKUP(user_activity!A620,users_details!$A$1:$G$34,5,0)</f>
        <v>41</v>
      </c>
      <c r="D655" s="2" t="str" cm="1">
        <f t="array" ref="D655">_xlfn.IFS( AND(C655&gt;=18, C655&lt;=25), "Emerging Adults",  AND(C655&gt;=26, C655&lt;=35),  "Young Adults",  AND(C655&gt;=36, C655&lt;=45),  "Midlife Adults",  AND(C655&gt;=46, C655&lt;=55), "Mature Adults", C655&gt;=56,  "Older Adults", TRUE, "Age Not Mentioned")</f>
        <v>Midlife Adults</v>
      </c>
      <c r="E655" s="2" t="str">
        <f>VLOOKUP(user_activity!A620,users_details!$A$1:$G$34,6,0)</f>
        <v>East Harlem, Manhattan</v>
      </c>
      <c r="F655" s="2" t="str">
        <f>VLOOKUP(user_activity!A620,users_details!$A$1:$G$34,7,0)</f>
        <v>East Harlem</v>
      </c>
      <c r="G655" s="2" t="s">
        <v>72</v>
      </c>
      <c r="H655" s="7">
        <v>42476</v>
      </c>
      <c r="I655" s="9" t="str">
        <f t="shared" si="50"/>
        <v>Saturday</v>
      </c>
      <c r="J655" s="9" t="str">
        <f t="shared" si="51"/>
        <v>April</v>
      </c>
      <c r="K655" s="2">
        <v>3.3900001049999999</v>
      </c>
      <c r="L655" s="2">
        <v>3.3900001049999999</v>
      </c>
      <c r="M655" s="2">
        <v>0</v>
      </c>
      <c r="N655" s="2">
        <v>2.5199999809999998</v>
      </c>
      <c r="O655" s="2">
        <v>0.810000002</v>
      </c>
      <c r="P655" s="2">
        <v>5.9999998999999998E-2</v>
      </c>
      <c r="Q655" s="2">
        <v>0</v>
      </c>
      <c r="R655" s="2">
        <v>36</v>
      </c>
      <c r="S655" s="2">
        <v>18</v>
      </c>
      <c r="T655" s="2">
        <v>9</v>
      </c>
      <c r="U655" s="2">
        <f t="shared" si="52"/>
        <v>63</v>
      </c>
      <c r="V655" s="2">
        <v>1377</v>
      </c>
      <c r="W655" s="2">
        <v>4732</v>
      </c>
      <c r="X655" s="2">
        <f t="shared" si="53"/>
        <v>4732</v>
      </c>
      <c r="Y655" s="2">
        <v>2225</v>
      </c>
      <c r="Z655" t="str" cm="1">
        <f t="array" ref="Z655">_xlfn.IFS(OR(R655&gt;66, S655&gt;38), "High Engagement", OR(AND(R655&gt;32, R655&lt;=66), AND(S655&gt;19, S655&lt;=38)), "Medium-High Engagement", OR(AND(R655&gt;4, R655&lt;=32), AND(S655&gt;6, S655&lt;=19)),"Medium Engagement", TRUE, "Low Engagement"
)</f>
        <v>Medium-High Engagement</v>
      </c>
      <c r="AA655">
        <f t="shared" si="54"/>
        <v>0.47020287404902789</v>
      </c>
    </row>
    <row r="656" spans="1:27" x14ac:dyDescent="0.35">
      <c r="A656" s="2">
        <v>6775888955</v>
      </c>
      <c r="B656" s="2" t="s">
        <v>76</v>
      </c>
      <c r="C656" s="2">
        <f>VLOOKUP(user_activity!A623,users_details!$A$1:$G$34,5,0)</f>
        <v>41</v>
      </c>
      <c r="D656" s="2" t="str" cm="1">
        <f t="array" ref="D656">_xlfn.IFS( AND(C656&gt;=18, C656&lt;=25), "Emerging Adults",  AND(C656&gt;=26, C656&lt;=35),  "Young Adults",  AND(C656&gt;=36, C656&lt;=45),  "Midlife Adults",  AND(C656&gt;=46, C656&lt;=55), "Mature Adults", C656&gt;=56,  "Older Adults", TRUE, "Age Not Mentioned")</f>
        <v>Midlife Adults</v>
      </c>
      <c r="E656" s="2" t="str">
        <f>VLOOKUP(user_activity!A623,users_details!$A$1:$G$34,6,0)</f>
        <v>East Harlem, Manhattan</v>
      </c>
      <c r="F656" s="2" t="str">
        <f>VLOOKUP(user_activity!A623,users_details!$A$1:$G$34,7,0)</f>
        <v>East Harlem</v>
      </c>
      <c r="G656" s="2" t="s">
        <v>72</v>
      </c>
      <c r="H656" s="7">
        <v>42474</v>
      </c>
      <c r="I656" s="9" t="str">
        <f t="shared" si="50"/>
        <v>Thursday</v>
      </c>
      <c r="J656" s="9" t="str">
        <f t="shared" si="51"/>
        <v>April</v>
      </c>
      <c r="K656" s="2">
        <v>3.7000000480000002</v>
      </c>
      <c r="L656" s="2">
        <v>3.7000000480000002</v>
      </c>
      <c r="M656" s="2">
        <v>0</v>
      </c>
      <c r="N656" s="2">
        <v>0.87000000499999997</v>
      </c>
      <c r="O656" s="2">
        <v>0.86000001400000003</v>
      </c>
      <c r="P656" s="2">
        <v>1.9700000289999999</v>
      </c>
      <c r="Q656" s="2">
        <v>0</v>
      </c>
      <c r="R656" s="2">
        <v>14</v>
      </c>
      <c r="S656" s="2">
        <v>24</v>
      </c>
      <c r="T656" s="2">
        <v>105</v>
      </c>
      <c r="U656" s="2">
        <f t="shared" si="52"/>
        <v>143</v>
      </c>
      <c r="V656" s="2">
        <v>863</v>
      </c>
      <c r="W656" s="2">
        <v>5162</v>
      </c>
      <c r="X656" s="2">
        <f t="shared" si="53"/>
        <v>5162</v>
      </c>
      <c r="Y656" s="2">
        <v>2507</v>
      </c>
      <c r="Z656" t="str" cm="1">
        <f t="array" ref="Z656">_xlfn.IFS(OR(R656&gt;66, S656&gt;38), "High Engagement", OR(AND(R656&gt;32, R656&lt;=66), AND(S656&gt;19, S656&lt;=38)), "Medium-High Engagement", OR(AND(R656&gt;4, R656&lt;=32), AND(S656&gt;6, S656&lt;=19)),"Medium Engagement", TRUE, "Low Engagement"
)</f>
        <v>Medium-High Engagement</v>
      </c>
      <c r="AA656">
        <f t="shared" si="54"/>
        <v>0.48566447113521893</v>
      </c>
    </row>
    <row r="657" spans="1:27" x14ac:dyDescent="0.35">
      <c r="A657" s="2">
        <v>6775888955</v>
      </c>
      <c r="B657" s="2" t="s">
        <v>76</v>
      </c>
      <c r="C657" s="2">
        <f>VLOOKUP(user_activity!A651,users_details!$A$1:$G$34,5,0)</f>
        <v>45</v>
      </c>
      <c r="D657" s="2" t="str" cm="1">
        <f t="array" ref="D657">_xlfn.IFS( AND(C657&gt;=18, C657&lt;=25), "Emerging Adults",  AND(C657&gt;=26, C657&lt;=35),  "Young Adults",  AND(C657&gt;=36, C657&lt;=45),  "Midlife Adults",  AND(C657&gt;=46, C657&lt;=55), "Mature Adults", C657&gt;=56,  "Older Adults", TRUE, "Age Not Mentioned")</f>
        <v>Midlife Adults</v>
      </c>
      <c r="E657" s="2" t="str">
        <f>VLOOKUP(user_activity!A651,users_details!$A$1:$G$34,6,0)</f>
        <v>Harlem, Manhattan</v>
      </c>
      <c r="F657" s="2" t="str">
        <f>VLOOKUP(user_activity!A651,users_details!$A$1:$G$34,7,0)</f>
        <v>Harlem</v>
      </c>
      <c r="G657" s="2" t="s">
        <v>72</v>
      </c>
      <c r="H657" s="7">
        <v>42483</v>
      </c>
      <c r="I657" s="9" t="str">
        <f t="shared" si="50"/>
        <v>Saturday</v>
      </c>
      <c r="J657" s="9" t="str">
        <f t="shared" si="51"/>
        <v>April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f t="shared" si="52"/>
        <v>0</v>
      </c>
      <c r="V657" s="2">
        <v>1440</v>
      </c>
      <c r="W657" s="2">
        <v>0</v>
      </c>
      <c r="X657" s="2">
        <f t="shared" si="53"/>
        <v>7405.5</v>
      </c>
      <c r="Y657" s="2">
        <v>1841</v>
      </c>
      <c r="Z657" t="str" cm="1">
        <f t="array" ref="Z657">_xlfn.IFS(OR(R657&gt;66, S657&gt;38), "High Engagement", OR(AND(R657&gt;32, R657&lt;=66), AND(S657&gt;19, S657&lt;=38)), "Medium-High Engagement", OR(AND(R657&gt;4, R657&lt;=32), AND(S657&gt;6, S657&lt;=19)),"Medium Engagement", TRUE, "Low Engagement"
)</f>
        <v>Low Engagement</v>
      </c>
      <c r="AA657">
        <f t="shared" si="54"/>
        <v>0</v>
      </c>
    </row>
    <row r="658" spans="1:27" x14ac:dyDescent="0.35">
      <c r="A658" s="2">
        <v>6775888955</v>
      </c>
      <c r="B658" s="2" t="s">
        <v>76</v>
      </c>
      <c r="C658" s="2">
        <f>VLOOKUP(user_activity!A652,users_details!$A$1:$G$34,5,0)</f>
        <v>45</v>
      </c>
      <c r="D658" s="2" t="str" cm="1">
        <f t="array" ref="D658">_xlfn.IFS( AND(C658&gt;=18, C658&lt;=25), "Emerging Adults",  AND(C658&gt;=26, C658&lt;=35),  "Young Adults",  AND(C658&gt;=36, C658&lt;=45),  "Midlife Adults",  AND(C658&gt;=46, C658&lt;=55), "Mature Adults", C658&gt;=56,  "Older Adults", TRUE, "Age Not Mentioned")</f>
        <v>Midlife Adults</v>
      </c>
      <c r="E658" s="2" t="str">
        <f>VLOOKUP(user_activity!A652,users_details!$A$1:$G$34,6,0)</f>
        <v>Harlem, Manhattan</v>
      </c>
      <c r="F658" s="2" t="str">
        <f>VLOOKUP(user_activity!A652,users_details!$A$1:$G$34,7,0)</f>
        <v>Harlem</v>
      </c>
      <c r="G658" s="2" t="s">
        <v>72</v>
      </c>
      <c r="H658" s="7">
        <v>42434</v>
      </c>
      <c r="I658" s="9" t="str">
        <f t="shared" si="50"/>
        <v>Saturday</v>
      </c>
      <c r="J658" s="9" t="str">
        <f t="shared" si="51"/>
        <v>March</v>
      </c>
      <c r="K658" s="2">
        <v>0.01</v>
      </c>
      <c r="L658" s="2">
        <v>0.01</v>
      </c>
      <c r="M658" s="2">
        <v>0</v>
      </c>
      <c r="N658" s="2">
        <v>0</v>
      </c>
      <c r="O658" s="2">
        <v>0</v>
      </c>
      <c r="P658" s="2">
        <v>0.01</v>
      </c>
      <c r="Q658" s="2">
        <v>0</v>
      </c>
      <c r="R658" s="2">
        <v>0</v>
      </c>
      <c r="S658" s="2">
        <v>0</v>
      </c>
      <c r="T658" s="2">
        <v>1</v>
      </c>
      <c r="U658" s="2">
        <f t="shared" si="52"/>
        <v>1</v>
      </c>
      <c r="V658" s="2">
        <v>1439</v>
      </c>
      <c r="W658" s="2">
        <v>9</v>
      </c>
      <c r="X658" s="2">
        <f t="shared" si="53"/>
        <v>9</v>
      </c>
      <c r="Y658" s="2">
        <v>1843</v>
      </c>
      <c r="Z658" t="str" cm="1">
        <f t="array" ref="Z658">_xlfn.IFS(OR(R658&gt;66, S658&gt;38), "High Engagement", OR(AND(R658&gt;32, R658&lt;=66), AND(S658&gt;19, S658&lt;=38)), "Medium-High Engagement", OR(AND(R658&gt;4, R658&lt;=32), AND(S658&gt;6, S658&lt;=19)),"Medium Engagement", TRUE, "Low Engagement"
)</f>
        <v>Low Engagement</v>
      </c>
      <c r="AA658">
        <f t="shared" si="54"/>
        <v>204.77777777777777</v>
      </c>
    </row>
    <row r="659" spans="1:27" x14ac:dyDescent="0.35">
      <c r="A659" s="2">
        <v>6775888955</v>
      </c>
      <c r="B659" s="2" t="s">
        <v>76</v>
      </c>
      <c r="C659" s="2">
        <f>VLOOKUP(user_activity!A669,users_details!$A$1:$G$34,5,0)</f>
        <v>49</v>
      </c>
      <c r="D659" s="2" t="str" cm="1">
        <f t="array" ref="D659">_xlfn.IFS( AND(C659&gt;=18, C659&lt;=25), "Emerging Adults",  AND(C659&gt;=26, C659&lt;=35),  "Young Adults",  AND(C659&gt;=36, C659&lt;=45),  "Midlife Adults",  AND(C659&gt;=46, C659&lt;=55), "Mature Adults", C659&gt;=56,  "Older Adults", TRUE, "Age Not Mentioned")</f>
        <v>Mature Adults</v>
      </c>
      <c r="E659" s="2" t="str">
        <f>VLOOKUP(user_activity!A669,users_details!$A$1:$G$34,6,0)</f>
        <v>Upper West Side, Manhattan</v>
      </c>
      <c r="F659" s="2" t="str">
        <f>VLOOKUP(user_activity!A669,users_details!$A$1:$G$34,7,0)</f>
        <v>Upper West Side</v>
      </c>
      <c r="G659" s="2" t="s">
        <v>72</v>
      </c>
      <c r="H659" s="7">
        <v>42477</v>
      </c>
      <c r="I659" s="9" t="str">
        <f t="shared" si="50"/>
        <v>Sunday</v>
      </c>
      <c r="J659" s="9" t="str">
        <f t="shared" si="51"/>
        <v>April</v>
      </c>
      <c r="K659" s="2">
        <v>1.789999962</v>
      </c>
      <c r="L659" s="2">
        <v>1.789999962</v>
      </c>
      <c r="M659" s="2">
        <v>0</v>
      </c>
      <c r="N659" s="2">
        <v>0.34999999399999998</v>
      </c>
      <c r="O659" s="2">
        <v>1.1299999949999999</v>
      </c>
      <c r="P659" s="2">
        <v>0.310000002</v>
      </c>
      <c r="Q659" s="2">
        <v>0</v>
      </c>
      <c r="R659" s="2">
        <v>5</v>
      </c>
      <c r="S659" s="2">
        <v>24</v>
      </c>
      <c r="T659" s="2">
        <v>19</v>
      </c>
      <c r="U659" s="2">
        <f t="shared" si="52"/>
        <v>48</v>
      </c>
      <c r="V659" s="2">
        <v>1392</v>
      </c>
      <c r="W659" s="2">
        <v>2497</v>
      </c>
      <c r="X659" s="2">
        <f t="shared" si="53"/>
        <v>2497</v>
      </c>
      <c r="Y659" s="2">
        <v>2067</v>
      </c>
      <c r="Z659" t="str" cm="1">
        <f t="array" ref="Z659">_xlfn.IFS(OR(R659&gt;66, S659&gt;38), "High Engagement", OR(AND(R659&gt;32, R659&lt;=66), AND(S659&gt;19, S659&lt;=38)), "Medium-High Engagement", OR(AND(R659&gt;4, R659&lt;=32), AND(S659&gt;6, S659&lt;=19)),"Medium Engagement", TRUE, "Low Engagement"
)</f>
        <v>Medium-High Engagement</v>
      </c>
      <c r="AA659">
        <f t="shared" si="54"/>
        <v>0.82779335202242688</v>
      </c>
    </row>
    <row r="660" spans="1:27" x14ac:dyDescent="0.35">
      <c r="A660" s="2">
        <v>6775888955</v>
      </c>
      <c r="B660" s="2" t="s">
        <v>76</v>
      </c>
      <c r="C660" s="2">
        <f>VLOOKUP(user_activity!A720,users_details!$A$1:$G$34,5,0)</f>
        <v>53</v>
      </c>
      <c r="D660" s="2" t="str" cm="1">
        <f t="array" ref="D660">_xlfn.IFS( AND(C660&gt;=18, C660&lt;=25), "Emerging Adults",  AND(C660&gt;=26, C660&lt;=35),  "Young Adults",  AND(C660&gt;=36, C660&lt;=45),  "Midlife Adults",  AND(C660&gt;=46, C660&lt;=55), "Mature Adults", C660&gt;=56,  "Older Adults", TRUE, "Age Not Mentioned")</f>
        <v>Mature Adults</v>
      </c>
      <c r="E660" s="2" t="str">
        <f>VLOOKUP(user_activity!A720,users_details!$A$1:$G$34,6,0)</f>
        <v>Harlem, Manhattan</v>
      </c>
      <c r="F660" s="2" t="str">
        <f>VLOOKUP(user_activity!A720,users_details!$A$1:$G$34,7,0)</f>
        <v>Harlem</v>
      </c>
      <c r="G660" s="2" t="s">
        <v>72</v>
      </c>
      <c r="H660" s="7">
        <v>42489</v>
      </c>
      <c r="I660" s="9" t="str">
        <f t="shared" si="50"/>
        <v>Friday</v>
      </c>
      <c r="J660" s="9" t="str">
        <f t="shared" si="51"/>
        <v>April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f t="shared" si="52"/>
        <v>0</v>
      </c>
      <c r="V660" s="2">
        <v>1440</v>
      </c>
      <c r="W660" s="2">
        <v>0</v>
      </c>
      <c r="X660" s="2">
        <f t="shared" si="53"/>
        <v>7405.5</v>
      </c>
      <c r="Y660" s="2">
        <v>1841</v>
      </c>
      <c r="Z660" t="str" cm="1">
        <f t="array" ref="Z660">_xlfn.IFS(OR(R660&gt;66, S660&gt;38), "High Engagement", OR(AND(R660&gt;32, R660&lt;=66), AND(S660&gt;19, S660&lt;=38)), "Medium-High Engagement", OR(AND(R660&gt;4, R660&lt;=32), AND(S660&gt;6, S660&lt;=19)),"Medium Engagement", TRUE, "Low Engagement"
)</f>
        <v>Low Engagement</v>
      </c>
      <c r="AA660">
        <f t="shared" si="54"/>
        <v>0</v>
      </c>
    </row>
    <row r="661" spans="1:27" x14ac:dyDescent="0.35">
      <c r="A661" s="2">
        <v>6775888955</v>
      </c>
      <c r="B661" s="2" t="s">
        <v>76</v>
      </c>
      <c r="C661" s="2">
        <f>VLOOKUP(user_activity!A726,users_details!$A$1:$G$34,5,0)</f>
        <v>53</v>
      </c>
      <c r="D661" s="2" t="str" cm="1">
        <f t="array" ref="D661">_xlfn.IFS( AND(C661&gt;=18, C661&lt;=25), "Emerging Adults",  AND(C661&gt;=26, C661&lt;=35),  "Young Adults",  AND(C661&gt;=36, C661&lt;=45),  "Midlife Adults",  AND(C661&gt;=46, C661&lt;=55), "Mature Adults", C661&gt;=56,  "Older Adults", TRUE, "Age Not Mentioned")</f>
        <v>Mature Adults</v>
      </c>
      <c r="E661" s="2" t="str">
        <f>VLOOKUP(user_activity!A726,users_details!$A$1:$G$34,6,0)</f>
        <v>Williamsburg, Brooklyn</v>
      </c>
      <c r="F661" s="2" t="str">
        <f>VLOOKUP(user_activity!A726,users_details!$A$1:$G$34,7,0)</f>
        <v>Williamsburg</v>
      </c>
      <c r="G661" s="2" t="s">
        <v>72</v>
      </c>
      <c r="H661" s="7">
        <v>42465</v>
      </c>
      <c r="I661" s="9" t="str">
        <f t="shared" si="50"/>
        <v>Tuesday</v>
      </c>
      <c r="J661" s="9" t="str">
        <f t="shared" si="51"/>
        <v>April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f t="shared" si="52"/>
        <v>0</v>
      </c>
      <c r="V661" s="2">
        <v>1440</v>
      </c>
      <c r="W661" s="2">
        <v>0</v>
      </c>
      <c r="X661" s="2">
        <f t="shared" si="53"/>
        <v>7405.5</v>
      </c>
      <c r="Y661" s="2">
        <v>1841</v>
      </c>
      <c r="Z661" t="str" cm="1">
        <f t="array" ref="Z661">_xlfn.IFS(OR(R661&gt;66, S661&gt;38), "High Engagement", OR(AND(R661&gt;32, R661&lt;=66), AND(S661&gt;19, S661&lt;=38)), "Medium-High Engagement", OR(AND(R661&gt;4, R661&lt;=32), AND(S661&gt;6, S661&lt;=19)),"Medium Engagement", TRUE, "Low Engagement"
)</f>
        <v>Low Engagement</v>
      </c>
      <c r="AA661">
        <f t="shared" si="54"/>
        <v>0</v>
      </c>
    </row>
    <row r="662" spans="1:27" x14ac:dyDescent="0.35">
      <c r="A662" s="2">
        <v>6775888955</v>
      </c>
      <c r="B662" s="2" t="s">
        <v>76</v>
      </c>
      <c r="C662" s="2">
        <f>VLOOKUP(user_activity!A764,users_details!$A$1:$G$34,5,0)</f>
        <v>53</v>
      </c>
      <c r="D662" s="2" t="str" cm="1">
        <f t="array" ref="D662">_xlfn.IFS( AND(C662&gt;=18, C662&lt;=25), "Emerging Adults",  AND(C662&gt;=26, C662&lt;=35),  "Young Adults",  AND(C662&gt;=36, C662&lt;=45),  "Midlife Adults",  AND(C662&gt;=46, C662&lt;=55), "Mature Adults", C662&gt;=56,  "Older Adults", TRUE, "Age Not Mentioned")</f>
        <v>Mature Adults</v>
      </c>
      <c r="E662" s="2" t="str">
        <f>VLOOKUP(user_activity!A764,users_details!$A$1:$G$34,6,0)</f>
        <v>Williamsburg, Brooklyn</v>
      </c>
      <c r="F662" s="2" t="str">
        <f>VLOOKUP(user_activity!A764,users_details!$A$1:$G$34,7,0)</f>
        <v>Williamsburg</v>
      </c>
      <c r="G662" s="2" t="s">
        <v>72</v>
      </c>
      <c r="H662" s="7">
        <v>42708</v>
      </c>
      <c r="I662" s="9" t="str">
        <f t="shared" si="50"/>
        <v>Sunday</v>
      </c>
      <c r="J662" s="9" t="str">
        <f t="shared" si="51"/>
        <v>December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f t="shared" si="52"/>
        <v>0</v>
      </c>
      <c r="V662" s="2">
        <v>1440</v>
      </c>
      <c r="W662" s="2">
        <v>0</v>
      </c>
      <c r="X662" s="2">
        <f t="shared" si="53"/>
        <v>7405.5</v>
      </c>
      <c r="Y662" s="2">
        <v>1841</v>
      </c>
      <c r="Z662" t="str" cm="1">
        <f t="array" ref="Z662">_xlfn.IFS(OR(R662&gt;66, S662&gt;38), "High Engagement", OR(AND(R662&gt;32, R662&lt;=66), AND(S662&gt;19, S662&lt;=38)), "Medium-High Engagement", OR(AND(R662&gt;4, R662&lt;=32), AND(S662&gt;6, S662&lt;=19)),"Medium Engagement", TRUE, "Low Engagement"
)</f>
        <v>Low Engagement</v>
      </c>
      <c r="AA662">
        <f t="shared" si="54"/>
        <v>0</v>
      </c>
    </row>
    <row r="663" spans="1:27" x14ac:dyDescent="0.35">
      <c r="A663" s="2">
        <v>6775888955</v>
      </c>
      <c r="B663" s="2" t="s">
        <v>76</v>
      </c>
      <c r="C663" s="2">
        <f>VLOOKUP(user_activity!A812,users_details!$A$1:$G$34,5,0)</f>
        <v>54</v>
      </c>
      <c r="D663" s="2" t="str" cm="1">
        <f t="array" ref="D663">_xlfn.IFS( AND(C663&gt;=18, C663&lt;=25), "Emerging Adults",  AND(C663&gt;=26, C663&lt;=35),  "Young Adults",  AND(C663&gt;=36, C663&lt;=45),  "Midlife Adults",  AND(C663&gt;=46, C663&lt;=55), "Mature Adults", C663&gt;=56,  "Older Adults", TRUE, "Age Not Mentioned")</f>
        <v>Mature Adults</v>
      </c>
      <c r="E663" s="2" t="str">
        <f>VLOOKUP(user_activity!A812,users_details!$A$1:$G$34,6,0)</f>
        <v>Crown Heights, Brooklyn</v>
      </c>
      <c r="F663" s="2" t="str">
        <f>VLOOKUP(user_activity!A812,users_details!$A$1:$G$34,7,0)</f>
        <v>Crown Heights</v>
      </c>
      <c r="G663" s="2" t="s">
        <v>72</v>
      </c>
      <c r="H663" s="7">
        <v>42405</v>
      </c>
      <c r="I663" s="9" t="str">
        <f t="shared" si="50"/>
        <v>Friday</v>
      </c>
      <c r="J663" s="9" t="str">
        <f t="shared" si="51"/>
        <v>February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f t="shared" si="52"/>
        <v>0</v>
      </c>
      <c r="V663" s="2">
        <v>1440</v>
      </c>
      <c r="W663" s="2">
        <v>0</v>
      </c>
      <c r="X663" s="2">
        <f t="shared" si="53"/>
        <v>7405.5</v>
      </c>
      <c r="Y663" s="2">
        <v>1841</v>
      </c>
      <c r="Z663" t="str" cm="1">
        <f t="array" ref="Z663">_xlfn.IFS(OR(R663&gt;66, S663&gt;38), "High Engagement", OR(AND(R663&gt;32, R663&lt;=66), AND(S663&gt;19, S663&lt;=38)), "Medium-High Engagement", OR(AND(R663&gt;4, R663&lt;=32), AND(S663&gt;6, S663&lt;=19)),"Medium Engagement", TRUE, "Low Engagement"
)</f>
        <v>Low Engagement</v>
      </c>
      <c r="AA663">
        <f t="shared" si="54"/>
        <v>0</v>
      </c>
    </row>
    <row r="664" spans="1:27" x14ac:dyDescent="0.35">
      <c r="A664" s="2">
        <v>6775888955</v>
      </c>
      <c r="B664" s="2" t="s">
        <v>76</v>
      </c>
      <c r="C664" s="2">
        <f>VLOOKUP(user_activity!A921,users_details!$A$1:$G$34,5,0)</f>
        <v>60</v>
      </c>
      <c r="D664" s="2" t="str" cm="1">
        <f t="array" ref="D664">_xlfn.IFS( AND(C664&gt;=18, C664&lt;=25), "Emerging Adults",  AND(C664&gt;=26, C664&lt;=35),  "Young Adults",  AND(C664&gt;=36, C664&lt;=45),  "Midlife Adults",  AND(C664&gt;=46, C664&lt;=55), "Mature Adults", C664&gt;=56,  "Older Adults", TRUE, "Age Not Mentioned")</f>
        <v>Older Adults</v>
      </c>
      <c r="E664" s="2" t="str">
        <f>VLOOKUP(user_activity!A921,users_details!$A$1:$G$34,6,0)</f>
        <v>East Village, Manhattan</v>
      </c>
      <c r="F664" s="2" t="str">
        <f>VLOOKUP(user_activity!A921,users_details!$A$1:$G$34,7,0)</f>
        <v>East Village</v>
      </c>
      <c r="G664" s="2" t="s">
        <v>72</v>
      </c>
      <c r="H664" s="7">
        <v>42479</v>
      </c>
      <c r="I664" s="9" t="str">
        <f t="shared" si="50"/>
        <v>Tuesday</v>
      </c>
      <c r="J664" s="9" t="str">
        <f t="shared" si="51"/>
        <v>April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f t="shared" si="52"/>
        <v>0</v>
      </c>
      <c r="V664" s="2">
        <v>1440</v>
      </c>
      <c r="W664" s="2">
        <v>0</v>
      </c>
      <c r="X664" s="2">
        <f t="shared" si="53"/>
        <v>7405.5</v>
      </c>
      <c r="Y664" s="2">
        <v>1841</v>
      </c>
      <c r="Z664" t="str" cm="1">
        <f t="array" ref="Z664">_xlfn.IFS(OR(R664&gt;66, S664&gt;38), "High Engagement", OR(AND(R664&gt;32, R664&lt;=66), AND(S664&gt;19, S664&lt;=38)), "Medium-High Engagement", OR(AND(R664&gt;4, R664&lt;=32), AND(S664&gt;6, S664&lt;=19)),"Medium Engagement", TRUE, "Low Engagement"
)</f>
        <v>Low Engagement</v>
      </c>
      <c r="AA664">
        <f t="shared" si="54"/>
        <v>0</v>
      </c>
    </row>
    <row r="665" spans="1:27" x14ac:dyDescent="0.35">
      <c r="A665" s="2">
        <v>6775888955</v>
      </c>
      <c r="B665" s="2" t="s">
        <v>76</v>
      </c>
      <c r="C665" s="2">
        <f>VLOOKUP(user_activity!A923,users_details!$A$1:$G$34,5,0)</f>
        <v>60</v>
      </c>
      <c r="D665" s="2" t="str" cm="1">
        <f t="array" ref="D665">_xlfn.IFS( AND(C665&gt;=18, C665&lt;=25), "Emerging Adults",  AND(C665&gt;=26, C665&lt;=35),  "Young Adults",  AND(C665&gt;=36, C665&lt;=45),  "Midlife Adults",  AND(C665&gt;=46, C665&lt;=55), "Mature Adults", C665&gt;=56,  "Older Adults", TRUE, "Age Not Mentioned")</f>
        <v>Older Adults</v>
      </c>
      <c r="E665" s="2" t="str">
        <f>VLOOKUP(user_activity!A923,users_details!$A$1:$G$34,6,0)</f>
        <v>East Village, Manhattan</v>
      </c>
      <c r="F665" s="2" t="str">
        <f>VLOOKUP(user_activity!A923,users_details!$A$1:$G$34,7,0)</f>
        <v>East Village</v>
      </c>
      <c r="G665" s="2" t="s">
        <v>72</v>
      </c>
      <c r="H665" s="7">
        <v>42481</v>
      </c>
      <c r="I665" s="9" t="str">
        <f t="shared" si="50"/>
        <v>Thursday</v>
      </c>
      <c r="J665" s="9" t="str">
        <f t="shared" si="51"/>
        <v>April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f t="shared" si="52"/>
        <v>0</v>
      </c>
      <c r="V665" s="2">
        <v>1440</v>
      </c>
      <c r="W665" s="2">
        <v>0</v>
      </c>
      <c r="X665" s="2">
        <f t="shared" si="53"/>
        <v>7405.5</v>
      </c>
      <c r="Y665" s="2">
        <v>1841</v>
      </c>
      <c r="Z665" t="str" cm="1">
        <f t="array" ref="Z665">_xlfn.IFS(OR(R665&gt;66, S665&gt;38), "High Engagement", OR(AND(R665&gt;32, R665&lt;=66), AND(S665&gt;19, S665&lt;=38)), "Medium-High Engagement", OR(AND(R665&gt;4, R665&lt;=32), AND(S665&gt;6, S665&lt;=19)),"Medium Engagement", TRUE, "Low Engagement"
)</f>
        <v>Low Engagement</v>
      </c>
      <c r="AA665">
        <f t="shared" si="54"/>
        <v>0</v>
      </c>
    </row>
    <row r="666" spans="1:27" x14ac:dyDescent="0.35">
      <c r="A666" s="2">
        <v>8053475328</v>
      </c>
      <c r="B666" s="2" t="s">
        <v>101</v>
      </c>
      <c r="C666" s="2">
        <f>VLOOKUP(user_activity!A100,users_details!$A$1:$G$34,5,0)</f>
        <v>22</v>
      </c>
      <c r="D666" s="2" t="str" cm="1">
        <f t="array" ref="D666">_xlfn.IFS( AND(C666&gt;=18, C666&lt;=25), "Emerging Adults",  AND(C666&gt;=26, C666&lt;=35),  "Young Adults",  AND(C666&gt;=36, C666&lt;=45),  "Midlife Adults",  AND(C666&gt;=46, C666&lt;=55), "Mature Adults", C666&gt;=56,  "Older Adults", TRUE, "Age Not Mentioned")</f>
        <v>Emerging Adults</v>
      </c>
      <c r="E666" s="2" t="str">
        <f>VLOOKUP(user_activity!A100,users_details!$A$1:$G$34,6,0)</f>
        <v>Upper East Side, Manhattan</v>
      </c>
      <c r="F666" s="2" t="str">
        <f>VLOOKUP(user_activity!A100,users_details!$A$1:$G$34,7,0)</f>
        <v>Upper East Side</v>
      </c>
      <c r="G666" s="2" t="s">
        <v>72</v>
      </c>
      <c r="H666" s="7">
        <v>42478</v>
      </c>
      <c r="I666" s="9" t="str">
        <f t="shared" si="50"/>
        <v>Monday</v>
      </c>
      <c r="J666" s="9" t="str">
        <f t="shared" si="51"/>
        <v>April</v>
      </c>
      <c r="K666" s="2">
        <v>12.65999985</v>
      </c>
      <c r="L666" s="2">
        <v>12.65999985</v>
      </c>
      <c r="M666" s="2">
        <v>0</v>
      </c>
      <c r="N666" s="2">
        <v>9.0799999239999991</v>
      </c>
      <c r="O666" s="2">
        <v>0.23000000400000001</v>
      </c>
      <c r="P666" s="2">
        <v>3.3499999049999998</v>
      </c>
      <c r="Q666" s="2">
        <v>0</v>
      </c>
      <c r="R666" s="2">
        <v>102</v>
      </c>
      <c r="S666" s="2">
        <v>6</v>
      </c>
      <c r="T666" s="2">
        <v>195</v>
      </c>
      <c r="U666" s="2">
        <f t="shared" si="52"/>
        <v>303</v>
      </c>
      <c r="V666" s="2">
        <v>1137</v>
      </c>
      <c r="W666" s="2">
        <v>17076</v>
      </c>
      <c r="X666" s="2">
        <f t="shared" si="53"/>
        <v>17076</v>
      </c>
      <c r="Y666" s="2">
        <v>3133</v>
      </c>
      <c r="Z666" t="str" cm="1">
        <f t="array" ref="Z666">_xlfn.IFS(OR(R666&gt;66, S666&gt;38), "High Engagement", OR(AND(R666&gt;32, R666&lt;=66), AND(S666&gt;19, S666&lt;=38)), "Medium-High Engagement", OR(AND(R666&gt;4, R666&lt;=32), AND(S666&gt;6, S666&lt;=19)),"Medium Engagement", TRUE, "Low Engagement"
)</f>
        <v>High Engagement</v>
      </c>
      <c r="AA666">
        <f t="shared" si="54"/>
        <v>0.18347388147107052</v>
      </c>
    </row>
    <row r="667" spans="1:27" x14ac:dyDescent="0.35">
      <c r="A667" s="2">
        <v>8053475328</v>
      </c>
      <c r="B667" s="2" t="s">
        <v>101</v>
      </c>
      <c r="C667" s="2">
        <f>VLOOKUP(user_activity!A153,users_details!$A$1:$G$34,5,0)</f>
        <v>23</v>
      </c>
      <c r="D667" s="2" t="str" cm="1">
        <f t="array" ref="D667">_xlfn.IFS( AND(C667&gt;=18, C667&lt;=25), "Emerging Adults",  AND(C667&gt;=26, C667&lt;=35),  "Young Adults",  AND(C667&gt;=36, C667&lt;=45),  "Midlife Adults",  AND(C667&gt;=46, C667&lt;=55), "Mature Adults", C667&gt;=56,  "Older Adults", TRUE, "Age Not Mentioned")</f>
        <v>Emerging Adults</v>
      </c>
      <c r="E667" s="2" t="str">
        <f>VLOOKUP(user_activity!A153,users_details!$A$1:$G$34,6,0)</f>
        <v>Crown Heights, Brooklyn</v>
      </c>
      <c r="F667" s="2" t="str">
        <f>VLOOKUP(user_activity!A153,users_details!$A$1:$G$34,7,0)</f>
        <v>Crown Heights</v>
      </c>
      <c r="G667" s="2" t="s">
        <v>72</v>
      </c>
      <c r="H667" s="7">
        <v>42481</v>
      </c>
      <c r="I667" s="9" t="str">
        <f t="shared" si="50"/>
        <v>Thursday</v>
      </c>
      <c r="J667" s="9" t="str">
        <f t="shared" si="51"/>
        <v>April</v>
      </c>
      <c r="K667" s="2">
        <v>12.510000229999999</v>
      </c>
      <c r="L667" s="2">
        <v>12.510000229999999</v>
      </c>
      <c r="M667" s="2">
        <v>0</v>
      </c>
      <c r="N667" s="2">
        <v>9.6700000760000009</v>
      </c>
      <c r="O667" s="2">
        <v>0.25</v>
      </c>
      <c r="P667" s="2">
        <v>2.579999924</v>
      </c>
      <c r="Q667" s="2">
        <v>0</v>
      </c>
      <c r="R667" s="2">
        <v>100</v>
      </c>
      <c r="S667" s="2">
        <v>6</v>
      </c>
      <c r="T667" s="2">
        <v>170</v>
      </c>
      <c r="U667" s="2">
        <f t="shared" si="52"/>
        <v>276</v>
      </c>
      <c r="V667" s="2">
        <v>1164</v>
      </c>
      <c r="W667" s="2">
        <v>16057</v>
      </c>
      <c r="X667" s="2">
        <f t="shared" si="53"/>
        <v>16057</v>
      </c>
      <c r="Y667" s="2">
        <v>3103</v>
      </c>
      <c r="Z667" t="str" cm="1">
        <f t="array" ref="Z667">_xlfn.IFS(OR(R667&gt;66, S667&gt;38), "High Engagement", OR(AND(R667&gt;32, R667&lt;=66), AND(S667&gt;19, S667&lt;=38)), "Medium-High Engagement", OR(AND(R667&gt;4, R667&lt;=32), AND(S667&gt;6, S667&lt;=19)),"Medium Engagement", TRUE, "Low Engagement"
)</f>
        <v>High Engagement</v>
      </c>
      <c r="AA667">
        <f t="shared" si="54"/>
        <v>0.19324905025845426</v>
      </c>
    </row>
    <row r="668" spans="1:27" x14ac:dyDescent="0.35">
      <c r="A668" s="2">
        <v>8053475328</v>
      </c>
      <c r="B668" s="2" t="s">
        <v>101</v>
      </c>
      <c r="C668" s="2">
        <f>VLOOKUP(user_activity!A207,users_details!$A$1:$G$34,5,0)</f>
        <v>24</v>
      </c>
      <c r="D668" s="2" t="str" cm="1">
        <f t="array" ref="D668">_xlfn.IFS( AND(C668&gt;=18, C668&lt;=25), "Emerging Adults",  AND(C668&gt;=26, C668&lt;=35),  "Young Adults",  AND(C668&gt;=36, C668&lt;=45),  "Midlife Adults",  AND(C668&gt;=46, C668&lt;=55), "Mature Adults", C668&gt;=56,  "Older Adults", TRUE, "Age Not Mentioned")</f>
        <v>Emerging Adults</v>
      </c>
      <c r="E668" s="2" t="str">
        <f>VLOOKUP(user_activity!A207,users_details!$A$1:$G$34,6,0)</f>
        <v>East Village, Manhattan</v>
      </c>
      <c r="F668" s="2" t="str">
        <f>VLOOKUP(user_activity!A207,users_details!$A$1:$G$34,7,0)</f>
        <v>East Village</v>
      </c>
      <c r="G668" s="2" t="s">
        <v>72</v>
      </c>
      <c r="H668" s="7">
        <v>42474</v>
      </c>
      <c r="I668" s="9" t="str">
        <f t="shared" si="50"/>
        <v>Thursday</v>
      </c>
      <c r="J668" s="9" t="str">
        <f t="shared" si="51"/>
        <v>April</v>
      </c>
      <c r="K668" s="2">
        <v>15.97000027</v>
      </c>
      <c r="L668" s="2">
        <v>15.97000027</v>
      </c>
      <c r="M668" s="2">
        <v>0</v>
      </c>
      <c r="N668" s="2">
        <v>12.34000015</v>
      </c>
      <c r="O668" s="2">
        <v>0.209999993</v>
      </c>
      <c r="P668" s="2">
        <v>3.3599998950000001</v>
      </c>
      <c r="Q668" s="2">
        <v>0</v>
      </c>
      <c r="R668" s="2">
        <v>119</v>
      </c>
      <c r="S668" s="2">
        <v>5</v>
      </c>
      <c r="T668" s="2">
        <v>193</v>
      </c>
      <c r="U668" s="2">
        <f t="shared" si="52"/>
        <v>317</v>
      </c>
      <c r="V668" s="2">
        <v>1123</v>
      </c>
      <c r="W668" s="2">
        <v>20159</v>
      </c>
      <c r="X668" s="2">
        <f t="shared" si="53"/>
        <v>20159</v>
      </c>
      <c r="Y668" s="2">
        <v>3411</v>
      </c>
      <c r="Z668" t="str" cm="1">
        <f t="array" ref="Z668">_xlfn.IFS(OR(R668&gt;66, S668&gt;38), "High Engagement", OR(AND(R668&gt;32, R668&lt;=66), AND(S668&gt;19, S668&lt;=38)), "Medium-High Engagement", OR(AND(R668&gt;4, R668&lt;=32), AND(S668&gt;6, S668&lt;=19)),"Medium Engagement", TRUE, "Low Engagement"
)</f>
        <v>High Engagement</v>
      </c>
      <c r="AA668">
        <f t="shared" si="54"/>
        <v>0.16920482166774145</v>
      </c>
    </row>
    <row r="669" spans="1:27" x14ac:dyDescent="0.35">
      <c r="A669" s="2">
        <v>8053475328</v>
      </c>
      <c r="B669" s="2" t="s">
        <v>101</v>
      </c>
      <c r="C669" s="2">
        <f>VLOOKUP(user_activity!A259,users_details!$A$1:$G$34,5,0)</f>
        <v>29</v>
      </c>
      <c r="D669" s="2" t="str" cm="1">
        <f t="array" ref="D669">_xlfn.IFS( AND(C669&gt;=18, C669&lt;=25), "Emerging Adults",  AND(C669&gt;=26, C669&lt;=35),  "Young Adults",  AND(C669&gt;=36, C669&lt;=45),  "Midlife Adults",  AND(C669&gt;=46, C669&lt;=55), "Mature Adults", C669&gt;=56,  "Older Adults", TRUE, "Age Not Mentioned")</f>
        <v>Young Adults</v>
      </c>
      <c r="E669" s="2" t="str">
        <f>VLOOKUP(user_activity!A259,users_details!$A$1:$G$34,6,0)</f>
        <v>Crown Heights, Brooklyn</v>
      </c>
      <c r="F669" s="2" t="str">
        <f>VLOOKUP(user_activity!A259,users_details!$A$1:$G$34,7,0)</f>
        <v>Crown Heights</v>
      </c>
      <c r="G669" s="2" t="s">
        <v>72</v>
      </c>
      <c r="H669" s="7">
        <v>42465</v>
      </c>
      <c r="I669" s="9" t="str">
        <f t="shared" si="50"/>
        <v>Tuesday</v>
      </c>
      <c r="J669" s="9" t="str">
        <f t="shared" si="51"/>
        <v>April</v>
      </c>
      <c r="K669" s="2">
        <v>11.149999619999999</v>
      </c>
      <c r="L669" s="2">
        <v>11.149999619999999</v>
      </c>
      <c r="M669" s="2">
        <v>0</v>
      </c>
      <c r="N669" s="2">
        <v>8.8199996949999999</v>
      </c>
      <c r="O669" s="2">
        <v>0.40000000600000002</v>
      </c>
      <c r="P669" s="2">
        <v>1.9099999670000001</v>
      </c>
      <c r="Q669" s="2">
        <v>0</v>
      </c>
      <c r="R669" s="2">
        <v>89</v>
      </c>
      <c r="S669" s="2">
        <v>8</v>
      </c>
      <c r="T669" s="2">
        <v>123</v>
      </c>
      <c r="U669" s="2">
        <f t="shared" si="52"/>
        <v>220</v>
      </c>
      <c r="V669" s="2">
        <v>1220</v>
      </c>
      <c r="W669" s="2">
        <v>14581</v>
      </c>
      <c r="X669" s="2">
        <f t="shared" si="53"/>
        <v>14581</v>
      </c>
      <c r="Y669" s="2">
        <v>2918</v>
      </c>
      <c r="Z669" t="str" cm="1">
        <f t="array" ref="Z669">_xlfn.IFS(OR(R669&gt;66, S669&gt;38), "High Engagement", OR(AND(R669&gt;32, R669&lt;=66), AND(S669&gt;19, S669&lt;=38)), "Medium-High Engagement", OR(AND(R669&gt;4, R669&lt;=32), AND(S669&gt;6, S669&lt;=19)),"Medium Engagement", TRUE, "Low Engagement"
)</f>
        <v>High Engagement</v>
      </c>
      <c r="AA669">
        <f t="shared" si="54"/>
        <v>0.20012344832316029</v>
      </c>
    </row>
    <row r="670" spans="1:27" x14ac:dyDescent="0.35">
      <c r="A670" s="2">
        <v>8053475328</v>
      </c>
      <c r="B670" s="2" t="s">
        <v>101</v>
      </c>
      <c r="C670" s="2">
        <f>VLOOKUP(user_activity!A299,users_details!$A$1:$G$34,5,0)</f>
        <v>29</v>
      </c>
      <c r="D670" s="2" t="str" cm="1">
        <f t="array" ref="D670">_xlfn.IFS( AND(C670&gt;=18, C670&lt;=25), "Emerging Adults",  AND(C670&gt;=26, C670&lt;=35),  "Young Adults",  AND(C670&gt;=36, C670&lt;=45),  "Midlife Adults",  AND(C670&gt;=46, C670&lt;=55), "Mature Adults", C670&gt;=56,  "Older Adults", TRUE, "Age Not Mentioned")</f>
        <v>Young Adults</v>
      </c>
      <c r="E670" s="2" t="str">
        <f>VLOOKUP(user_activity!A299,users_details!$A$1:$G$34,6,0)</f>
        <v>Crown Heights, Brooklyn</v>
      </c>
      <c r="F670" s="2" t="str">
        <f>VLOOKUP(user_activity!A299,users_details!$A$1:$G$34,7,0)</f>
        <v>Crown Heights</v>
      </c>
      <c r="G670" s="2" t="s">
        <v>72</v>
      </c>
      <c r="H670" s="7">
        <v>42485</v>
      </c>
      <c r="I670" s="9" t="str">
        <f t="shared" si="50"/>
        <v>Monday</v>
      </c>
      <c r="J670" s="9" t="str">
        <f t="shared" si="51"/>
        <v>April</v>
      </c>
      <c r="K670" s="2">
        <v>15.68999958</v>
      </c>
      <c r="L670" s="2">
        <v>15.68999958</v>
      </c>
      <c r="M670" s="2">
        <v>0</v>
      </c>
      <c r="N670" s="2">
        <v>11.369999890000001</v>
      </c>
      <c r="O670" s="2">
        <v>0.46000000800000002</v>
      </c>
      <c r="P670" s="2">
        <v>3.8599998950000001</v>
      </c>
      <c r="Q670" s="2">
        <v>0</v>
      </c>
      <c r="R670" s="2">
        <v>118</v>
      </c>
      <c r="S670" s="2">
        <v>9</v>
      </c>
      <c r="T670" s="2">
        <v>209</v>
      </c>
      <c r="U670" s="2">
        <f t="shared" si="52"/>
        <v>336</v>
      </c>
      <c r="V670" s="2">
        <v>1104</v>
      </c>
      <c r="W670" s="2">
        <v>20500</v>
      </c>
      <c r="X670" s="2">
        <f t="shared" si="53"/>
        <v>20500</v>
      </c>
      <c r="Y670" s="2">
        <v>3403</v>
      </c>
      <c r="Z670" t="str" cm="1">
        <f t="array" ref="Z670">_xlfn.IFS(OR(R670&gt;66, S670&gt;38), "High Engagement", OR(AND(R670&gt;32, R670&lt;=66), AND(S670&gt;19, S670&lt;=38)), "Medium-High Engagement", OR(AND(R670&gt;4, R670&lt;=32), AND(S670&gt;6, S670&lt;=19)),"Medium Engagement", TRUE, "Low Engagement"
)</f>
        <v>High Engagement</v>
      </c>
      <c r="AA670">
        <f t="shared" si="54"/>
        <v>0.16600000000000001</v>
      </c>
    </row>
    <row r="671" spans="1:27" x14ac:dyDescent="0.35">
      <c r="A671" s="2">
        <v>8053475328</v>
      </c>
      <c r="B671" s="2" t="s">
        <v>101</v>
      </c>
      <c r="C671" s="2">
        <f>VLOOKUP(user_activity!A327,users_details!$A$1:$G$34,5,0)</f>
        <v>30</v>
      </c>
      <c r="D671" s="2" t="str" cm="1">
        <f t="array" ref="D671">_xlfn.IFS( AND(C671&gt;=18, C671&lt;=25), "Emerging Adults",  AND(C671&gt;=26, C671&lt;=35),  "Young Adults",  AND(C671&gt;=36, C671&lt;=45),  "Midlife Adults",  AND(C671&gt;=46, C671&lt;=55), "Mature Adults", C671&gt;=56,  "Older Adults", TRUE, "Age Not Mentioned")</f>
        <v>Young Adults</v>
      </c>
      <c r="E671" s="2" t="str">
        <f>VLOOKUP(user_activity!A327,users_details!$A$1:$G$34,6,0)</f>
        <v>Clinton Hill, Brooklyn</v>
      </c>
      <c r="F671" s="2" t="str">
        <f>VLOOKUP(user_activity!A327,users_details!$A$1:$G$34,7,0)</f>
        <v>Clinton Hill</v>
      </c>
      <c r="G671" s="2" t="s">
        <v>72</v>
      </c>
      <c r="H671" s="7">
        <v>42556</v>
      </c>
      <c r="I671" s="9" t="str">
        <f t="shared" si="50"/>
        <v>Tuesday</v>
      </c>
      <c r="J671" s="9" t="str">
        <f t="shared" si="51"/>
        <v>July</v>
      </c>
      <c r="K671" s="2">
        <v>15.670000079999999</v>
      </c>
      <c r="L671" s="2">
        <v>15.670000079999999</v>
      </c>
      <c r="M671" s="2">
        <v>0</v>
      </c>
      <c r="N671" s="2">
        <v>12.43999958</v>
      </c>
      <c r="O671" s="2">
        <v>0.87999999500000003</v>
      </c>
      <c r="P671" s="2">
        <v>2.3499999049999998</v>
      </c>
      <c r="Q671" s="2">
        <v>0</v>
      </c>
      <c r="R671" s="2">
        <v>121</v>
      </c>
      <c r="S671" s="2">
        <v>20</v>
      </c>
      <c r="T671" s="2">
        <v>148</v>
      </c>
      <c r="U671" s="2">
        <f t="shared" si="52"/>
        <v>289</v>
      </c>
      <c r="V671" s="2">
        <v>1076</v>
      </c>
      <c r="W671" s="2">
        <v>19769</v>
      </c>
      <c r="X671" s="2">
        <f t="shared" si="53"/>
        <v>19769</v>
      </c>
      <c r="Y671" s="2">
        <v>3331</v>
      </c>
      <c r="Z671" t="str" cm="1">
        <f t="array" ref="Z671">_xlfn.IFS(OR(R671&gt;66, S671&gt;38), "High Engagement", OR(AND(R671&gt;32, R671&lt;=66), AND(S671&gt;19, S671&lt;=38)), "Medium-High Engagement", OR(AND(R671&gt;4, R671&lt;=32), AND(S671&gt;6, S671&lt;=19)),"Medium Engagement", TRUE, "Low Engagement"
)</f>
        <v>High Engagement</v>
      </c>
      <c r="AA671">
        <f t="shared" si="54"/>
        <v>0.16849613030502303</v>
      </c>
    </row>
    <row r="672" spans="1:27" x14ac:dyDescent="0.35">
      <c r="A672" s="2">
        <v>8053475328</v>
      </c>
      <c r="B672" s="2" t="s">
        <v>101</v>
      </c>
      <c r="C672" s="2">
        <f>VLOOKUP(user_activity!A360,users_details!$A$1:$G$34,5,0)</f>
        <v>31</v>
      </c>
      <c r="D672" s="2" t="str" cm="1">
        <f t="array" ref="D672">_xlfn.IFS( AND(C672&gt;=18, C672&lt;=25), "Emerging Adults",  AND(C672&gt;=26, C672&lt;=35),  "Young Adults",  AND(C672&gt;=36, C672&lt;=45),  "Midlife Adults",  AND(C672&gt;=46, C672&lt;=55), "Mature Adults", C672&gt;=56,  "Older Adults", TRUE, "Age Not Mentioned")</f>
        <v>Young Adults</v>
      </c>
      <c r="E672" s="2" t="str">
        <f>VLOOKUP(user_activity!A360,users_details!$A$1:$G$34,6,0)</f>
        <v>Midtown, Manhattan</v>
      </c>
      <c r="F672" s="2" t="str">
        <f>VLOOKUP(user_activity!A360,users_details!$A$1:$G$34,7,0)</f>
        <v>Midtown</v>
      </c>
      <c r="G672" s="2" t="s">
        <v>72</v>
      </c>
      <c r="H672" s="7">
        <v>42484</v>
      </c>
      <c r="I672" s="9" t="str">
        <f t="shared" si="50"/>
        <v>Sunday</v>
      </c>
      <c r="J672" s="9" t="str">
        <f t="shared" si="51"/>
        <v>April</v>
      </c>
      <c r="K672" s="2">
        <v>17.950000760000002</v>
      </c>
      <c r="L672" s="2">
        <v>17.950000760000002</v>
      </c>
      <c r="M672" s="2">
        <v>0</v>
      </c>
      <c r="N672" s="2">
        <v>13.130000109999999</v>
      </c>
      <c r="O672" s="2">
        <v>1.5499999520000001</v>
      </c>
      <c r="P672" s="2">
        <v>3.2599999899999998</v>
      </c>
      <c r="Q672" s="2">
        <v>0</v>
      </c>
      <c r="R672" s="2">
        <v>129</v>
      </c>
      <c r="S672" s="2">
        <v>33</v>
      </c>
      <c r="T672" s="2">
        <v>182</v>
      </c>
      <c r="U672" s="2">
        <f t="shared" si="52"/>
        <v>344</v>
      </c>
      <c r="V672" s="2">
        <v>1096</v>
      </c>
      <c r="W672" s="2">
        <v>22988</v>
      </c>
      <c r="X672" s="2">
        <f t="shared" si="53"/>
        <v>22988</v>
      </c>
      <c r="Y672" s="2">
        <v>3577</v>
      </c>
      <c r="Z672" t="str" cm="1">
        <f t="array" ref="Z672">_xlfn.IFS(OR(R672&gt;66, S672&gt;38), "High Engagement", OR(AND(R672&gt;32, R672&lt;=66), AND(S672&gt;19, S672&lt;=38)), "Medium-High Engagement", OR(AND(R672&gt;4, R672&lt;=32), AND(S672&gt;6, S672&lt;=19)),"Medium Engagement", TRUE, "Low Engagement"
)</f>
        <v>High Engagement</v>
      </c>
      <c r="AA672">
        <f t="shared" si="54"/>
        <v>0.15560292326431183</v>
      </c>
    </row>
    <row r="673" spans="1:27" x14ac:dyDescent="0.35">
      <c r="A673" s="2">
        <v>8053475328</v>
      </c>
      <c r="B673" s="2" t="s">
        <v>101</v>
      </c>
      <c r="C673" s="2">
        <f>VLOOKUP(user_activity!A479,users_details!$A$1:$G$34,5,0)</f>
        <v>33</v>
      </c>
      <c r="D673" s="2" t="str" cm="1">
        <f t="array" ref="D673">_xlfn.IFS( AND(C673&gt;=18, C673&lt;=25), "Emerging Adults",  AND(C673&gt;=26, C673&lt;=35),  "Young Adults",  AND(C673&gt;=36, C673&lt;=45),  "Midlife Adults",  AND(C673&gt;=46, C673&lt;=55), "Mature Adults", C673&gt;=56,  "Older Adults", TRUE, "Age Not Mentioned")</f>
        <v>Young Adults</v>
      </c>
      <c r="E673" s="2" t="str">
        <f>VLOOKUP(user_activity!A479,users_details!$A$1:$G$34,6,0)</f>
        <v>Harlem, Manhattan</v>
      </c>
      <c r="F673" s="2" t="str">
        <f>VLOOKUP(user_activity!A479,users_details!$A$1:$G$34,7,0)</f>
        <v>Harlem</v>
      </c>
      <c r="G673" s="2" t="s">
        <v>72</v>
      </c>
      <c r="H673" s="7">
        <v>42490</v>
      </c>
      <c r="I673" s="9" t="str">
        <f t="shared" si="50"/>
        <v>Saturday</v>
      </c>
      <c r="J673" s="9" t="str">
        <f t="shared" si="51"/>
        <v>April</v>
      </c>
      <c r="K673" s="2">
        <v>5.5900001530000001</v>
      </c>
      <c r="L673" s="2">
        <v>5.5900001530000001</v>
      </c>
      <c r="M673" s="2">
        <v>0</v>
      </c>
      <c r="N673" s="2">
        <v>2.9900000100000002</v>
      </c>
      <c r="O673" s="2">
        <v>5.9999998999999998E-2</v>
      </c>
      <c r="P673" s="2">
        <v>2.539999962</v>
      </c>
      <c r="Q673" s="2">
        <v>0</v>
      </c>
      <c r="R673" s="2">
        <v>27</v>
      </c>
      <c r="S673" s="2">
        <v>1</v>
      </c>
      <c r="T673" s="2">
        <v>131</v>
      </c>
      <c r="U673" s="2">
        <f t="shared" si="52"/>
        <v>159</v>
      </c>
      <c r="V673" s="2">
        <v>1281</v>
      </c>
      <c r="W673" s="2">
        <v>7135</v>
      </c>
      <c r="X673" s="2">
        <f t="shared" si="53"/>
        <v>7135</v>
      </c>
      <c r="Y673" s="2">
        <v>2408</v>
      </c>
      <c r="Z673" t="str" cm="1">
        <f t="array" ref="Z673">_xlfn.IFS(OR(R673&gt;66, S673&gt;38), "High Engagement", OR(AND(R673&gt;32, R673&lt;=66), AND(S673&gt;19, S673&lt;=38)), "Medium-High Engagement", OR(AND(R673&gt;4, R673&lt;=32), AND(S673&gt;6, S673&lt;=19)),"Medium Engagement", TRUE, "Low Engagement"
)</f>
        <v>Medium Engagement</v>
      </c>
      <c r="AA673">
        <f t="shared" si="54"/>
        <v>0.33749124036440087</v>
      </c>
    </row>
    <row r="674" spans="1:27" x14ac:dyDescent="0.35">
      <c r="A674" s="2">
        <v>8053475328</v>
      </c>
      <c r="B674" s="2" t="s">
        <v>101</v>
      </c>
      <c r="C674" s="2">
        <f>VLOOKUP(user_activity!A502,users_details!$A$1:$G$34,5,0)</f>
        <v>36</v>
      </c>
      <c r="D674" s="2" t="str" cm="1">
        <f t="array" ref="D674">_xlfn.IFS( AND(C674&gt;=18, C674&lt;=25), "Emerging Adults",  AND(C674&gt;=26, C674&lt;=35),  "Young Adults",  AND(C674&gt;=36, C674&lt;=45),  "Midlife Adults",  AND(C674&gt;=46, C674&lt;=55), "Mature Adults", C674&gt;=56,  "Older Adults", TRUE, "Age Not Mentioned")</f>
        <v>Midlife Adults</v>
      </c>
      <c r="E674" s="2" t="str">
        <f>VLOOKUP(user_activity!A502,users_details!$A$1:$G$34,6,0)</f>
        <v>Williamsburg, Brooklyn</v>
      </c>
      <c r="F674" s="2" t="str">
        <f>VLOOKUP(user_activity!A502,users_details!$A$1:$G$34,7,0)</f>
        <v>Williamsburg</v>
      </c>
      <c r="G674" s="2" t="s">
        <v>72</v>
      </c>
      <c r="H674" s="7">
        <v>42679</v>
      </c>
      <c r="I674" s="9" t="str">
        <f t="shared" si="50"/>
        <v>Saturday</v>
      </c>
      <c r="J674" s="9" t="str">
        <f t="shared" si="51"/>
        <v>November</v>
      </c>
      <c r="K674" s="2">
        <v>9.3999996190000008</v>
      </c>
      <c r="L674" s="2">
        <v>9.3999996190000008</v>
      </c>
      <c r="M674" s="2">
        <v>0</v>
      </c>
      <c r="N674" s="2">
        <v>6.079999924</v>
      </c>
      <c r="O674" s="2">
        <v>0.280000001</v>
      </c>
      <c r="P674" s="2">
        <v>3.039999962</v>
      </c>
      <c r="Q674" s="2">
        <v>0</v>
      </c>
      <c r="R674" s="2">
        <v>60</v>
      </c>
      <c r="S674" s="2">
        <v>7</v>
      </c>
      <c r="T674" s="2">
        <v>184</v>
      </c>
      <c r="U674" s="2">
        <f t="shared" si="52"/>
        <v>251</v>
      </c>
      <c r="V674" s="2">
        <v>1189</v>
      </c>
      <c r="W674" s="2">
        <v>12209</v>
      </c>
      <c r="X674" s="2">
        <f t="shared" si="53"/>
        <v>12209</v>
      </c>
      <c r="Y674" s="2">
        <v>2809</v>
      </c>
      <c r="Z674" t="str" cm="1">
        <f t="array" ref="Z674">_xlfn.IFS(OR(R674&gt;66, S674&gt;38), "High Engagement", OR(AND(R674&gt;32, R674&lt;=66), AND(S674&gt;19, S674&lt;=38)), "Medium-High Engagement", OR(AND(R674&gt;4, R674&lt;=32), AND(S674&gt;6, S674&lt;=19)),"Medium Engagement", TRUE, "Low Engagement"
)</f>
        <v>Medium-High Engagement</v>
      </c>
      <c r="AA674">
        <f t="shared" si="54"/>
        <v>0.23007617331476779</v>
      </c>
    </row>
    <row r="675" spans="1:27" x14ac:dyDescent="0.35">
      <c r="A675" s="2">
        <v>8053475328</v>
      </c>
      <c r="B675" s="2" t="s">
        <v>101</v>
      </c>
      <c r="C675" s="2">
        <f>VLOOKUP(user_activity!A505,users_details!$A$1:$G$34,5,0)</f>
        <v>36</v>
      </c>
      <c r="D675" s="2" t="str" cm="1">
        <f t="array" ref="D675">_xlfn.IFS( AND(C675&gt;=18, C675&lt;=25), "Emerging Adults",  AND(C675&gt;=26, C675&lt;=35),  "Young Adults",  AND(C675&gt;=36, C675&lt;=45),  "Midlife Adults",  AND(C675&gt;=46, C675&lt;=55), "Mature Adults", C675&gt;=56,  "Older Adults", TRUE, "Age Not Mentioned")</f>
        <v>Midlife Adults</v>
      </c>
      <c r="E675" s="2" t="str">
        <f>VLOOKUP(user_activity!A505,users_details!$A$1:$G$34,6,0)</f>
        <v>Williamsburg, Brooklyn</v>
      </c>
      <c r="F675" s="2" t="str">
        <f>VLOOKUP(user_activity!A505,users_details!$A$1:$G$34,7,0)</f>
        <v>Williamsburg</v>
      </c>
      <c r="G675" s="2" t="s">
        <v>72</v>
      </c>
      <c r="H675" s="7">
        <v>42488</v>
      </c>
      <c r="I675" s="9" t="str">
        <f t="shared" si="50"/>
        <v>Thursday</v>
      </c>
      <c r="J675" s="9" t="str">
        <f t="shared" si="51"/>
        <v>April</v>
      </c>
      <c r="K675" s="2">
        <v>12.399999619999999</v>
      </c>
      <c r="L675" s="2">
        <v>12.399999619999999</v>
      </c>
      <c r="M675" s="2">
        <v>0</v>
      </c>
      <c r="N675" s="2">
        <v>9.6700000760000009</v>
      </c>
      <c r="O675" s="2">
        <v>0.38999998600000002</v>
      </c>
      <c r="P675" s="2">
        <v>2.3499999049999998</v>
      </c>
      <c r="Q675" s="2">
        <v>0</v>
      </c>
      <c r="R675" s="2">
        <v>90</v>
      </c>
      <c r="S675" s="2">
        <v>9</v>
      </c>
      <c r="T675" s="2">
        <v>153</v>
      </c>
      <c r="U675" s="2">
        <f t="shared" si="52"/>
        <v>252</v>
      </c>
      <c r="V675" s="2">
        <v>1188</v>
      </c>
      <c r="W675" s="2">
        <v>15447</v>
      </c>
      <c r="X675" s="2">
        <f t="shared" si="53"/>
        <v>15447</v>
      </c>
      <c r="Y675" s="2">
        <v>3062</v>
      </c>
      <c r="Z675" t="str" cm="1">
        <f t="array" ref="Z675">_xlfn.IFS(OR(R675&gt;66, S675&gt;38), "High Engagement", OR(AND(R675&gt;32, R675&lt;=66), AND(S675&gt;19, S675&lt;=38)), "Medium-High Engagement", OR(AND(R675&gt;4, R675&lt;=32), AND(S675&gt;6, S675&lt;=19)),"Medium Engagement", TRUE, "Low Engagement"
)</f>
        <v>High Engagement</v>
      </c>
      <c r="AA675">
        <f t="shared" si="54"/>
        <v>0.19822619278824366</v>
      </c>
    </row>
    <row r="676" spans="1:27" x14ac:dyDescent="0.35">
      <c r="A676" s="2">
        <v>8053475328</v>
      </c>
      <c r="B676" s="2" t="s">
        <v>101</v>
      </c>
      <c r="C676" s="2">
        <f>VLOOKUP(user_activity!A528,users_details!$A$1:$G$34,5,0)</f>
        <v>38</v>
      </c>
      <c r="D676" s="2" t="str" cm="1">
        <f t="array" ref="D676">_xlfn.IFS( AND(C676&gt;=18, C676&lt;=25), "Emerging Adults",  AND(C676&gt;=26, C676&lt;=35),  "Young Adults",  AND(C676&gt;=36, C676&lt;=45),  "Midlife Adults",  AND(C676&gt;=46, C676&lt;=55), "Mature Adults", C676&gt;=56,  "Older Adults", TRUE, "Age Not Mentioned")</f>
        <v>Midlife Adults</v>
      </c>
      <c r="E676" s="2" t="str">
        <f>VLOOKUP(user_activity!A528,users_details!$A$1:$G$34,6,0)</f>
        <v>East Harlem, Manhattan</v>
      </c>
      <c r="F676" s="2" t="str">
        <f>VLOOKUP(user_activity!A528,users_details!$A$1:$G$34,7,0)</f>
        <v>East Harlem</v>
      </c>
      <c r="G676" s="2" t="s">
        <v>72</v>
      </c>
      <c r="H676" s="7">
        <v>42487</v>
      </c>
      <c r="I676" s="9" t="str">
        <f t="shared" si="50"/>
        <v>Wednesday</v>
      </c>
      <c r="J676" s="9" t="str">
        <f t="shared" si="51"/>
        <v>April</v>
      </c>
      <c r="K676" s="2">
        <v>9.8199996949999999</v>
      </c>
      <c r="L676" s="2">
        <v>9.8199996949999999</v>
      </c>
      <c r="M676" s="2">
        <v>0</v>
      </c>
      <c r="N676" s="2">
        <v>6.4600000380000004</v>
      </c>
      <c r="O676" s="2">
        <v>0.43000000700000002</v>
      </c>
      <c r="P676" s="2">
        <v>2.9300000669999999</v>
      </c>
      <c r="Q676" s="2">
        <v>0</v>
      </c>
      <c r="R676" s="2">
        <v>60</v>
      </c>
      <c r="S676" s="2">
        <v>10</v>
      </c>
      <c r="T676" s="2">
        <v>183</v>
      </c>
      <c r="U676" s="2">
        <f t="shared" si="52"/>
        <v>253</v>
      </c>
      <c r="V676" s="2">
        <v>1187</v>
      </c>
      <c r="W676" s="2">
        <v>12422</v>
      </c>
      <c r="X676" s="2">
        <f t="shared" si="53"/>
        <v>12422</v>
      </c>
      <c r="Y676" s="2">
        <v>2852</v>
      </c>
      <c r="Z676" t="str" cm="1">
        <f t="array" ref="Z676">_xlfn.IFS(OR(R676&gt;66, S676&gt;38), "High Engagement", OR(AND(R676&gt;32, R676&lt;=66), AND(S676&gt;19, S676&lt;=38)), "Medium-High Engagement", OR(AND(R676&gt;4, R676&lt;=32), AND(S676&gt;6, S676&lt;=19)),"Medium Engagement", TRUE, "Low Engagement"
)</f>
        <v>Medium-High Engagement</v>
      </c>
      <c r="AA676">
        <f t="shared" si="54"/>
        <v>0.22959265818708743</v>
      </c>
    </row>
    <row r="677" spans="1:27" x14ac:dyDescent="0.35">
      <c r="A677" s="2">
        <v>8053475328</v>
      </c>
      <c r="B677" s="2" t="s">
        <v>101</v>
      </c>
      <c r="C677" s="2">
        <f>VLOOKUP(user_activity!A529,users_details!$A$1:$G$34,5,0)</f>
        <v>38</v>
      </c>
      <c r="D677" s="2" t="str" cm="1">
        <f t="array" ref="D677">_xlfn.IFS( AND(C677&gt;=18, C677&lt;=25), "Emerging Adults",  AND(C677&gt;=26, C677&lt;=35),  "Young Adults",  AND(C677&gt;=36, C677&lt;=45),  "Midlife Adults",  AND(C677&gt;=46, C677&lt;=55), "Mature Adults", C677&gt;=56,  "Older Adults", TRUE, "Age Not Mentioned")</f>
        <v>Midlife Adults</v>
      </c>
      <c r="E677" s="2" t="str">
        <f>VLOOKUP(user_activity!A529,users_details!$A$1:$G$34,6,0)</f>
        <v>Midtown, Manhattan</v>
      </c>
      <c r="F677" s="2" t="str">
        <f>VLOOKUP(user_activity!A529,users_details!$A$1:$G$34,7,0)</f>
        <v>Midtown</v>
      </c>
      <c r="G677" s="2" t="s">
        <v>72</v>
      </c>
      <c r="H677" s="7">
        <v>42477</v>
      </c>
      <c r="I677" s="9" t="str">
        <f t="shared" si="50"/>
        <v>Sunday</v>
      </c>
      <c r="J677" s="9" t="str">
        <f t="shared" si="51"/>
        <v>April</v>
      </c>
      <c r="K677" s="2">
        <v>13.68999958</v>
      </c>
      <c r="L677" s="2">
        <v>13.68999958</v>
      </c>
      <c r="M677" s="2">
        <v>0</v>
      </c>
      <c r="N677" s="2">
        <v>9.2399997710000008</v>
      </c>
      <c r="O677" s="2">
        <v>0.80000001200000004</v>
      </c>
      <c r="P677" s="2">
        <v>3.6400001049999999</v>
      </c>
      <c r="Q677" s="2">
        <v>0</v>
      </c>
      <c r="R677" s="2">
        <v>111</v>
      </c>
      <c r="S677" s="2">
        <v>21</v>
      </c>
      <c r="T677" s="2">
        <v>195</v>
      </c>
      <c r="U677" s="2">
        <f t="shared" si="52"/>
        <v>327</v>
      </c>
      <c r="V677" s="2">
        <v>1113</v>
      </c>
      <c r="W677" s="2">
        <v>18827</v>
      </c>
      <c r="X677" s="2">
        <f t="shared" si="53"/>
        <v>18827</v>
      </c>
      <c r="Y677" s="2">
        <v>3213</v>
      </c>
      <c r="Z677" t="str" cm="1">
        <f t="array" ref="Z677">_xlfn.IFS(OR(R677&gt;66, S677&gt;38), "High Engagement", OR(AND(R677&gt;32, R677&lt;=66), AND(S677&gt;19, S677&lt;=38)), "Medium-High Engagement", OR(AND(R677&gt;4, R677&lt;=32), AND(S677&gt;6, S677&lt;=19)),"Medium Engagement", TRUE, "Low Engagement"
)</f>
        <v>High Engagement</v>
      </c>
      <c r="AA677">
        <f t="shared" si="54"/>
        <v>0.17065915971742709</v>
      </c>
    </row>
    <row r="678" spans="1:27" x14ac:dyDescent="0.35">
      <c r="A678" s="2">
        <v>8053475328</v>
      </c>
      <c r="B678" s="2" t="s">
        <v>101</v>
      </c>
      <c r="C678" s="2">
        <f>VLOOKUP(user_activity!A538,users_details!$A$1:$G$34,5,0)</f>
        <v>38</v>
      </c>
      <c r="D678" s="2" t="str" cm="1">
        <f t="array" ref="D678">_xlfn.IFS( AND(C678&gt;=18, C678&lt;=25), "Emerging Adults",  AND(C678&gt;=26, C678&lt;=35),  "Young Adults",  AND(C678&gt;=36, C678&lt;=45),  "Midlife Adults",  AND(C678&gt;=46, C678&lt;=55), "Mature Adults", C678&gt;=56,  "Older Adults", TRUE, "Age Not Mentioned")</f>
        <v>Midlife Adults</v>
      </c>
      <c r="E678" s="2" t="str">
        <f>VLOOKUP(user_activity!A538,users_details!$A$1:$G$34,6,0)</f>
        <v>East Harlem, Manhattan</v>
      </c>
      <c r="F678" s="2" t="str">
        <f>VLOOKUP(user_activity!A538,users_details!$A$1:$G$34,7,0)</f>
        <v>East Harlem</v>
      </c>
      <c r="G678" s="2" t="s">
        <v>72</v>
      </c>
      <c r="H678" s="7">
        <v>42405</v>
      </c>
      <c r="I678" s="9" t="str">
        <f t="shared" si="50"/>
        <v>Friday</v>
      </c>
      <c r="J678" s="9" t="str">
        <f t="shared" si="51"/>
        <v>February</v>
      </c>
      <c r="K678" s="2">
        <v>1.4299999480000001</v>
      </c>
      <c r="L678" s="2">
        <v>1.4299999480000001</v>
      </c>
      <c r="M678" s="2">
        <v>0</v>
      </c>
      <c r="N678" s="2">
        <v>0</v>
      </c>
      <c r="O678" s="2">
        <v>0</v>
      </c>
      <c r="P678" s="2">
        <v>1.4299999480000001</v>
      </c>
      <c r="Q678" s="2">
        <v>0</v>
      </c>
      <c r="R678" s="2">
        <v>0</v>
      </c>
      <c r="S678" s="2">
        <v>0</v>
      </c>
      <c r="T678" s="2">
        <v>95</v>
      </c>
      <c r="U678" s="2">
        <f t="shared" si="52"/>
        <v>95</v>
      </c>
      <c r="V678" s="2">
        <v>1345</v>
      </c>
      <c r="W678" s="2">
        <v>1969</v>
      </c>
      <c r="X678" s="2">
        <f t="shared" si="53"/>
        <v>1969</v>
      </c>
      <c r="Y678" s="2">
        <v>1988</v>
      </c>
      <c r="Z678" t="str" cm="1">
        <f t="array" ref="Z678">_xlfn.IFS(OR(R678&gt;66, S678&gt;38), "High Engagement", OR(AND(R678&gt;32, R678&lt;=66), AND(S678&gt;19, S678&lt;=38)), "Medium-High Engagement", OR(AND(R678&gt;4, R678&lt;=32), AND(S678&gt;6, S678&lt;=19)),"Medium Engagement", TRUE, "Low Engagement"
)</f>
        <v>Low Engagement</v>
      </c>
      <c r="AA678">
        <f t="shared" si="54"/>
        <v>1.0096495683087863</v>
      </c>
    </row>
    <row r="679" spans="1:27" x14ac:dyDescent="0.35">
      <c r="A679" s="2">
        <v>8053475328</v>
      </c>
      <c r="B679" s="2" t="s">
        <v>101</v>
      </c>
      <c r="C679" s="2">
        <f>VLOOKUP(user_activity!A557,users_details!$A$1:$G$34,5,0)</f>
        <v>38</v>
      </c>
      <c r="D679" s="2" t="str" cm="1">
        <f t="array" ref="D679">_xlfn.IFS( AND(C679&gt;=18, C679&lt;=25), "Emerging Adults",  AND(C679&gt;=26, C679&lt;=35),  "Young Adults",  AND(C679&gt;=36, C679&lt;=45),  "Midlife Adults",  AND(C679&gt;=46, C679&lt;=55), "Mature Adults", C679&gt;=56,  "Older Adults", TRUE, "Age Not Mentioned")</f>
        <v>Midlife Adults</v>
      </c>
      <c r="E679" s="2" t="str">
        <f>VLOOKUP(user_activity!A557,users_details!$A$1:$G$34,6,0)</f>
        <v>Midtown, Manhattan</v>
      </c>
      <c r="F679" s="2" t="str">
        <f>VLOOKUP(user_activity!A557,users_details!$A$1:$G$34,7,0)</f>
        <v>Midtown</v>
      </c>
      <c r="G679" s="2" t="s">
        <v>72</v>
      </c>
      <c r="H679" s="7">
        <v>42482</v>
      </c>
      <c r="I679" s="9" t="str">
        <f t="shared" si="50"/>
        <v>Friday</v>
      </c>
      <c r="J679" s="9" t="str">
        <f t="shared" si="51"/>
        <v>April</v>
      </c>
      <c r="K679" s="2">
        <v>8.2899999619999996</v>
      </c>
      <c r="L679" s="2">
        <v>8.2899999619999996</v>
      </c>
      <c r="M679" s="2">
        <v>0</v>
      </c>
      <c r="N679" s="2">
        <v>6.2600002290000001</v>
      </c>
      <c r="O679" s="2">
        <v>0.15000000599999999</v>
      </c>
      <c r="P679" s="2">
        <v>1.8799999949999999</v>
      </c>
      <c r="Q679" s="2">
        <v>0</v>
      </c>
      <c r="R679" s="2">
        <v>60</v>
      </c>
      <c r="S679" s="2">
        <v>3</v>
      </c>
      <c r="T679" s="2">
        <v>117</v>
      </c>
      <c r="U679" s="2">
        <f t="shared" si="52"/>
        <v>180</v>
      </c>
      <c r="V679" s="2">
        <v>1260</v>
      </c>
      <c r="W679" s="2">
        <v>10520</v>
      </c>
      <c r="X679" s="2">
        <f t="shared" si="53"/>
        <v>10520</v>
      </c>
      <c r="Y679" s="2">
        <v>2655</v>
      </c>
      <c r="Z679" t="str" cm="1">
        <f t="array" ref="Z679">_xlfn.IFS(OR(R679&gt;66, S679&gt;38), "High Engagement", OR(AND(R679&gt;32, R679&lt;=66), AND(S679&gt;19, S679&lt;=38)), "Medium-High Engagement", OR(AND(R679&gt;4, R679&lt;=32), AND(S679&gt;6, S679&lt;=19)),"Medium Engagement", TRUE, "Low Engagement"
)</f>
        <v>Medium-High Engagement</v>
      </c>
      <c r="AA679">
        <f t="shared" si="54"/>
        <v>0.25237642585551329</v>
      </c>
    </row>
    <row r="680" spans="1:27" x14ac:dyDescent="0.35">
      <c r="A680" s="2">
        <v>8053475328</v>
      </c>
      <c r="B680" s="2" t="s">
        <v>101</v>
      </c>
      <c r="C680" s="2">
        <f>VLOOKUP(user_activity!A578,users_details!$A$1:$G$34,5,0)</f>
        <v>38</v>
      </c>
      <c r="D680" s="2" t="str" cm="1">
        <f t="array" ref="D680">_xlfn.IFS( AND(C680&gt;=18, C680&lt;=25), "Emerging Adults",  AND(C680&gt;=26, C680&lt;=35),  "Young Adults",  AND(C680&gt;=36, C680&lt;=45),  "Midlife Adults",  AND(C680&gt;=46, C680&lt;=55), "Mature Adults", C680&gt;=56,  "Older Adults", TRUE, "Age Not Mentioned")</f>
        <v>Midlife Adults</v>
      </c>
      <c r="E680" s="2" t="str">
        <f>VLOOKUP(user_activity!A578,users_details!$A$1:$G$34,6,0)</f>
        <v>East Harlem, Manhattan</v>
      </c>
      <c r="F680" s="2" t="str">
        <f>VLOOKUP(user_activity!A578,users_details!$A$1:$G$34,7,0)</f>
        <v>East Harlem</v>
      </c>
      <c r="G680" s="2" t="s">
        <v>72</v>
      </c>
      <c r="H680" s="7">
        <v>42489</v>
      </c>
      <c r="I680" s="9" t="str">
        <f t="shared" si="50"/>
        <v>Friday</v>
      </c>
      <c r="J680" s="9" t="str">
        <f t="shared" si="51"/>
        <v>April</v>
      </c>
      <c r="K680" s="2">
        <v>9.6499996190000008</v>
      </c>
      <c r="L680" s="2">
        <v>9.6499996190000008</v>
      </c>
      <c r="M680" s="2">
        <v>0</v>
      </c>
      <c r="N680" s="2">
        <v>6.170000076</v>
      </c>
      <c r="O680" s="2">
        <v>0.310000002</v>
      </c>
      <c r="P680" s="2">
        <v>3.170000076</v>
      </c>
      <c r="Q680" s="2">
        <v>0</v>
      </c>
      <c r="R680" s="2">
        <v>58</v>
      </c>
      <c r="S680" s="2">
        <v>8</v>
      </c>
      <c r="T680" s="2">
        <v>159</v>
      </c>
      <c r="U680" s="2">
        <f t="shared" si="52"/>
        <v>225</v>
      </c>
      <c r="V680" s="2">
        <v>1215</v>
      </c>
      <c r="W680" s="2">
        <v>12315</v>
      </c>
      <c r="X680" s="2">
        <f t="shared" si="53"/>
        <v>12315</v>
      </c>
      <c r="Y680" s="2">
        <v>2794</v>
      </c>
      <c r="Z680" t="str" cm="1">
        <f t="array" ref="Z680">_xlfn.IFS(OR(R680&gt;66, S680&gt;38), "High Engagement", OR(AND(R680&gt;32, R680&lt;=66), AND(S680&gt;19, S680&lt;=38)), "Medium-High Engagement", OR(AND(R680&gt;4, R680&lt;=32), AND(S680&gt;6, S680&lt;=19)),"Medium Engagement", TRUE, "Low Engagement"
)</f>
        <v>Medium-High Engagement</v>
      </c>
      <c r="AA680">
        <f t="shared" si="54"/>
        <v>0.22687779131140884</v>
      </c>
    </row>
    <row r="681" spans="1:27" x14ac:dyDescent="0.35">
      <c r="A681" s="2">
        <v>8053475328</v>
      </c>
      <c r="B681" s="2" t="s">
        <v>101</v>
      </c>
      <c r="C681" s="2">
        <f>VLOOKUP(user_activity!A591,users_details!$A$1:$G$34,5,0)</f>
        <v>39</v>
      </c>
      <c r="D681" s="2" t="str" cm="1">
        <f t="array" ref="D681">_xlfn.IFS( AND(C681&gt;=18, C681&lt;=25), "Emerging Adults",  AND(C681&gt;=26, C681&lt;=35),  "Young Adults",  AND(C681&gt;=36, C681&lt;=45),  "Midlife Adults",  AND(C681&gt;=46, C681&lt;=55), "Mature Adults", C681&gt;=56,  "Older Adults", TRUE, "Age Not Mentioned")</f>
        <v>Midlife Adults</v>
      </c>
      <c r="E681" s="2" t="str">
        <f>VLOOKUP(user_activity!A591,users_details!$A$1:$G$34,6,0)</f>
        <v>East Village, Manhattan</v>
      </c>
      <c r="F681" s="2" t="str">
        <f>VLOOKUP(user_activity!A591,users_details!$A$1:$G$34,7,0)</f>
        <v>East Village</v>
      </c>
      <c r="G681" s="2" t="s">
        <v>72</v>
      </c>
      <c r="H681" s="7">
        <v>42434</v>
      </c>
      <c r="I681" s="9" t="str">
        <f t="shared" si="50"/>
        <v>Saturday</v>
      </c>
      <c r="J681" s="9" t="str">
        <f t="shared" si="51"/>
        <v>March</v>
      </c>
      <c r="K681" s="2">
        <v>11.899999619999999</v>
      </c>
      <c r="L681" s="2">
        <v>11.899999619999999</v>
      </c>
      <c r="M681" s="2">
        <v>0</v>
      </c>
      <c r="N681" s="2">
        <v>8.3900003430000005</v>
      </c>
      <c r="O681" s="2">
        <v>0.93000000699999996</v>
      </c>
      <c r="P681" s="2">
        <v>2.5899999139999998</v>
      </c>
      <c r="Q681" s="2">
        <v>0</v>
      </c>
      <c r="R681" s="2">
        <v>87</v>
      </c>
      <c r="S681" s="2">
        <v>22</v>
      </c>
      <c r="T681" s="2">
        <v>165</v>
      </c>
      <c r="U681" s="2">
        <f t="shared" si="52"/>
        <v>274</v>
      </c>
      <c r="V681" s="2">
        <v>1166</v>
      </c>
      <c r="W681" s="2">
        <v>15484</v>
      </c>
      <c r="X681" s="2">
        <f t="shared" si="53"/>
        <v>15484</v>
      </c>
      <c r="Y681" s="2">
        <v>3023</v>
      </c>
      <c r="Z681" t="str" cm="1">
        <f t="array" ref="Z681">_xlfn.IFS(OR(R681&gt;66, S681&gt;38), "High Engagement", OR(AND(R681&gt;32, R681&lt;=66), AND(S681&gt;19, S681&lt;=38)), "Medium-High Engagement", OR(AND(R681&gt;4, R681&lt;=32), AND(S681&gt;6, S681&lt;=19)),"Medium Engagement", TRUE, "Low Engagement"
)</f>
        <v>High Engagement</v>
      </c>
      <c r="AA681">
        <f t="shared" si="54"/>
        <v>0.19523378971841901</v>
      </c>
    </row>
    <row r="682" spans="1:27" x14ac:dyDescent="0.35">
      <c r="A682" s="2">
        <v>8053475328</v>
      </c>
      <c r="B682" s="2" t="s">
        <v>101</v>
      </c>
      <c r="C682" s="2">
        <f>VLOOKUP(user_activity!A609,users_details!$A$1:$G$34,5,0)</f>
        <v>41</v>
      </c>
      <c r="D682" s="2" t="str" cm="1">
        <f t="array" ref="D682">_xlfn.IFS( AND(C682&gt;=18, C682&lt;=25), "Emerging Adults",  AND(C682&gt;=26, C682&lt;=35),  "Young Adults",  AND(C682&gt;=36, C682&lt;=45),  "Midlife Adults",  AND(C682&gt;=46, C682&lt;=55), "Mature Adults", C682&gt;=56,  "Older Adults", TRUE, "Age Not Mentioned")</f>
        <v>Midlife Adults</v>
      </c>
      <c r="E682" s="2" t="str">
        <f>VLOOKUP(user_activity!A609,users_details!$A$1:$G$34,6,0)</f>
        <v>East Harlem, Manhattan</v>
      </c>
      <c r="F682" s="2" t="str">
        <f>VLOOKUP(user_activity!A609,users_details!$A$1:$G$34,7,0)</f>
        <v>East Harlem</v>
      </c>
      <c r="G682" s="2" t="s">
        <v>72</v>
      </c>
      <c r="H682" s="7">
        <v>42709</v>
      </c>
      <c r="I682" s="9" t="str">
        <f t="shared" si="50"/>
        <v>Monday</v>
      </c>
      <c r="J682" s="9" t="str">
        <f t="shared" si="51"/>
        <v>December</v>
      </c>
      <c r="K682" s="2">
        <v>3.9100000860000002</v>
      </c>
      <c r="L682" s="2">
        <v>3.9100000860000002</v>
      </c>
      <c r="M682" s="2">
        <v>0</v>
      </c>
      <c r="N682" s="2">
        <v>2.9500000480000002</v>
      </c>
      <c r="O682" s="2">
        <v>0.20000000300000001</v>
      </c>
      <c r="P682" s="2">
        <v>0.75999998999999996</v>
      </c>
      <c r="Q682" s="2">
        <v>0</v>
      </c>
      <c r="R682" s="2">
        <v>28</v>
      </c>
      <c r="S682" s="2">
        <v>4</v>
      </c>
      <c r="T682" s="2">
        <v>39</v>
      </c>
      <c r="U682" s="2">
        <f t="shared" si="52"/>
        <v>71</v>
      </c>
      <c r="V682" s="2">
        <v>839</v>
      </c>
      <c r="W682" s="2">
        <v>4998</v>
      </c>
      <c r="X682" s="2">
        <f t="shared" si="53"/>
        <v>4998</v>
      </c>
      <c r="Y682" s="2">
        <v>1505</v>
      </c>
      <c r="Z682" t="str" cm="1">
        <f t="array" ref="Z682">_xlfn.IFS(OR(R682&gt;66, S682&gt;38), "High Engagement", OR(AND(R682&gt;32, R682&lt;=66), AND(S682&gt;19, S682&lt;=38)), "Medium-High Engagement", OR(AND(R682&gt;4, R682&lt;=32), AND(S682&gt;6, S682&lt;=19)),"Medium Engagement", TRUE, "Low Engagement"
)</f>
        <v>Medium Engagement</v>
      </c>
      <c r="AA682">
        <f t="shared" si="54"/>
        <v>0.30112044817927169</v>
      </c>
    </row>
    <row r="683" spans="1:27" x14ac:dyDescent="0.35">
      <c r="A683" s="2">
        <v>8053475328</v>
      </c>
      <c r="B683" s="2" t="s">
        <v>101</v>
      </c>
      <c r="C683" s="2">
        <f>VLOOKUP(user_activity!A640,users_details!$A$1:$G$34,5,0)</f>
        <v>45</v>
      </c>
      <c r="D683" s="2" t="str" cm="1">
        <f t="array" ref="D683">_xlfn.IFS( AND(C683&gt;=18, C683&lt;=25), "Emerging Adults",  AND(C683&gt;=26, C683&lt;=35),  "Young Adults",  AND(C683&gt;=36, C683&lt;=45),  "Midlife Adults",  AND(C683&gt;=46, C683&lt;=55), "Mature Adults", C683&gt;=56,  "Older Adults", TRUE, "Age Not Mentioned")</f>
        <v>Midlife Adults</v>
      </c>
      <c r="E683" s="2" t="str">
        <f>VLOOKUP(user_activity!A640,users_details!$A$1:$G$34,6,0)</f>
        <v>Harlem, Manhattan</v>
      </c>
      <c r="F683" s="2" t="str">
        <f>VLOOKUP(user_activity!A640,users_details!$A$1:$G$34,7,0)</f>
        <v>Harlem</v>
      </c>
      <c r="G683" s="2" t="s">
        <v>72</v>
      </c>
      <c r="H683" s="7">
        <v>42526</v>
      </c>
      <c r="I683" s="9" t="str">
        <f t="shared" si="50"/>
        <v>Sunday</v>
      </c>
      <c r="J683" s="9" t="str">
        <f t="shared" si="51"/>
        <v>June</v>
      </c>
      <c r="K683" s="2">
        <v>11</v>
      </c>
      <c r="L683" s="2">
        <v>11</v>
      </c>
      <c r="M683" s="2">
        <v>0</v>
      </c>
      <c r="N683" s="2">
        <v>9.1000003809999992</v>
      </c>
      <c r="O683" s="2">
        <v>0.689999998</v>
      </c>
      <c r="P683" s="2">
        <v>1.210000038</v>
      </c>
      <c r="Q683" s="2">
        <v>0</v>
      </c>
      <c r="R683" s="2">
        <v>90</v>
      </c>
      <c r="S683" s="2">
        <v>15</v>
      </c>
      <c r="T683" s="2">
        <v>90</v>
      </c>
      <c r="U683" s="2">
        <f t="shared" si="52"/>
        <v>195</v>
      </c>
      <c r="V683" s="2">
        <v>1245</v>
      </c>
      <c r="W683" s="2">
        <v>13953</v>
      </c>
      <c r="X683" s="2">
        <f t="shared" si="53"/>
        <v>13953</v>
      </c>
      <c r="Y683" s="2">
        <v>2859</v>
      </c>
      <c r="Z683" t="str" cm="1">
        <f t="array" ref="Z683">_xlfn.IFS(OR(R683&gt;66, S683&gt;38), "High Engagement", OR(AND(R683&gt;32, R683&lt;=66), AND(S683&gt;19, S683&lt;=38)), "Medium-High Engagement", OR(AND(R683&gt;4, R683&lt;=32), AND(S683&gt;6, S683&lt;=19)),"Medium Engagement", TRUE, "Low Engagement"
)</f>
        <v>High Engagement</v>
      </c>
      <c r="AA683">
        <f t="shared" si="54"/>
        <v>0.20490217157600515</v>
      </c>
    </row>
    <row r="684" spans="1:27" x14ac:dyDescent="0.35">
      <c r="A684" s="2">
        <v>8053475328</v>
      </c>
      <c r="B684" s="2" t="s">
        <v>101</v>
      </c>
      <c r="C684" s="2">
        <f>VLOOKUP(user_activity!A706,users_details!$A$1:$G$34,5,0)</f>
        <v>53</v>
      </c>
      <c r="D684" s="2" t="str" cm="1">
        <f t="array" ref="D684">_xlfn.IFS( AND(C684&gt;=18, C684&lt;=25), "Emerging Adults",  AND(C684&gt;=26, C684&lt;=35),  "Young Adults",  AND(C684&gt;=36, C684&lt;=45),  "Midlife Adults",  AND(C684&gt;=46, C684&lt;=55), "Mature Adults", C684&gt;=56,  "Older Adults", TRUE, "Age Not Mentioned")</f>
        <v>Mature Adults</v>
      </c>
      <c r="E684" s="2" t="str">
        <f>VLOOKUP(user_activity!A706,users_details!$A$1:$G$34,6,0)</f>
        <v>Williamsburg, Brooklyn</v>
      </c>
      <c r="F684" s="2" t="str">
        <f>VLOOKUP(user_activity!A706,users_details!$A$1:$G$34,7,0)</f>
        <v>Williamsburg</v>
      </c>
      <c r="G684" s="2" t="s">
        <v>72</v>
      </c>
      <c r="H684" s="7">
        <v>42374</v>
      </c>
      <c r="I684" s="9" t="str">
        <f t="shared" si="50"/>
        <v>Tuesday</v>
      </c>
      <c r="J684" s="9" t="str">
        <f t="shared" si="51"/>
        <v>January</v>
      </c>
      <c r="K684" s="2">
        <v>0.85000002399999997</v>
      </c>
      <c r="L684" s="2">
        <v>0.85000002399999997</v>
      </c>
      <c r="M684" s="2">
        <v>0</v>
      </c>
      <c r="N684" s="2">
        <v>0</v>
      </c>
      <c r="O684" s="2">
        <v>0</v>
      </c>
      <c r="P684" s="2">
        <v>0.85000002399999997</v>
      </c>
      <c r="Q684" s="2">
        <v>0</v>
      </c>
      <c r="R684" s="2">
        <v>0</v>
      </c>
      <c r="S684" s="2">
        <v>0</v>
      </c>
      <c r="T684" s="2">
        <v>51</v>
      </c>
      <c r="U684" s="2">
        <f t="shared" si="52"/>
        <v>51</v>
      </c>
      <c r="V684" s="2">
        <v>1389</v>
      </c>
      <c r="W684" s="2">
        <v>1170</v>
      </c>
      <c r="X684" s="2">
        <f t="shared" si="53"/>
        <v>1170</v>
      </c>
      <c r="Y684" s="2">
        <v>1886</v>
      </c>
      <c r="Z684" t="str" cm="1">
        <f t="array" ref="Z684">_xlfn.IFS(OR(R684&gt;66, S684&gt;38), "High Engagement", OR(AND(R684&gt;32, R684&lt;=66), AND(S684&gt;19, S684&lt;=38)), "Medium-High Engagement", OR(AND(R684&gt;4, R684&lt;=32), AND(S684&gt;6, S684&lt;=19)),"Medium Engagement", TRUE, "Low Engagement"
)</f>
        <v>Low Engagement</v>
      </c>
      <c r="AA684">
        <f t="shared" si="54"/>
        <v>1.611965811965812</v>
      </c>
    </row>
    <row r="685" spans="1:27" x14ac:dyDescent="0.35">
      <c r="A685" s="2">
        <v>8053475328</v>
      </c>
      <c r="B685" s="2" t="s">
        <v>101</v>
      </c>
      <c r="C685" s="2">
        <f>VLOOKUP(user_activity!A752,users_details!$A$1:$G$34,5,0)</f>
        <v>53</v>
      </c>
      <c r="D685" s="2" t="str" cm="1">
        <f t="array" ref="D685">_xlfn.IFS( AND(C685&gt;=18, C685&lt;=25), "Emerging Adults",  AND(C685&gt;=26, C685&lt;=35),  "Young Adults",  AND(C685&gt;=36, C685&lt;=45),  "Midlife Adults",  AND(C685&gt;=46, C685&lt;=55), "Mature Adults", C685&gt;=56,  "Older Adults", TRUE, "Age Not Mentioned")</f>
        <v>Mature Adults</v>
      </c>
      <c r="E685" s="2" t="str">
        <f>VLOOKUP(user_activity!A752,users_details!$A$1:$G$34,6,0)</f>
        <v>Harlem, Manhattan</v>
      </c>
      <c r="F685" s="2" t="str">
        <f>VLOOKUP(user_activity!A752,users_details!$A$1:$G$34,7,0)</f>
        <v>Harlem</v>
      </c>
      <c r="G685" s="2" t="s">
        <v>72</v>
      </c>
      <c r="H685" s="7">
        <v>42587</v>
      </c>
      <c r="I685" s="9" t="str">
        <f t="shared" si="50"/>
        <v>Friday</v>
      </c>
      <c r="J685" s="9" t="str">
        <f t="shared" si="51"/>
        <v>August</v>
      </c>
      <c r="K685" s="2">
        <v>17.649999619999999</v>
      </c>
      <c r="L685" s="2">
        <v>17.649999619999999</v>
      </c>
      <c r="M685" s="2">
        <v>0</v>
      </c>
      <c r="N685" s="2">
        <v>13.399999619999999</v>
      </c>
      <c r="O685" s="2">
        <v>0.58999997400000004</v>
      </c>
      <c r="P685" s="2">
        <v>3.6600000860000002</v>
      </c>
      <c r="Q685" s="2">
        <v>0</v>
      </c>
      <c r="R685" s="2">
        <v>125</v>
      </c>
      <c r="S685" s="2">
        <v>14</v>
      </c>
      <c r="T685" s="2">
        <v>228</v>
      </c>
      <c r="U685" s="2">
        <f t="shared" si="52"/>
        <v>367</v>
      </c>
      <c r="V685" s="2">
        <v>1073</v>
      </c>
      <c r="W685" s="2">
        <v>22026</v>
      </c>
      <c r="X685" s="2">
        <f t="shared" si="53"/>
        <v>22026</v>
      </c>
      <c r="Y685" s="2">
        <v>3589</v>
      </c>
      <c r="Z685" t="str" cm="1">
        <f t="array" ref="Z685">_xlfn.IFS(OR(R685&gt;66, S685&gt;38), "High Engagement", OR(AND(R685&gt;32, R685&lt;=66), AND(S685&gt;19, S685&lt;=38)), "Medium-High Engagement", OR(AND(R685&gt;4, R685&lt;=32), AND(S685&gt;6, S685&lt;=19)),"Medium Engagement", TRUE, "Low Engagement"
)</f>
        <v>High Engagement</v>
      </c>
      <c r="AA685">
        <f t="shared" si="54"/>
        <v>0.16294379369835649</v>
      </c>
    </row>
    <row r="686" spans="1:27" x14ac:dyDescent="0.35">
      <c r="A686" s="2">
        <v>8053475328</v>
      </c>
      <c r="B686" s="2" t="s">
        <v>101</v>
      </c>
      <c r="C686" s="2">
        <f>VLOOKUP(user_activity!A767,users_details!$A$1:$G$34,5,0)</f>
        <v>53</v>
      </c>
      <c r="D686" s="2" t="str" cm="1">
        <f t="array" ref="D686">_xlfn.IFS( AND(C686&gt;=18, C686&lt;=25), "Emerging Adults",  AND(C686&gt;=26, C686&lt;=35),  "Young Adults",  AND(C686&gt;=36, C686&lt;=45),  "Midlife Adults",  AND(C686&gt;=46, C686&lt;=55), "Mature Adults", C686&gt;=56,  "Older Adults", TRUE, "Age Not Mentioned")</f>
        <v>Mature Adults</v>
      </c>
      <c r="E686" s="2" t="str">
        <f>VLOOKUP(user_activity!A767,users_details!$A$1:$G$34,6,0)</f>
        <v>Harlem, Manhattan</v>
      </c>
      <c r="F686" s="2" t="str">
        <f>VLOOKUP(user_activity!A767,users_details!$A$1:$G$34,7,0)</f>
        <v>Harlem</v>
      </c>
      <c r="G686" s="2" t="s">
        <v>72</v>
      </c>
      <c r="H686" s="7">
        <v>42618</v>
      </c>
      <c r="I686" s="9" t="str">
        <f t="shared" si="50"/>
        <v>Monday</v>
      </c>
      <c r="J686" s="9" t="str">
        <f t="shared" si="51"/>
        <v>September</v>
      </c>
      <c r="K686" s="2">
        <v>9.3800001139999996</v>
      </c>
      <c r="L686" s="2">
        <v>9.3800001139999996</v>
      </c>
      <c r="M686" s="2">
        <v>0</v>
      </c>
      <c r="N686" s="2">
        <v>6.1199998860000004</v>
      </c>
      <c r="O686" s="2">
        <v>0.56999999300000004</v>
      </c>
      <c r="P686" s="2">
        <v>2.6900000569999998</v>
      </c>
      <c r="Q686" s="2">
        <v>0</v>
      </c>
      <c r="R686" s="2">
        <v>66</v>
      </c>
      <c r="S686" s="2">
        <v>12</v>
      </c>
      <c r="T686" s="2">
        <v>148</v>
      </c>
      <c r="U686" s="2">
        <f t="shared" si="52"/>
        <v>226</v>
      </c>
      <c r="V686" s="2">
        <v>1214</v>
      </c>
      <c r="W686" s="2">
        <v>12465</v>
      </c>
      <c r="X686" s="2">
        <f t="shared" si="53"/>
        <v>12465</v>
      </c>
      <c r="Y686" s="2">
        <v>2765</v>
      </c>
      <c r="Z686" t="str" cm="1">
        <f t="array" ref="Z686">_xlfn.IFS(OR(R686&gt;66, S686&gt;38), "High Engagement", OR(AND(R686&gt;32, R686&lt;=66), AND(S686&gt;19, S686&lt;=38)), "Medium-High Engagement", OR(AND(R686&gt;4, R686&lt;=32), AND(S686&gt;6, S686&lt;=19)),"Medium Engagement", TRUE, "Low Engagement"
)</f>
        <v>Medium-High Engagement</v>
      </c>
      <c r="AA686">
        <f t="shared" si="54"/>
        <v>0.22182109907741676</v>
      </c>
    </row>
    <row r="687" spans="1:27" x14ac:dyDescent="0.35">
      <c r="A687" s="2">
        <v>8053475328</v>
      </c>
      <c r="B687" s="2" t="s">
        <v>101</v>
      </c>
      <c r="C687" s="2">
        <f>VLOOKUP(user_activity!A783,users_details!$A$1:$G$34,5,0)</f>
        <v>53</v>
      </c>
      <c r="D687" s="2" t="str" cm="1">
        <f t="array" ref="D687">_xlfn.IFS( AND(C687&gt;=18, C687&lt;=25), "Emerging Adults",  AND(C687&gt;=26, C687&lt;=35),  "Young Adults",  AND(C687&gt;=36, C687&lt;=45),  "Midlife Adults",  AND(C687&gt;=46, C687&lt;=55), "Mature Adults", C687&gt;=56,  "Older Adults", TRUE, "Age Not Mentioned")</f>
        <v>Mature Adults</v>
      </c>
      <c r="E687" s="2" t="str">
        <f>VLOOKUP(user_activity!A783,users_details!$A$1:$G$34,6,0)</f>
        <v>Harlem, Manhattan</v>
      </c>
      <c r="F687" s="2" t="str">
        <f>VLOOKUP(user_activity!A783,users_details!$A$1:$G$34,7,0)</f>
        <v>Harlem</v>
      </c>
      <c r="G687" s="2" t="s">
        <v>72</v>
      </c>
      <c r="H687" s="7">
        <v>42648</v>
      </c>
      <c r="I687" s="9" t="str">
        <f t="shared" si="50"/>
        <v>Wednesday</v>
      </c>
      <c r="J687" s="9" t="str">
        <f t="shared" si="51"/>
        <v>October</v>
      </c>
      <c r="K687" s="2">
        <v>11.35999966</v>
      </c>
      <c r="L687" s="2">
        <v>11.35999966</v>
      </c>
      <c r="M687" s="2">
        <v>0</v>
      </c>
      <c r="N687" s="2">
        <v>9.0900001530000001</v>
      </c>
      <c r="O687" s="2">
        <v>0.41999998700000002</v>
      </c>
      <c r="P687" s="2">
        <v>1.8500000240000001</v>
      </c>
      <c r="Q687" s="2">
        <v>0</v>
      </c>
      <c r="R687" s="2">
        <v>96</v>
      </c>
      <c r="S687" s="2">
        <v>10</v>
      </c>
      <c r="T687" s="2">
        <v>115</v>
      </c>
      <c r="U687" s="2">
        <f t="shared" si="52"/>
        <v>221</v>
      </c>
      <c r="V687" s="2">
        <v>1219</v>
      </c>
      <c r="W687" s="2">
        <v>14810</v>
      </c>
      <c r="X687" s="2">
        <f t="shared" si="53"/>
        <v>14810</v>
      </c>
      <c r="Y687" s="2">
        <v>2926</v>
      </c>
      <c r="Z687" t="str" cm="1">
        <f t="array" ref="Z687">_xlfn.IFS(OR(R687&gt;66, S687&gt;38), "High Engagement", OR(AND(R687&gt;32, R687&lt;=66), AND(S687&gt;19, S687&lt;=38)), "Medium-High Engagement", OR(AND(R687&gt;4, R687&lt;=32), AND(S687&gt;6, S687&lt;=19)),"Medium Engagement", TRUE, "Low Engagement"
)</f>
        <v>High Engagement</v>
      </c>
      <c r="AA687">
        <f t="shared" si="54"/>
        <v>0.19756920999324781</v>
      </c>
    </row>
    <row r="688" spans="1:27" x14ac:dyDescent="0.35">
      <c r="A688" s="2">
        <v>8053475328</v>
      </c>
      <c r="B688" s="2" t="s">
        <v>101</v>
      </c>
      <c r="C688" s="2">
        <f>VLOOKUP(user_activity!A786,users_details!$A$1:$G$34,5,0)</f>
        <v>53</v>
      </c>
      <c r="D688" s="2" t="str" cm="1">
        <f t="array" ref="D688">_xlfn.IFS( AND(C688&gt;=18, C688&lt;=25), "Emerging Adults",  AND(C688&gt;=26, C688&lt;=35),  "Young Adults",  AND(C688&gt;=36, C688&lt;=45),  "Midlife Adults",  AND(C688&gt;=46, C688&lt;=55), "Mature Adults", C688&gt;=56,  "Older Adults", TRUE, "Age Not Mentioned")</f>
        <v>Mature Adults</v>
      </c>
      <c r="E688" s="2" t="str">
        <f>VLOOKUP(user_activity!A786,users_details!$A$1:$G$34,6,0)</f>
        <v>Harlem, Manhattan</v>
      </c>
      <c r="F688" s="2" t="str">
        <f>VLOOKUP(user_activity!A786,users_details!$A$1:$G$34,7,0)</f>
        <v>Harlem</v>
      </c>
      <c r="G688" s="2" t="s">
        <v>72</v>
      </c>
      <c r="H688" s="7">
        <v>42708</v>
      </c>
      <c r="I688" s="9" t="str">
        <f t="shared" si="50"/>
        <v>Sunday</v>
      </c>
      <c r="J688" s="9" t="str">
        <f t="shared" si="51"/>
        <v>December</v>
      </c>
      <c r="K688" s="2">
        <v>14.119999890000001</v>
      </c>
      <c r="L688" s="2">
        <v>14.119999890000001</v>
      </c>
      <c r="M688" s="2">
        <v>0</v>
      </c>
      <c r="N688" s="2">
        <v>11.64000034</v>
      </c>
      <c r="O688" s="2">
        <v>0.38999998600000002</v>
      </c>
      <c r="P688" s="2">
        <v>2.0999999049999998</v>
      </c>
      <c r="Q688" s="2">
        <v>0</v>
      </c>
      <c r="R688" s="2">
        <v>116</v>
      </c>
      <c r="S688" s="2">
        <v>8</v>
      </c>
      <c r="T688" s="2">
        <v>123</v>
      </c>
      <c r="U688" s="2">
        <f t="shared" si="52"/>
        <v>247</v>
      </c>
      <c r="V688" s="2">
        <v>1193</v>
      </c>
      <c r="W688" s="2">
        <v>18060</v>
      </c>
      <c r="X688" s="2">
        <f t="shared" si="53"/>
        <v>18060</v>
      </c>
      <c r="Y688" s="2">
        <v>3186</v>
      </c>
      <c r="Z688" t="str" cm="1">
        <f t="array" ref="Z688">_xlfn.IFS(OR(R688&gt;66, S688&gt;38), "High Engagement", OR(AND(R688&gt;32, R688&lt;=66), AND(S688&gt;19, S688&lt;=38)), "Medium-High Engagement", OR(AND(R688&gt;4, R688&lt;=32), AND(S688&gt;6, S688&lt;=19)),"Medium Engagement", TRUE, "Low Engagement"
)</f>
        <v>High Engagement</v>
      </c>
      <c r="AA688">
        <f t="shared" si="54"/>
        <v>0.17641196013289037</v>
      </c>
    </row>
    <row r="689" spans="1:27" x14ac:dyDescent="0.35">
      <c r="A689" s="2">
        <v>8053475328</v>
      </c>
      <c r="B689" s="2" t="s">
        <v>101</v>
      </c>
      <c r="C689" s="2">
        <f>VLOOKUP(user_activity!A801,users_details!$A$1:$G$34,5,0)</f>
        <v>54</v>
      </c>
      <c r="D689" s="2" t="str" cm="1">
        <f t="array" ref="D689">_xlfn.IFS( AND(C689&gt;=18, C689&lt;=25), "Emerging Adults",  AND(C689&gt;=26, C689&lt;=35),  "Young Adults",  AND(C689&gt;=36, C689&lt;=45),  "Midlife Adults",  AND(C689&gt;=46, C689&lt;=55), "Mature Adults", C689&gt;=56,  "Older Adults", TRUE, "Age Not Mentioned")</f>
        <v>Mature Adults</v>
      </c>
      <c r="E689" s="2" t="str">
        <f>VLOOKUP(user_activity!A801,users_details!$A$1:$G$34,6,0)</f>
        <v>Crown Heights, Brooklyn</v>
      </c>
      <c r="F689" s="2" t="str">
        <f>VLOOKUP(user_activity!A801,users_details!$A$1:$G$34,7,0)</f>
        <v>Crown Heights</v>
      </c>
      <c r="G689" s="2" t="s">
        <v>72</v>
      </c>
      <c r="H689" s="7">
        <v>42483</v>
      </c>
      <c r="I689" s="9" t="str">
        <f t="shared" si="50"/>
        <v>Saturday</v>
      </c>
      <c r="J689" s="9" t="str">
        <f t="shared" si="51"/>
        <v>April</v>
      </c>
      <c r="K689" s="2">
        <v>17.190000529999999</v>
      </c>
      <c r="L689" s="2">
        <v>17.190000529999999</v>
      </c>
      <c r="M689" s="2">
        <v>0</v>
      </c>
      <c r="N689" s="2">
        <v>12.539999959999999</v>
      </c>
      <c r="O689" s="2">
        <v>0.62999999500000003</v>
      </c>
      <c r="P689" s="2">
        <v>4.0199999809999998</v>
      </c>
      <c r="Q689" s="2">
        <v>0</v>
      </c>
      <c r="R689" s="2">
        <v>125</v>
      </c>
      <c r="S689" s="2">
        <v>14</v>
      </c>
      <c r="T689" s="2">
        <v>223</v>
      </c>
      <c r="U689" s="2">
        <f t="shared" si="52"/>
        <v>362</v>
      </c>
      <c r="V689" s="2">
        <v>741</v>
      </c>
      <c r="W689" s="2">
        <v>22359</v>
      </c>
      <c r="X689" s="2">
        <f t="shared" si="53"/>
        <v>22359</v>
      </c>
      <c r="Y689" s="2">
        <v>3554</v>
      </c>
      <c r="Z689" t="str" cm="1">
        <f t="array" ref="Z689">_xlfn.IFS(OR(R689&gt;66, S689&gt;38), "High Engagement", OR(AND(R689&gt;32, R689&lt;=66), AND(S689&gt;19, S689&lt;=38)), "Medium-High Engagement", OR(AND(R689&gt;4, R689&lt;=32), AND(S689&gt;6, S689&lt;=19)),"Medium Engagement", TRUE, "Low Engagement"
)</f>
        <v>High Engagement</v>
      </c>
      <c r="AA689">
        <f t="shared" si="54"/>
        <v>0.15895165257838006</v>
      </c>
    </row>
    <row r="690" spans="1:27" x14ac:dyDescent="0.35">
      <c r="A690" s="2">
        <v>8053475328</v>
      </c>
      <c r="B690" s="2" t="s">
        <v>101</v>
      </c>
      <c r="C690" s="2">
        <f>VLOOKUP(user_activity!A808,users_details!$A$1:$G$34,5,0)</f>
        <v>54</v>
      </c>
      <c r="D690" s="2" t="str" cm="1">
        <f t="array" ref="D690">_xlfn.IFS( AND(C690&gt;=18, C690&lt;=25), "Emerging Adults",  AND(C690&gt;=26, C690&lt;=35),  "Young Adults",  AND(C690&gt;=36, C690&lt;=45),  "Midlife Adults",  AND(C690&gt;=46, C690&lt;=55), "Mature Adults", C690&gt;=56,  "Older Adults", TRUE, "Age Not Mentioned")</f>
        <v>Mature Adults</v>
      </c>
      <c r="E690" s="2" t="str">
        <f>VLOOKUP(user_activity!A808,users_details!$A$1:$G$34,6,0)</f>
        <v>Crown Heights, Brooklyn</v>
      </c>
      <c r="F690" s="2" t="str">
        <f>VLOOKUP(user_activity!A808,users_details!$A$1:$G$34,7,0)</f>
        <v>Crown Heights</v>
      </c>
      <c r="G690" s="2" t="s">
        <v>72</v>
      </c>
      <c r="H690" s="7">
        <v>42476</v>
      </c>
      <c r="I690" s="9" t="str">
        <f t="shared" si="50"/>
        <v>Saturday</v>
      </c>
      <c r="J690" s="9" t="str">
        <f t="shared" si="51"/>
        <v>April</v>
      </c>
      <c r="K690" s="2">
        <v>11.10999966</v>
      </c>
      <c r="L690" s="2">
        <v>11.10999966</v>
      </c>
      <c r="M690" s="2">
        <v>0</v>
      </c>
      <c r="N690" s="2">
        <v>9.3599996569999995</v>
      </c>
      <c r="O690" s="2">
        <v>0.27000001099999998</v>
      </c>
      <c r="P690" s="2">
        <v>1.4900000099999999</v>
      </c>
      <c r="Q690" s="2">
        <v>0</v>
      </c>
      <c r="R690" s="2">
        <v>96</v>
      </c>
      <c r="S690" s="2">
        <v>6</v>
      </c>
      <c r="T690" s="2">
        <v>83</v>
      </c>
      <c r="U690" s="2">
        <f t="shared" si="52"/>
        <v>185</v>
      </c>
      <c r="V690" s="2">
        <v>1255</v>
      </c>
      <c r="W690" s="2">
        <v>14549</v>
      </c>
      <c r="X690" s="2">
        <f t="shared" si="53"/>
        <v>14549</v>
      </c>
      <c r="Y690" s="2">
        <v>2867</v>
      </c>
      <c r="Z690" t="str" cm="1">
        <f t="array" ref="Z690">_xlfn.IFS(OR(R690&gt;66, S690&gt;38), "High Engagement", OR(AND(R690&gt;32, R690&lt;=66), AND(S690&gt;19, S690&lt;=38)), "Medium-High Engagement", OR(AND(R690&gt;4, R690&lt;=32), AND(S690&gt;6, S690&lt;=19)),"Medium Engagement", TRUE, "Low Engagement"
)</f>
        <v>High Engagement</v>
      </c>
      <c r="AA690">
        <f t="shared" si="54"/>
        <v>0.19705821705959173</v>
      </c>
    </row>
    <row r="691" spans="1:27" x14ac:dyDescent="0.35">
      <c r="A691" s="2">
        <v>8053475328</v>
      </c>
      <c r="B691" s="2" t="s">
        <v>101</v>
      </c>
      <c r="C691" s="2">
        <f>VLOOKUP(user_activity!A833,users_details!$A$1:$G$34,5,0)</f>
        <v>56</v>
      </c>
      <c r="D691" s="2" t="str" cm="1">
        <f t="array" ref="D691">_xlfn.IFS( AND(C691&gt;=18, C691&lt;=25), "Emerging Adults",  AND(C691&gt;=26, C691&lt;=35),  "Young Adults",  AND(C691&gt;=36, C691&lt;=45),  "Midlife Adults",  AND(C691&gt;=46, C691&lt;=55), "Mature Adults", C691&gt;=56,  "Older Adults", TRUE, "Age Not Mentioned")</f>
        <v>Older Adults</v>
      </c>
      <c r="E691" s="2" t="str">
        <f>VLOOKUP(user_activity!A833,users_details!$A$1:$G$34,6,0)</f>
        <v>Flatbush, Brooklyn</v>
      </c>
      <c r="F691" s="2" t="str">
        <f>VLOOKUP(user_activity!A833,users_details!$A$1:$G$34,7,0)</f>
        <v>Flatbush</v>
      </c>
      <c r="G691" s="2" t="s">
        <v>72</v>
      </c>
      <c r="H691" s="7">
        <v>42495</v>
      </c>
      <c r="I691" s="9" t="str">
        <f t="shared" si="50"/>
        <v>Thursday</v>
      </c>
      <c r="J691" s="9" t="str">
        <f t="shared" si="51"/>
        <v>May</v>
      </c>
      <c r="K691" s="2">
        <v>11.510000229999999</v>
      </c>
      <c r="L691" s="2">
        <v>11.510000229999999</v>
      </c>
      <c r="M691" s="2">
        <v>0</v>
      </c>
      <c r="N691" s="2">
        <v>8.8500003809999992</v>
      </c>
      <c r="O691" s="2">
        <v>0.44999998800000002</v>
      </c>
      <c r="P691" s="2">
        <v>2.210000038</v>
      </c>
      <c r="Q691" s="2">
        <v>0</v>
      </c>
      <c r="R691" s="2">
        <v>93</v>
      </c>
      <c r="S691" s="2">
        <v>9</v>
      </c>
      <c r="T691" s="2">
        <v>130</v>
      </c>
      <c r="U691" s="2">
        <f t="shared" si="52"/>
        <v>232</v>
      </c>
      <c r="V691" s="2">
        <v>1208</v>
      </c>
      <c r="W691" s="2">
        <v>14990</v>
      </c>
      <c r="X691" s="2">
        <f t="shared" si="53"/>
        <v>14990</v>
      </c>
      <c r="Y691" s="2">
        <v>2950</v>
      </c>
      <c r="Z691" t="str" cm="1">
        <f t="array" ref="Z691">_xlfn.IFS(OR(R691&gt;66, S691&gt;38), "High Engagement", OR(AND(R691&gt;32, R691&lt;=66), AND(S691&gt;19, S691&lt;=38)), "Medium-High Engagement", OR(AND(R691&gt;4, R691&lt;=32), AND(S691&gt;6, S691&lt;=19)),"Medium Engagement", TRUE, "Low Engagement"
)</f>
        <v>High Engagement</v>
      </c>
      <c r="AA691">
        <f t="shared" si="54"/>
        <v>0.19679786524349566</v>
      </c>
    </row>
    <row r="692" spans="1:27" x14ac:dyDescent="0.35">
      <c r="A692" s="2">
        <v>8053475328</v>
      </c>
      <c r="B692" s="2" t="s">
        <v>101</v>
      </c>
      <c r="C692" s="2">
        <f>VLOOKUP(user_activity!A856,users_details!$A$1:$G$34,5,0)</f>
        <v>58</v>
      </c>
      <c r="D692" s="2" t="str" cm="1">
        <f t="array" ref="D692">_xlfn.IFS( AND(C692&gt;=18, C692&lt;=25), "Emerging Adults",  AND(C692&gt;=26, C692&lt;=35),  "Young Adults",  AND(C692&gt;=36, C692&lt;=45),  "Midlife Adults",  AND(C692&gt;=46, C692&lt;=55), "Mature Adults", C692&gt;=56,  "Older Adults", TRUE, "Age Not Mentioned")</f>
        <v>Older Adults</v>
      </c>
      <c r="E692" s="2" t="str">
        <f>VLOOKUP(user_activity!A856,users_details!$A$1:$G$34,6,0)</f>
        <v>East Village, Manhattan</v>
      </c>
      <c r="F692" s="2" t="str">
        <f>VLOOKUP(user_activity!A856,users_details!$A$1:$G$34,7,0)</f>
        <v>East Village</v>
      </c>
      <c r="G692" s="2" t="s">
        <v>72</v>
      </c>
      <c r="H692" s="7">
        <v>42475</v>
      </c>
      <c r="I692" s="9" t="str">
        <f t="shared" si="50"/>
        <v>Friday</v>
      </c>
      <c r="J692" s="9" t="str">
        <f t="shared" si="51"/>
        <v>April</v>
      </c>
      <c r="K692" s="2">
        <v>16.239999770000001</v>
      </c>
      <c r="L692" s="2">
        <v>16.239999770000001</v>
      </c>
      <c r="M692" s="2">
        <v>0</v>
      </c>
      <c r="N692" s="2">
        <v>13.260000229999999</v>
      </c>
      <c r="O692" s="2">
        <v>0.38999998600000002</v>
      </c>
      <c r="P692" s="2">
        <v>2.5899999139999998</v>
      </c>
      <c r="Q692" s="2">
        <v>0</v>
      </c>
      <c r="R692" s="2">
        <v>132</v>
      </c>
      <c r="S692" s="2">
        <v>8</v>
      </c>
      <c r="T692" s="2">
        <v>158</v>
      </c>
      <c r="U692" s="2">
        <f t="shared" si="52"/>
        <v>298</v>
      </c>
      <c r="V692" s="2">
        <v>1142</v>
      </c>
      <c r="W692" s="2">
        <v>20669</v>
      </c>
      <c r="X692" s="2">
        <f t="shared" si="53"/>
        <v>20669</v>
      </c>
      <c r="Y692" s="2">
        <v>3410</v>
      </c>
      <c r="Z692" t="str" cm="1">
        <f t="array" ref="Z692">_xlfn.IFS(OR(R692&gt;66, S692&gt;38), "High Engagement", OR(AND(R692&gt;32, R692&lt;=66), AND(S692&gt;19, S692&lt;=38)), "Medium-High Engagement", OR(AND(R692&gt;4, R692&lt;=32), AND(S692&gt;6, S692&lt;=19)),"Medium Engagement", TRUE, "Low Engagement"
)</f>
        <v>High Engagement</v>
      </c>
      <c r="AA692">
        <f t="shared" si="54"/>
        <v>0.16498137307078234</v>
      </c>
    </row>
    <row r="693" spans="1:27" x14ac:dyDescent="0.35">
      <c r="A693" s="2">
        <v>8053475328</v>
      </c>
      <c r="B693" s="2" t="s">
        <v>101</v>
      </c>
      <c r="C693" s="2">
        <f>VLOOKUP(user_activity!A866,users_details!$A$1:$G$34,5,0)</f>
        <v>58</v>
      </c>
      <c r="D693" s="2" t="str" cm="1">
        <f t="array" ref="D693">_xlfn.IFS( AND(C693&gt;=18, C693&lt;=25), "Emerging Adults",  AND(C693&gt;=26, C693&lt;=35),  "Young Adults",  AND(C693&gt;=36, C693&lt;=45),  "Midlife Adults",  AND(C693&gt;=46, C693&lt;=55), "Mature Adults", C693&gt;=56,  "Older Adults", TRUE, "Age Not Mentioned")</f>
        <v>Older Adults</v>
      </c>
      <c r="E693" s="2" t="str">
        <f>VLOOKUP(user_activity!A866,users_details!$A$1:$G$34,6,0)</f>
        <v>East Village, Manhattan</v>
      </c>
      <c r="F693" s="2" t="str">
        <f>VLOOKUP(user_activity!A866,users_details!$A$1:$G$34,7,0)</f>
        <v>East Village</v>
      </c>
      <c r="G693" s="2" t="s">
        <v>72</v>
      </c>
      <c r="H693" s="7">
        <v>42479</v>
      </c>
      <c r="I693" s="9" t="str">
        <f t="shared" si="50"/>
        <v>Tuesday</v>
      </c>
      <c r="J693" s="9" t="str">
        <f t="shared" si="51"/>
        <v>April</v>
      </c>
      <c r="K693" s="2">
        <v>12.47999954</v>
      </c>
      <c r="L693" s="2">
        <v>12.47999954</v>
      </c>
      <c r="M693" s="2">
        <v>0</v>
      </c>
      <c r="N693" s="2">
        <v>9.2200002669999996</v>
      </c>
      <c r="O693" s="2">
        <v>0.310000002</v>
      </c>
      <c r="P693" s="2">
        <v>2.9500000480000002</v>
      </c>
      <c r="Q693" s="2">
        <v>0</v>
      </c>
      <c r="R693" s="2">
        <v>90</v>
      </c>
      <c r="S693" s="2">
        <v>7</v>
      </c>
      <c r="T693" s="2">
        <v>191</v>
      </c>
      <c r="U693" s="2">
        <f t="shared" si="52"/>
        <v>288</v>
      </c>
      <c r="V693" s="2">
        <v>1152</v>
      </c>
      <c r="W693" s="2">
        <v>15929</v>
      </c>
      <c r="X693" s="2">
        <f t="shared" si="53"/>
        <v>15929</v>
      </c>
      <c r="Y693" s="2">
        <v>3114</v>
      </c>
      <c r="Z693" t="str" cm="1">
        <f t="array" ref="Z693">_xlfn.IFS(OR(R693&gt;66, S693&gt;38), "High Engagement", OR(AND(R693&gt;32, R693&lt;=66), AND(S693&gt;19, S693&lt;=38)), "Medium-High Engagement", OR(AND(R693&gt;4, R693&lt;=32), AND(S693&gt;6, S693&lt;=19)),"Medium Engagement", TRUE, "Low Engagement"
)</f>
        <v>High Engagement</v>
      </c>
      <c r="AA693">
        <f t="shared" si="54"/>
        <v>0.19549249795969614</v>
      </c>
    </row>
    <row r="694" spans="1:27" x14ac:dyDescent="0.35">
      <c r="A694" s="2">
        <v>8053475328</v>
      </c>
      <c r="B694" s="2" t="s">
        <v>101</v>
      </c>
      <c r="C694" s="2">
        <f>VLOOKUP(user_activity!A875,users_details!$A$1:$G$34,5,0)</f>
        <v>58</v>
      </c>
      <c r="D694" s="2" t="str" cm="1">
        <f t="array" ref="D694">_xlfn.IFS( AND(C694&gt;=18, C694&lt;=25), "Emerging Adults",  AND(C694&gt;=26, C694&lt;=35),  "Young Adults",  AND(C694&gt;=36, C694&lt;=45),  "Midlife Adults",  AND(C694&gt;=46, C694&lt;=55), "Mature Adults", C694&gt;=56,  "Older Adults", TRUE, "Age Not Mentioned")</f>
        <v>Older Adults</v>
      </c>
      <c r="E694" s="2" t="str">
        <f>VLOOKUP(user_activity!A875,users_details!$A$1:$G$34,6,0)</f>
        <v>East Village, Manhattan</v>
      </c>
      <c r="F694" s="2" t="str">
        <f>VLOOKUP(user_activity!A875,users_details!$A$1:$G$34,7,0)</f>
        <v>East Village</v>
      </c>
      <c r="G694" s="2" t="s">
        <v>72</v>
      </c>
      <c r="H694" s="7">
        <v>42480</v>
      </c>
      <c r="I694" s="9" t="str">
        <f t="shared" si="50"/>
        <v>Wednesday</v>
      </c>
      <c r="J694" s="9" t="str">
        <f t="shared" si="51"/>
        <v>April</v>
      </c>
      <c r="K694" s="2">
        <v>12.18999958</v>
      </c>
      <c r="L694" s="2">
        <v>12.18999958</v>
      </c>
      <c r="M694" s="2">
        <v>0</v>
      </c>
      <c r="N694" s="2">
        <v>9.5799999239999991</v>
      </c>
      <c r="O694" s="2">
        <v>0.23000000400000001</v>
      </c>
      <c r="P694" s="2">
        <v>2.380000114</v>
      </c>
      <c r="Q694" s="2">
        <v>0</v>
      </c>
      <c r="R694" s="2">
        <v>89</v>
      </c>
      <c r="S694" s="2">
        <v>5</v>
      </c>
      <c r="T694" s="2">
        <v>158</v>
      </c>
      <c r="U694" s="2">
        <f t="shared" si="52"/>
        <v>252</v>
      </c>
      <c r="V694" s="2">
        <v>695</v>
      </c>
      <c r="W694" s="2">
        <v>15108</v>
      </c>
      <c r="X694" s="2">
        <f t="shared" si="53"/>
        <v>15108</v>
      </c>
      <c r="Y694" s="2">
        <v>3043</v>
      </c>
      <c r="Z694" t="str" cm="1">
        <f t="array" ref="Z694">_xlfn.IFS(OR(R694&gt;66, S694&gt;38), "High Engagement", OR(AND(R694&gt;32, R694&lt;=66), AND(S694&gt;19, S694&lt;=38)), "Medium-High Engagement", OR(AND(R694&gt;4, R694&lt;=32), AND(S694&gt;6, S694&lt;=19)),"Medium Engagement", TRUE, "Low Engagement"
)</f>
        <v>High Engagement</v>
      </c>
      <c r="AA694">
        <f t="shared" si="54"/>
        <v>0.20141646809637279</v>
      </c>
    </row>
    <row r="695" spans="1:27" x14ac:dyDescent="0.35">
      <c r="A695" s="2">
        <v>8053475328</v>
      </c>
      <c r="B695" s="2" t="s">
        <v>101</v>
      </c>
      <c r="C695" s="2">
        <f>VLOOKUP(user_activity!A897,users_details!$A$1:$G$34,5,0)</f>
        <v>59</v>
      </c>
      <c r="D695" s="2" t="str" cm="1">
        <f t="array" ref="D695">_xlfn.IFS( AND(C695&gt;=18, C695&lt;=25), "Emerging Adults",  AND(C695&gt;=26, C695&lt;=35),  "Young Adults",  AND(C695&gt;=36, C695&lt;=45),  "Midlife Adults",  AND(C695&gt;=46, C695&lt;=55), "Mature Adults", C695&gt;=56,  "Older Adults", TRUE, "Age Not Mentioned")</f>
        <v>Older Adults</v>
      </c>
      <c r="E695" s="2" t="str">
        <f>VLOOKUP(user_activity!A897,users_details!$A$1:$G$34,6,0)</f>
        <v>Upper West Side, Manhattan</v>
      </c>
      <c r="F695" s="2" t="str">
        <f>VLOOKUP(user_activity!A897,users_details!$A$1:$G$34,7,0)</f>
        <v>Upper West Side</v>
      </c>
      <c r="G695" s="2" t="s">
        <v>72</v>
      </c>
      <c r="H695" s="7">
        <v>42486</v>
      </c>
      <c r="I695" s="9" t="str">
        <f t="shared" si="50"/>
        <v>Tuesday</v>
      </c>
      <c r="J695" s="9" t="str">
        <f t="shared" si="51"/>
        <v>April</v>
      </c>
      <c r="K695" s="2">
        <v>9.6199998860000004</v>
      </c>
      <c r="L695" s="2">
        <v>9.6199998860000004</v>
      </c>
      <c r="M695" s="2">
        <v>0</v>
      </c>
      <c r="N695" s="2">
        <v>6.3099999430000002</v>
      </c>
      <c r="O695" s="2">
        <v>0.20000000300000001</v>
      </c>
      <c r="P695" s="2">
        <v>3.0999999049999998</v>
      </c>
      <c r="Q695" s="2">
        <v>0</v>
      </c>
      <c r="R695" s="2">
        <v>68</v>
      </c>
      <c r="S695" s="2">
        <v>5</v>
      </c>
      <c r="T695" s="2">
        <v>185</v>
      </c>
      <c r="U695" s="2">
        <f t="shared" si="52"/>
        <v>258</v>
      </c>
      <c r="V695" s="2">
        <v>1182</v>
      </c>
      <c r="W695" s="2">
        <v>12685</v>
      </c>
      <c r="X695" s="2">
        <f t="shared" si="53"/>
        <v>12685</v>
      </c>
      <c r="Y695" s="2">
        <v>2846</v>
      </c>
      <c r="Z695" t="str" cm="1">
        <f t="array" ref="Z695">_xlfn.IFS(OR(R695&gt;66, S695&gt;38), "High Engagement", OR(AND(R695&gt;32, R695&lt;=66), AND(S695&gt;19, S695&lt;=38)), "Medium-High Engagement", OR(AND(R695&gt;4, R695&lt;=32), AND(S695&gt;6, S695&lt;=19)),"Medium Engagement", TRUE, "Low Engagement"
)</f>
        <v>High Engagement</v>
      </c>
      <c r="AA695">
        <f t="shared" si="54"/>
        <v>0.22435947970043357</v>
      </c>
    </row>
    <row r="696" spans="1:27" x14ac:dyDescent="0.35">
      <c r="A696" s="2">
        <v>8053475328</v>
      </c>
      <c r="B696" s="2" t="s">
        <v>101</v>
      </c>
      <c r="C696" s="2">
        <f>VLOOKUP(user_activity!A919,users_details!$A$1:$G$34,5,0)</f>
        <v>60</v>
      </c>
      <c r="D696" s="2" t="str" cm="1">
        <f t="array" ref="D696">_xlfn.IFS( AND(C696&gt;=18, C696&lt;=25), "Emerging Adults",  AND(C696&gt;=26, C696&lt;=35),  "Young Adults",  AND(C696&gt;=36, C696&lt;=45),  "Midlife Adults",  AND(C696&gt;=46, C696&lt;=55), "Mature Adults", C696&gt;=56,  "Older Adults", TRUE, "Age Not Mentioned")</f>
        <v>Older Adults</v>
      </c>
      <c r="E696" s="2" t="str">
        <f>VLOOKUP(user_activity!A919,users_details!$A$1:$G$34,6,0)</f>
        <v>East Village, Manhattan</v>
      </c>
      <c r="F696" s="2" t="str">
        <f>VLOOKUP(user_activity!A919,users_details!$A$1:$G$34,7,0)</f>
        <v>East Village</v>
      </c>
      <c r="G696" s="2" t="s">
        <v>72</v>
      </c>
      <c r="H696" s="7">
        <v>42473</v>
      </c>
      <c r="I696" s="9" t="str">
        <f t="shared" si="50"/>
        <v>Wednesday</v>
      </c>
      <c r="J696" s="9" t="str">
        <f t="shared" si="51"/>
        <v>April</v>
      </c>
      <c r="K696" s="2">
        <v>13.350000380000001</v>
      </c>
      <c r="L696" s="2">
        <v>13.350000380000001</v>
      </c>
      <c r="M696" s="2">
        <v>0</v>
      </c>
      <c r="N696" s="2">
        <v>10.43000031</v>
      </c>
      <c r="O696" s="2">
        <v>0.469999999</v>
      </c>
      <c r="P696" s="2">
        <v>2.4500000480000002</v>
      </c>
      <c r="Q696" s="2">
        <v>0</v>
      </c>
      <c r="R696" s="2">
        <v>95</v>
      </c>
      <c r="S696" s="2">
        <v>12</v>
      </c>
      <c r="T696" s="2">
        <v>156</v>
      </c>
      <c r="U696" s="2">
        <f t="shared" si="52"/>
        <v>263</v>
      </c>
      <c r="V696" s="2">
        <v>1177</v>
      </c>
      <c r="W696" s="2">
        <v>16433</v>
      </c>
      <c r="X696" s="2">
        <f t="shared" si="53"/>
        <v>16433</v>
      </c>
      <c r="Y696" s="2">
        <v>3140</v>
      </c>
      <c r="Z696" t="str" cm="1">
        <f t="array" ref="Z696">_xlfn.IFS(OR(R696&gt;66, S696&gt;38), "High Engagement", OR(AND(R696&gt;32, R696&lt;=66), AND(S696&gt;19, S696&lt;=38)), "Medium-High Engagement", OR(AND(R696&gt;4, R696&lt;=32), AND(S696&gt;6, S696&lt;=19)),"Medium Engagement", TRUE, "Low Engagement"
)</f>
        <v>High Engagement</v>
      </c>
      <c r="AA696">
        <f t="shared" si="54"/>
        <v>0.19107892655023428</v>
      </c>
    </row>
    <row r="697" spans="1:27" x14ac:dyDescent="0.35">
      <c r="A697" s="2">
        <v>6117666160</v>
      </c>
      <c r="B697" s="2" t="s">
        <v>73</v>
      </c>
      <c r="C697" s="2">
        <f>VLOOKUP(user_activity!A2,users_details!$A$1:$G$34,5,0)</f>
        <v>18</v>
      </c>
      <c r="D697" s="2" t="str" cm="1">
        <f t="array" ref="D697">_xlfn.IFS( AND(C697&gt;=18, C697&lt;=25), "Emerging Adults",  AND(C697&gt;=26, C697&lt;=35),  "Young Adults",  AND(C697&gt;=36, C697&lt;=45),  "Midlife Adults",  AND(C697&gt;=46, C697&lt;=55), "Mature Adults", C697&gt;=56,  "Older Adults", TRUE, "Age Not Mentioned")</f>
        <v>Emerging Adults</v>
      </c>
      <c r="E697" s="2" t="str">
        <f>VLOOKUP(user_activity!A2,users_details!$A$1:$G$34,6,0)</f>
        <v>Upper West Side, Manhattan</v>
      </c>
      <c r="F697" s="2" t="str">
        <f>VLOOKUP(user_activity!A2,users_details!$A$1:$G$34,7,0)</f>
        <v>Upper West Side</v>
      </c>
      <c r="G697" s="2" t="s">
        <v>71</v>
      </c>
      <c r="H697" s="7">
        <v>42480</v>
      </c>
      <c r="I697" s="9" t="str">
        <f t="shared" si="50"/>
        <v>Wednesday</v>
      </c>
      <c r="J697" s="9" t="str">
        <f t="shared" si="51"/>
        <v>April</v>
      </c>
      <c r="K697" s="2">
        <v>8.0200004580000002</v>
      </c>
      <c r="L697" s="2">
        <v>8.0200004580000002</v>
      </c>
      <c r="M697" s="2">
        <v>0</v>
      </c>
      <c r="N697" s="2">
        <v>2.0299999710000001</v>
      </c>
      <c r="O697" s="2">
        <v>0.47999998900000002</v>
      </c>
      <c r="P697" s="2">
        <v>5.5199999809999998</v>
      </c>
      <c r="Q697" s="2">
        <v>0</v>
      </c>
      <c r="R697" s="2">
        <v>26</v>
      </c>
      <c r="S697" s="2">
        <v>10</v>
      </c>
      <c r="T697" s="2">
        <v>349</v>
      </c>
      <c r="U697" s="2">
        <f t="shared" si="52"/>
        <v>385</v>
      </c>
      <c r="V697" s="2">
        <v>587</v>
      </c>
      <c r="W697" s="2">
        <v>10449</v>
      </c>
      <c r="X697" s="2">
        <f t="shared" si="53"/>
        <v>10449</v>
      </c>
      <c r="Y697" s="2">
        <v>2536</v>
      </c>
      <c r="Z697" t="str" cm="1">
        <f t="array" ref="Z697">_xlfn.IFS(OR(R697&gt;66, S697&gt;38), "High Engagement", OR(AND(R697&gt;32, R697&lt;=66), AND(S697&gt;19, S697&lt;=38)), "Medium-High Engagement", OR(AND(R697&gt;4, R697&lt;=32), AND(S697&gt;6, S697&lt;=19)),"Medium Engagement", TRUE, "Low Engagement"
)</f>
        <v>Medium Engagement</v>
      </c>
      <c r="AA697">
        <f t="shared" si="54"/>
        <v>0.24270265097138483</v>
      </c>
    </row>
    <row r="698" spans="1:27" x14ac:dyDescent="0.35">
      <c r="A698" s="2">
        <v>6117666160</v>
      </c>
      <c r="B698" s="2" t="s">
        <v>73</v>
      </c>
      <c r="C698" s="2">
        <f>VLOOKUP(user_activity!A5,users_details!$A$1:$G$34,5,0)</f>
        <v>18</v>
      </c>
      <c r="D698" s="2" t="str" cm="1">
        <f t="array" ref="D698">_xlfn.IFS( AND(C698&gt;=18, C698&lt;=25), "Emerging Adults",  AND(C698&gt;=26, C698&lt;=35),  "Young Adults",  AND(C698&gt;=36, C698&lt;=45),  "Midlife Adults",  AND(C698&gt;=46, C698&lt;=55), "Mature Adults", C698&gt;=56,  "Older Adults", TRUE, "Age Not Mentioned")</f>
        <v>Emerging Adults</v>
      </c>
      <c r="E698" s="2" t="str">
        <f>VLOOKUP(user_activity!A5,users_details!$A$1:$G$34,6,0)</f>
        <v>Hell's Kitchen, Manhattan</v>
      </c>
      <c r="F698" s="2" t="str">
        <f>VLOOKUP(user_activity!A5,users_details!$A$1:$G$34,7,0)</f>
        <v>Hell's Kitchen</v>
      </c>
      <c r="G698" s="2" t="s">
        <v>71</v>
      </c>
      <c r="H698" s="7">
        <v>42486</v>
      </c>
      <c r="I698" s="9" t="str">
        <f t="shared" si="50"/>
        <v>Tuesday</v>
      </c>
      <c r="J698" s="9" t="str">
        <f t="shared" si="51"/>
        <v>April</v>
      </c>
      <c r="K698" s="2">
        <v>7.2100000380000004</v>
      </c>
      <c r="L698" s="2">
        <v>7.2100000380000004</v>
      </c>
      <c r="M698" s="2">
        <v>0</v>
      </c>
      <c r="N698" s="2">
        <v>0</v>
      </c>
      <c r="O698" s="2">
        <v>0.34000000400000002</v>
      </c>
      <c r="P698" s="2">
        <v>6.8699998860000004</v>
      </c>
      <c r="Q698" s="2">
        <v>0</v>
      </c>
      <c r="R698" s="2">
        <v>0</v>
      </c>
      <c r="S698" s="2">
        <v>7</v>
      </c>
      <c r="T698" s="2">
        <v>352</v>
      </c>
      <c r="U698" s="2">
        <f t="shared" si="52"/>
        <v>359</v>
      </c>
      <c r="V698" s="2">
        <v>1077</v>
      </c>
      <c r="W698" s="2">
        <v>9543</v>
      </c>
      <c r="X698" s="2">
        <f t="shared" si="53"/>
        <v>9543</v>
      </c>
      <c r="Y698" s="2">
        <v>2450</v>
      </c>
      <c r="Z698" t="str" cm="1">
        <f t="array" ref="Z698">_xlfn.IFS(OR(R698&gt;66, S698&gt;38), "High Engagement", OR(AND(R698&gt;32, R698&lt;=66), AND(S698&gt;19, S698&lt;=38)), "Medium-High Engagement", OR(AND(R698&gt;4, R698&lt;=32), AND(S698&gt;6, S698&lt;=19)),"Medium Engagement", TRUE, "Low Engagement"
)</f>
        <v>Medium Engagement</v>
      </c>
      <c r="AA698">
        <f t="shared" si="54"/>
        <v>0.25673268364246044</v>
      </c>
    </row>
    <row r="699" spans="1:27" x14ac:dyDescent="0.35">
      <c r="A699" s="2">
        <v>4445114986</v>
      </c>
      <c r="B699" s="2" t="s">
        <v>79</v>
      </c>
      <c r="C699" s="2">
        <f>VLOOKUP(user_activity!A10,users_details!$A$1:$G$34,5,0)</f>
        <v>18</v>
      </c>
      <c r="D699" s="2" t="str" cm="1">
        <f t="array" ref="D699">_xlfn.IFS( AND(C699&gt;=18, C699&lt;=25), "Emerging Adults",  AND(C699&gt;=26, C699&lt;=35),  "Young Adults",  AND(C699&gt;=36, C699&lt;=45),  "Midlife Adults",  AND(C699&gt;=46, C699&lt;=55), "Mature Adults", C699&gt;=56,  "Older Adults", TRUE, "Age Not Mentioned")</f>
        <v>Emerging Adults</v>
      </c>
      <c r="E699" s="2" t="str">
        <f>VLOOKUP(user_activity!A10,users_details!$A$1:$G$34,6,0)</f>
        <v>Hell's Kitchen, Manhattan</v>
      </c>
      <c r="F699" s="2" t="str">
        <f>VLOOKUP(user_activity!A10,users_details!$A$1:$G$34,7,0)</f>
        <v>Hell's Kitchen</v>
      </c>
      <c r="G699" s="2" t="s">
        <v>72</v>
      </c>
      <c r="H699" s="7">
        <v>42473</v>
      </c>
      <c r="I699" s="9" t="str">
        <f t="shared" si="50"/>
        <v>Wednesday</v>
      </c>
      <c r="J699" s="9" t="str">
        <f t="shared" si="51"/>
        <v>April</v>
      </c>
      <c r="K699" s="2">
        <v>1.9900000099999999</v>
      </c>
      <c r="L699" s="2">
        <v>1.9900000099999999</v>
      </c>
      <c r="M699" s="2">
        <v>0</v>
      </c>
      <c r="N699" s="2">
        <v>0</v>
      </c>
      <c r="O699" s="2">
        <v>0</v>
      </c>
      <c r="P699" s="2">
        <v>1.9900000099999999</v>
      </c>
      <c r="Q699" s="2">
        <v>0</v>
      </c>
      <c r="R699" s="2">
        <v>0</v>
      </c>
      <c r="S699" s="2">
        <v>0</v>
      </c>
      <c r="T699" s="2">
        <v>194</v>
      </c>
      <c r="U699" s="2">
        <f t="shared" si="52"/>
        <v>194</v>
      </c>
      <c r="V699" s="2">
        <v>840</v>
      </c>
      <c r="W699" s="2">
        <v>2961</v>
      </c>
      <c r="X699" s="2">
        <f t="shared" si="53"/>
        <v>2961</v>
      </c>
      <c r="Y699" s="2">
        <v>2095</v>
      </c>
      <c r="Z699" t="str" cm="1">
        <f t="array" ref="Z699">_xlfn.IFS(OR(R699&gt;66, S699&gt;38), "High Engagement", OR(AND(R699&gt;32, R699&lt;=66), AND(S699&gt;19, S699&lt;=38)), "Medium-High Engagement", OR(AND(R699&gt;4, R699&lt;=32), AND(S699&gt;6, S699&lt;=19)),"Medium Engagement", TRUE, "Low Engagement"
)</f>
        <v>Low Engagement</v>
      </c>
      <c r="AA699">
        <f t="shared" si="54"/>
        <v>0.70753123944613305</v>
      </c>
    </row>
    <row r="700" spans="1:27" x14ac:dyDescent="0.35">
      <c r="A700" s="2">
        <v>6117666160</v>
      </c>
      <c r="B700" s="2" t="s">
        <v>73</v>
      </c>
      <c r="C700" s="2">
        <f>VLOOKUP(user_activity!A19,users_details!$A$1:$G$34,5,0)</f>
        <v>18</v>
      </c>
      <c r="D700" s="2" t="str" cm="1">
        <f t="array" ref="D700">_xlfn.IFS( AND(C700&gt;=18, C700&lt;=25), "Emerging Adults",  AND(C700&gt;=26, C700&lt;=35),  "Young Adults",  AND(C700&gt;=36, C700&lt;=45),  "Midlife Adults",  AND(C700&gt;=46, C700&lt;=55), "Mature Adults", C700&gt;=56,  "Older Adults", TRUE, "Age Not Mentioned")</f>
        <v>Emerging Adults</v>
      </c>
      <c r="E700" s="2" t="str">
        <f>VLOOKUP(user_activity!A19,users_details!$A$1:$G$34,6,0)</f>
        <v>Upper West Side, Manhattan</v>
      </c>
      <c r="F700" s="2" t="str">
        <f>VLOOKUP(user_activity!A19,users_details!$A$1:$G$34,7,0)</f>
        <v>Upper West Side</v>
      </c>
      <c r="G700" s="2" t="s">
        <v>71</v>
      </c>
      <c r="H700" s="7">
        <v>42526</v>
      </c>
      <c r="I700" s="9" t="str">
        <f t="shared" si="50"/>
        <v>Sunday</v>
      </c>
      <c r="J700" s="9" t="str">
        <f t="shared" si="51"/>
        <v>June</v>
      </c>
      <c r="K700" s="2">
        <v>2.6800000669999999</v>
      </c>
      <c r="L700" s="2">
        <v>2.6800000669999999</v>
      </c>
      <c r="M700" s="2">
        <v>0</v>
      </c>
      <c r="N700" s="2">
        <v>0</v>
      </c>
      <c r="O700" s="2">
        <v>0</v>
      </c>
      <c r="P700" s="2">
        <v>2.6800000669999999</v>
      </c>
      <c r="Q700" s="2">
        <v>0</v>
      </c>
      <c r="R700" s="2">
        <v>0</v>
      </c>
      <c r="S700" s="2">
        <v>0</v>
      </c>
      <c r="T700" s="2">
        <v>133</v>
      </c>
      <c r="U700" s="2">
        <f t="shared" si="52"/>
        <v>133</v>
      </c>
      <c r="V700" s="2">
        <v>673</v>
      </c>
      <c r="W700" s="2">
        <v>3365</v>
      </c>
      <c r="X700" s="2">
        <f t="shared" si="53"/>
        <v>3365</v>
      </c>
      <c r="Y700" s="2">
        <v>1838</v>
      </c>
      <c r="Z700" t="str" cm="1">
        <f t="array" ref="Z700">_xlfn.IFS(OR(R700&gt;66, S700&gt;38), "High Engagement", OR(AND(R700&gt;32, R700&lt;=66), AND(S700&gt;19, S700&lt;=38)), "Medium-High Engagement", OR(AND(R700&gt;4, R700&lt;=32), AND(S700&gt;6, S700&lt;=19)),"Medium Engagement", TRUE, "Low Engagement"
)</f>
        <v>Low Engagement</v>
      </c>
      <c r="AA700">
        <f t="shared" si="54"/>
        <v>0.54621099554234764</v>
      </c>
    </row>
    <row r="701" spans="1:27" x14ac:dyDescent="0.35">
      <c r="A701" s="2">
        <v>4445114986</v>
      </c>
      <c r="B701" s="2" t="s">
        <v>79</v>
      </c>
      <c r="C701" s="2">
        <f>VLOOKUP(user_activity!A35,users_details!$A$1:$G$34,5,0)</f>
        <v>18</v>
      </c>
      <c r="D701" s="2" t="str" cm="1">
        <f t="array" ref="D701">_xlfn.IFS( AND(C701&gt;=18, C701&lt;=25), "Emerging Adults",  AND(C701&gt;=26, C701&lt;=35),  "Young Adults",  AND(C701&gt;=36, C701&lt;=45),  "Midlife Adults",  AND(C701&gt;=46, C701&lt;=55), "Mature Adults", C701&gt;=56,  "Older Adults", TRUE, "Age Not Mentioned")</f>
        <v>Emerging Adults</v>
      </c>
      <c r="E701" s="2" t="str">
        <f>VLOOKUP(user_activity!A35,users_details!$A$1:$G$34,6,0)</f>
        <v>Hell's Kitchen, Manhattan</v>
      </c>
      <c r="F701" s="2" t="str">
        <f>VLOOKUP(user_activity!A35,users_details!$A$1:$G$34,7,0)</f>
        <v>Hell's Kitchen</v>
      </c>
      <c r="G701" s="2" t="s">
        <v>72</v>
      </c>
      <c r="H701" s="7">
        <v>42480</v>
      </c>
      <c r="I701" s="9" t="str">
        <f t="shared" si="50"/>
        <v>Wednesday</v>
      </c>
      <c r="J701" s="9" t="str">
        <f t="shared" si="51"/>
        <v>April</v>
      </c>
      <c r="K701" s="2">
        <v>1.3899999860000001</v>
      </c>
      <c r="L701" s="2">
        <v>1.3899999860000001</v>
      </c>
      <c r="M701" s="2">
        <v>0</v>
      </c>
      <c r="N701" s="2">
        <v>0</v>
      </c>
      <c r="O701" s="2">
        <v>0</v>
      </c>
      <c r="P701" s="2">
        <v>1.3899999860000001</v>
      </c>
      <c r="Q701" s="2">
        <v>0</v>
      </c>
      <c r="R701" s="2">
        <v>0</v>
      </c>
      <c r="S701" s="2">
        <v>0</v>
      </c>
      <c r="T701" s="2">
        <v>137</v>
      </c>
      <c r="U701" s="2">
        <f t="shared" si="52"/>
        <v>137</v>
      </c>
      <c r="V701" s="2">
        <v>841</v>
      </c>
      <c r="W701" s="2">
        <v>2072</v>
      </c>
      <c r="X701" s="2">
        <f t="shared" si="53"/>
        <v>2072</v>
      </c>
      <c r="Y701" s="2">
        <v>1974</v>
      </c>
      <c r="Z701" t="str" cm="1">
        <f t="array" ref="Z701">_xlfn.IFS(OR(R701&gt;66, S701&gt;38), "High Engagement", OR(AND(R701&gt;32, R701&lt;=66), AND(S701&gt;19, S701&lt;=38)), "Medium-High Engagement", OR(AND(R701&gt;4, R701&lt;=32), AND(S701&gt;6, S701&lt;=19)),"Medium Engagement", TRUE, "Low Engagement"
)</f>
        <v>Low Engagement</v>
      </c>
      <c r="AA701">
        <f t="shared" si="54"/>
        <v>0.95270270270270274</v>
      </c>
    </row>
    <row r="702" spans="1:27" x14ac:dyDescent="0.35">
      <c r="A702" s="2">
        <v>6117666160</v>
      </c>
      <c r="B702" s="2" t="s">
        <v>73</v>
      </c>
      <c r="C702" s="2">
        <f>VLOOKUP(user_activity!A38,users_details!$A$1:$G$34,5,0)</f>
        <v>18</v>
      </c>
      <c r="D702" s="2" t="str" cm="1">
        <f t="array" ref="D702">_xlfn.IFS( AND(C702&gt;=18, C702&lt;=25), "Emerging Adults",  AND(C702&gt;=26, C702&lt;=35),  "Young Adults",  AND(C702&gt;=36, C702&lt;=45),  "Midlife Adults",  AND(C702&gt;=46, C702&lt;=55), "Mature Adults", C702&gt;=56,  "Older Adults", TRUE, "Age Not Mentioned")</f>
        <v>Emerging Adults</v>
      </c>
      <c r="E702" s="2" t="str">
        <f>VLOOKUP(user_activity!A38,users_details!$A$1:$G$34,6,0)</f>
        <v>Upper West Side, Manhattan</v>
      </c>
      <c r="F702" s="2" t="str">
        <f>VLOOKUP(user_activity!A38,users_details!$A$1:$G$34,7,0)</f>
        <v>Upper West Side</v>
      </c>
      <c r="G702" s="2" t="s">
        <v>71</v>
      </c>
      <c r="H702" s="7">
        <v>42479</v>
      </c>
      <c r="I702" s="9" t="str">
        <f t="shared" si="50"/>
        <v>Tuesday</v>
      </c>
      <c r="J702" s="9" t="str">
        <f t="shared" si="51"/>
        <v>April</v>
      </c>
      <c r="K702" s="2">
        <v>8.4099998469999999</v>
      </c>
      <c r="L702" s="2">
        <v>8.4099998469999999</v>
      </c>
      <c r="M702" s="2">
        <v>0</v>
      </c>
      <c r="N702" s="2">
        <v>0</v>
      </c>
      <c r="O702" s="2">
        <v>0</v>
      </c>
      <c r="P702" s="2">
        <v>8.4099998469999999</v>
      </c>
      <c r="Q702" s="2">
        <v>0</v>
      </c>
      <c r="R702" s="2">
        <v>0</v>
      </c>
      <c r="S702" s="2">
        <v>0</v>
      </c>
      <c r="T702" s="2">
        <v>480</v>
      </c>
      <c r="U702" s="2">
        <f t="shared" si="52"/>
        <v>480</v>
      </c>
      <c r="V702" s="2">
        <v>425</v>
      </c>
      <c r="W702" s="2">
        <v>11135</v>
      </c>
      <c r="X702" s="2">
        <f t="shared" si="53"/>
        <v>11135</v>
      </c>
      <c r="Y702" s="2">
        <v>2606</v>
      </c>
      <c r="Z702" t="str" cm="1">
        <f t="array" ref="Z702">_xlfn.IFS(OR(R702&gt;66, S702&gt;38), "High Engagement", OR(AND(R702&gt;32, R702&lt;=66), AND(S702&gt;19, S702&lt;=38)), "Medium-High Engagement", OR(AND(R702&gt;4, R702&lt;=32), AND(S702&gt;6, S702&lt;=19)),"Medium Engagement", TRUE, "Low Engagement"
)</f>
        <v>Low Engagement</v>
      </c>
      <c r="AA702">
        <f t="shared" si="54"/>
        <v>0.2340368208352043</v>
      </c>
    </row>
    <row r="703" spans="1:27" x14ac:dyDescent="0.35">
      <c r="A703" s="2">
        <v>6117666160</v>
      </c>
      <c r="B703" s="2" t="s">
        <v>73</v>
      </c>
      <c r="C703" s="2">
        <f>VLOOKUP(user_activity!A39,users_details!$A$1:$G$34,5,0)</f>
        <v>18</v>
      </c>
      <c r="D703" s="2" t="str" cm="1">
        <f t="array" ref="D703">_xlfn.IFS( AND(C703&gt;=18, C703&lt;=25), "Emerging Adults",  AND(C703&gt;=26, C703&lt;=35),  "Young Adults",  AND(C703&gt;=36, C703&lt;=45),  "Midlife Adults",  AND(C703&gt;=46, C703&lt;=55), "Mature Adults", C703&gt;=56,  "Older Adults", TRUE, "Age Not Mentioned")</f>
        <v>Emerging Adults</v>
      </c>
      <c r="E703" s="2" t="str">
        <f>VLOOKUP(user_activity!A39,users_details!$A$1:$G$34,6,0)</f>
        <v>Upper West Side, Manhattan</v>
      </c>
      <c r="F703" s="2" t="str">
        <f>VLOOKUP(user_activity!A39,users_details!$A$1:$G$34,7,0)</f>
        <v>Upper West Side</v>
      </c>
      <c r="G703" s="2" t="s">
        <v>71</v>
      </c>
      <c r="H703" s="7">
        <v>42473</v>
      </c>
      <c r="I703" s="9" t="str">
        <f t="shared" si="50"/>
        <v>Wednesday</v>
      </c>
      <c r="J703" s="9" t="str">
        <f t="shared" si="51"/>
        <v>April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f t="shared" si="52"/>
        <v>0</v>
      </c>
      <c r="V703" s="2">
        <v>1440</v>
      </c>
      <c r="W703" s="2">
        <v>0</v>
      </c>
      <c r="X703" s="2">
        <f t="shared" si="53"/>
        <v>7405.5</v>
      </c>
      <c r="Y703" s="2">
        <v>1496</v>
      </c>
      <c r="Z703" t="str" cm="1">
        <f t="array" ref="Z703">_xlfn.IFS(OR(R703&gt;66, S703&gt;38), "High Engagement", OR(AND(R703&gt;32, R703&lt;=66), AND(S703&gt;19, S703&lt;=38)), "Medium-High Engagement", OR(AND(R703&gt;4, R703&lt;=32), AND(S703&gt;6, S703&lt;=19)),"Medium Engagement", TRUE, "Low Engagement"
)</f>
        <v>Low Engagement</v>
      </c>
      <c r="AA703">
        <f t="shared" si="54"/>
        <v>0</v>
      </c>
    </row>
    <row r="704" spans="1:27" x14ac:dyDescent="0.35">
      <c r="A704" s="2">
        <v>4445114986</v>
      </c>
      <c r="B704" s="2" t="s">
        <v>79</v>
      </c>
      <c r="C704" s="2">
        <f>VLOOKUP(user_activity!A41,users_details!$A$1:$G$34,5,0)</f>
        <v>18</v>
      </c>
      <c r="D704" s="2" t="str" cm="1">
        <f t="array" ref="D704">_xlfn.IFS( AND(C704&gt;=18, C704&lt;=25), "Emerging Adults",  AND(C704&gt;=26, C704&lt;=35),  "Young Adults",  AND(C704&gt;=36, C704&lt;=45),  "Midlife Adults",  AND(C704&gt;=46, C704&lt;=55), "Mature Adults", C704&gt;=56,  "Older Adults", TRUE, "Age Not Mentioned")</f>
        <v>Emerging Adults</v>
      </c>
      <c r="E704" s="2" t="str">
        <f>VLOOKUP(user_activity!A41,users_details!$A$1:$G$34,6,0)</f>
        <v>Upper West Side, Manhattan</v>
      </c>
      <c r="F704" s="2" t="str">
        <f>VLOOKUP(user_activity!A41,users_details!$A$1:$G$34,7,0)</f>
        <v>Upper West Side</v>
      </c>
      <c r="G704" s="2" t="s">
        <v>72</v>
      </c>
      <c r="H704" s="7">
        <v>42526</v>
      </c>
      <c r="I704" s="9" t="str">
        <f t="shared" si="50"/>
        <v>Sunday</v>
      </c>
      <c r="J704" s="9" t="str">
        <f t="shared" si="51"/>
        <v>June</v>
      </c>
      <c r="K704" s="2">
        <v>3.0299999710000001</v>
      </c>
      <c r="L704" s="2">
        <v>3.0299999710000001</v>
      </c>
      <c r="M704" s="2">
        <v>0</v>
      </c>
      <c r="N704" s="2">
        <v>0</v>
      </c>
      <c r="O704" s="2">
        <v>0</v>
      </c>
      <c r="P704" s="2">
        <v>3.0299999710000001</v>
      </c>
      <c r="Q704" s="2">
        <v>0</v>
      </c>
      <c r="R704" s="2">
        <v>0</v>
      </c>
      <c r="S704" s="2">
        <v>0</v>
      </c>
      <c r="T704" s="2">
        <v>229</v>
      </c>
      <c r="U704" s="2">
        <f t="shared" si="52"/>
        <v>229</v>
      </c>
      <c r="V704" s="2">
        <v>809</v>
      </c>
      <c r="W704" s="2">
        <v>4514</v>
      </c>
      <c r="X704" s="2">
        <f t="shared" si="53"/>
        <v>4514</v>
      </c>
      <c r="Y704" s="2">
        <v>2211</v>
      </c>
      <c r="Z704" t="str" cm="1">
        <f t="array" ref="Z704">_xlfn.IFS(OR(R704&gt;66, S704&gt;38), "High Engagement", OR(AND(R704&gt;32, R704&lt;=66), AND(S704&gt;19, S704&lt;=38)), "Medium-High Engagement", OR(AND(R704&gt;4, R704&lt;=32), AND(S704&gt;6, S704&lt;=19)),"Medium Engagement", TRUE, "Low Engagement"
)</f>
        <v>Low Engagement</v>
      </c>
      <c r="AA704">
        <f t="shared" si="54"/>
        <v>0.48980948161276028</v>
      </c>
    </row>
    <row r="705" spans="1:27" x14ac:dyDescent="0.35">
      <c r="A705" s="2">
        <v>1844505072</v>
      </c>
      <c r="B705" s="2" t="s">
        <v>93</v>
      </c>
      <c r="C705" s="2">
        <f>VLOOKUP(user_activity!A47,users_details!$A$1:$G$34,5,0)</f>
        <v>18</v>
      </c>
      <c r="D705" s="2" t="str" cm="1">
        <f t="array" ref="D705">_xlfn.IFS( AND(C705&gt;=18, C705&lt;=25), "Emerging Adults",  AND(C705&gt;=26, C705&lt;=35),  "Young Adults",  AND(C705&gt;=36, C705&lt;=45),  "Midlife Adults",  AND(C705&gt;=46, C705&lt;=55), "Mature Adults", C705&gt;=56,  "Older Adults", TRUE, "Age Not Mentioned")</f>
        <v>Emerging Adults</v>
      </c>
      <c r="E705" s="2" t="str">
        <f>VLOOKUP(user_activity!A47,users_details!$A$1:$G$34,6,0)</f>
        <v>Upper West Side, Manhattan</v>
      </c>
      <c r="F705" s="2" t="str">
        <f>VLOOKUP(user_activity!A47,users_details!$A$1:$G$34,7,0)</f>
        <v>Upper West Side</v>
      </c>
      <c r="G705" s="2" t="s">
        <v>72</v>
      </c>
      <c r="H705" s="7">
        <v>42487</v>
      </c>
      <c r="I705" s="9" t="str">
        <f t="shared" si="50"/>
        <v>Wednesday</v>
      </c>
      <c r="J705" s="9" t="str">
        <f t="shared" si="51"/>
        <v>April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1</v>
      </c>
      <c r="U705" s="2">
        <f t="shared" si="52"/>
        <v>1</v>
      </c>
      <c r="V705" s="2">
        <v>1439</v>
      </c>
      <c r="W705" s="2">
        <v>4</v>
      </c>
      <c r="X705" s="2">
        <f t="shared" si="53"/>
        <v>4</v>
      </c>
      <c r="Y705" s="2">
        <v>1348</v>
      </c>
      <c r="Z705" t="str" cm="1">
        <f t="array" ref="Z705">_xlfn.IFS(OR(R705&gt;66, S705&gt;38), "High Engagement", OR(AND(R705&gt;32, R705&lt;=66), AND(S705&gt;19, S705&lt;=38)), "Medium-High Engagement", OR(AND(R705&gt;4, R705&lt;=32), AND(S705&gt;6, S705&lt;=19)),"Medium Engagement", TRUE, "Low Engagement"
)</f>
        <v>Low Engagement</v>
      </c>
      <c r="AA705">
        <f t="shared" si="54"/>
        <v>337</v>
      </c>
    </row>
    <row r="706" spans="1:27" x14ac:dyDescent="0.35">
      <c r="A706" s="2">
        <v>6117666160</v>
      </c>
      <c r="B706" s="2" t="s">
        <v>73</v>
      </c>
      <c r="C706" s="2">
        <f>VLOOKUP(user_activity!A53,users_details!$A$1:$G$34,5,0)</f>
        <v>18</v>
      </c>
      <c r="D706" s="2" t="str" cm="1">
        <f t="array" ref="D706">_xlfn.IFS( AND(C706&gt;=18, C706&lt;=25), "Emerging Adults",  AND(C706&gt;=26, C706&lt;=35),  "Young Adults",  AND(C706&gt;=36, C706&lt;=45),  "Midlife Adults",  AND(C706&gt;=46, C706&lt;=55), "Mature Adults", C706&gt;=56,  "Older Adults", TRUE, "Age Not Mentioned")</f>
        <v>Emerging Adults</v>
      </c>
      <c r="E706" s="2" t="str">
        <f>VLOOKUP(user_activity!A53,users_details!$A$1:$G$34,6,0)</f>
        <v>Hell's Kitchen, Manhattan</v>
      </c>
      <c r="F706" s="2" t="str">
        <f>VLOOKUP(user_activity!A53,users_details!$A$1:$G$34,7,0)</f>
        <v>Hell's Kitchen</v>
      </c>
      <c r="G706" s="2" t="s">
        <v>71</v>
      </c>
      <c r="H706" s="7">
        <v>42474</v>
      </c>
      <c r="I706" s="9" t="str">
        <f t="shared" ref="I706:I769" si="55">TEXT(H706, "dddd")</f>
        <v>Thursday</v>
      </c>
      <c r="J706" s="9" t="str">
        <f t="shared" ref="J706:J769" si="56">TEXT(H706, "mmmm")</f>
        <v>April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f t="shared" ref="U706:U769" si="57">R706+S706+T706</f>
        <v>0</v>
      </c>
      <c r="V706" s="2">
        <v>1440</v>
      </c>
      <c r="W706" s="2">
        <v>0</v>
      </c>
      <c r="X706" s="2">
        <f t="shared" ref="X706:X769" si="58">IF(W706=0,MEDIAN($W$2:$W$941),W706)</f>
        <v>7405.5</v>
      </c>
      <c r="Y706" s="2">
        <v>1496</v>
      </c>
      <c r="Z706" t="str" cm="1">
        <f t="array" ref="Z706">_xlfn.IFS(OR(R706&gt;66, S706&gt;38), "High Engagement", OR(AND(R706&gt;32, R706&lt;=66), AND(S706&gt;19, S706&lt;=38)), "Medium-High Engagement", OR(AND(R706&gt;4, R706&lt;=32), AND(S706&gt;6, S706&lt;=19)),"Medium Engagement", TRUE, "Low Engagement"
)</f>
        <v>Low Engagement</v>
      </c>
      <c r="AA706">
        <f t="shared" si="54"/>
        <v>0</v>
      </c>
    </row>
    <row r="707" spans="1:27" x14ac:dyDescent="0.35">
      <c r="A707" s="2">
        <v>1844505072</v>
      </c>
      <c r="B707" s="2" t="s">
        <v>93</v>
      </c>
      <c r="C707" s="2">
        <f>VLOOKUP(user_activity!A59,users_details!$A$1:$G$34,5,0)</f>
        <v>18</v>
      </c>
      <c r="D707" s="2" t="str" cm="1">
        <f t="array" ref="D707">_xlfn.IFS( AND(C707&gt;=18, C707&lt;=25), "Emerging Adults",  AND(C707&gt;=26, C707&lt;=35),  "Young Adults",  AND(C707&gt;=36, C707&lt;=45),  "Midlife Adults",  AND(C707&gt;=46, C707&lt;=55), "Mature Adults", C707&gt;=56,  "Older Adults", TRUE, "Age Not Mentioned")</f>
        <v>Emerging Adults</v>
      </c>
      <c r="E707" s="2" t="str">
        <f>VLOOKUP(user_activity!A59,users_details!$A$1:$G$34,6,0)</f>
        <v>Upper West Side, Manhattan</v>
      </c>
      <c r="F707" s="2" t="str">
        <f>VLOOKUP(user_activity!A59,users_details!$A$1:$G$34,7,0)</f>
        <v>Upper West Side</v>
      </c>
      <c r="G707" s="2" t="s">
        <v>72</v>
      </c>
      <c r="H707" s="7">
        <v>42476</v>
      </c>
      <c r="I707" s="9" t="str">
        <f t="shared" si="55"/>
        <v>Saturday</v>
      </c>
      <c r="J707" s="9" t="str">
        <f t="shared" si="56"/>
        <v>April</v>
      </c>
      <c r="K707" s="2">
        <v>2.2599999899999998</v>
      </c>
      <c r="L707" s="2">
        <v>2.2599999899999998</v>
      </c>
      <c r="M707" s="2">
        <v>0</v>
      </c>
      <c r="N707" s="2">
        <v>0</v>
      </c>
      <c r="O707" s="2">
        <v>0</v>
      </c>
      <c r="P707" s="2">
        <v>2.2599999899999998</v>
      </c>
      <c r="Q707" s="2">
        <v>0</v>
      </c>
      <c r="R707" s="2">
        <v>0</v>
      </c>
      <c r="S707" s="2">
        <v>0</v>
      </c>
      <c r="T707" s="2">
        <v>147</v>
      </c>
      <c r="U707" s="2">
        <f t="shared" si="57"/>
        <v>147</v>
      </c>
      <c r="V707" s="2">
        <v>1293</v>
      </c>
      <c r="W707" s="2">
        <v>3414</v>
      </c>
      <c r="X707" s="2">
        <f t="shared" si="58"/>
        <v>3414</v>
      </c>
      <c r="Y707" s="2">
        <v>1657</v>
      </c>
      <c r="Z707" t="str" cm="1">
        <f t="array" ref="Z707">_xlfn.IFS(OR(R707&gt;66, S707&gt;38), "High Engagement", OR(AND(R707&gt;32, R707&lt;=66), AND(S707&gt;19, S707&lt;=38)), "Medium-High Engagement", OR(AND(R707&gt;4, R707&lt;=32), AND(S707&gt;6, S707&lt;=19)),"Medium Engagement", TRUE, "Low Engagement"
)</f>
        <v>Low Engagement</v>
      </c>
      <c r="AA707">
        <f t="shared" ref="AA707:AA770" si="59">IF(W707&gt;0, Y707/W707, 0)</f>
        <v>0.48535442296426479</v>
      </c>
    </row>
    <row r="708" spans="1:27" x14ac:dyDescent="0.35">
      <c r="A708" s="2">
        <v>4057192912</v>
      </c>
      <c r="B708" s="2" t="s">
        <v>99</v>
      </c>
      <c r="C708" s="2">
        <f>VLOOKUP(user_activity!A69,users_details!$A$1:$G$34,5,0)</f>
        <v>21</v>
      </c>
      <c r="D708" s="2" t="str" cm="1">
        <f t="array" ref="D708">_xlfn.IFS( AND(C708&gt;=18, C708&lt;=25), "Emerging Adults",  AND(C708&gt;=26, C708&lt;=35),  "Young Adults",  AND(C708&gt;=36, C708&lt;=45),  "Midlife Adults",  AND(C708&gt;=46, C708&lt;=55), "Mature Adults", C708&gt;=56,  "Older Adults", TRUE, "Age Not Mentioned")</f>
        <v>Emerging Adults</v>
      </c>
      <c r="E708" s="2" t="str">
        <f>VLOOKUP(user_activity!A69,users_details!$A$1:$G$34,6,0)</f>
        <v>Bushwick, Brooklyn</v>
      </c>
      <c r="F708" s="2" t="str">
        <f>VLOOKUP(user_activity!A69,users_details!$A$1:$G$34,7,0)</f>
        <v>Bushwick</v>
      </c>
      <c r="G708" s="2" t="s">
        <v>72</v>
      </c>
      <c r="H708" s="7">
        <v>42708</v>
      </c>
      <c r="I708" s="9" t="str">
        <f t="shared" si="55"/>
        <v>Sunday</v>
      </c>
      <c r="J708" s="9" t="str">
        <f t="shared" si="56"/>
        <v>December</v>
      </c>
      <c r="K708" s="2">
        <v>4.0300002099999999</v>
      </c>
      <c r="L708" s="2">
        <v>4.0300002099999999</v>
      </c>
      <c r="M708" s="2">
        <v>0</v>
      </c>
      <c r="N708" s="2">
        <v>0</v>
      </c>
      <c r="O708" s="2">
        <v>0</v>
      </c>
      <c r="P708" s="2">
        <v>3.9400000569999998</v>
      </c>
      <c r="Q708" s="2">
        <v>0</v>
      </c>
      <c r="R708" s="2">
        <v>0</v>
      </c>
      <c r="S708" s="2">
        <v>0</v>
      </c>
      <c r="T708" s="2">
        <v>164</v>
      </c>
      <c r="U708" s="2">
        <f t="shared" si="57"/>
        <v>164</v>
      </c>
      <c r="V708" s="2">
        <v>1276</v>
      </c>
      <c r="W708" s="2">
        <v>5394</v>
      </c>
      <c r="X708" s="2">
        <f t="shared" si="58"/>
        <v>5394</v>
      </c>
      <c r="Y708" s="2">
        <v>2286</v>
      </c>
      <c r="Z708" t="str" cm="1">
        <f t="array" ref="Z708">_xlfn.IFS(OR(R708&gt;66, S708&gt;38), "High Engagement", OR(AND(R708&gt;32, R708&lt;=66), AND(S708&gt;19, S708&lt;=38)), "Medium-High Engagement", OR(AND(R708&gt;4, R708&lt;=32), AND(S708&gt;6, S708&lt;=19)),"Medium Engagement", TRUE, "Low Engagement"
)</f>
        <v>Low Engagement</v>
      </c>
      <c r="AA708">
        <f t="shared" si="59"/>
        <v>0.42380422691879865</v>
      </c>
    </row>
    <row r="709" spans="1:27" x14ac:dyDescent="0.35">
      <c r="A709" s="2">
        <v>6117666160</v>
      </c>
      <c r="B709" s="2" t="s">
        <v>73</v>
      </c>
      <c r="C709" s="2">
        <f>VLOOKUP(user_activity!A95,users_details!$A$1:$G$34,5,0)</f>
        <v>22</v>
      </c>
      <c r="D709" s="2" t="str" cm="1">
        <f t="array" ref="D709">_xlfn.IFS( AND(C709&gt;=18, C709&lt;=25), "Emerging Adults",  AND(C709&gt;=26, C709&lt;=35),  "Young Adults",  AND(C709&gt;=36, C709&lt;=45),  "Midlife Adults",  AND(C709&gt;=46, C709&lt;=55), "Mature Adults", C709&gt;=56,  "Older Adults", TRUE, "Age Not Mentioned")</f>
        <v>Emerging Adults</v>
      </c>
      <c r="E709" s="2" t="str">
        <f>VLOOKUP(user_activity!A95,users_details!$A$1:$G$34,6,0)</f>
        <v>Washington Heights, Manhattan</v>
      </c>
      <c r="F709" s="2" t="str">
        <f>VLOOKUP(user_activity!A95,users_details!$A$1:$G$34,7,0)</f>
        <v>Washington Heights</v>
      </c>
      <c r="G709" s="2" t="s">
        <v>71</v>
      </c>
      <c r="H709" s="7">
        <v>42478</v>
      </c>
      <c r="I709" s="9" t="str">
        <f t="shared" si="55"/>
        <v>Monday</v>
      </c>
      <c r="J709" s="9" t="str">
        <f t="shared" si="56"/>
        <v>April</v>
      </c>
      <c r="K709" s="2">
        <v>3.9100000860000002</v>
      </c>
      <c r="L709" s="2">
        <v>3.9100000860000002</v>
      </c>
      <c r="M709" s="2">
        <v>0</v>
      </c>
      <c r="N709" s="2">
        <v>0</v>
      </c>
      <c r="O709" s="2">
        <v>0</v>
      </c>
      <c r="P709" s="2">
        <v>3.8900001049999999</v>
      </c>
      <c r="Q709" s="2">
        <v>0</v>
      </c>
      <c r="R709" s="2">
        <v>0</v>
      </c>
      <c r="S709" s="2">
        <v>0</v>
      </c>
      <c r="T709" s="2">
        <v>241</v>
      </c>
      <c r="U709" s="2">
        <f t="shared" si="57"/>
        <v>241</v>
      </c>
      <c r="V709" s="2">
        <v>759</v>
      </c>
      <c r="W709" s="2">
        <v>5153</v>
      </c>
      <c r="X709" s="2">
        <f t="shared" si="58"/>
        <v>5153</v>
      </c>
      <c r="Y709" s="2">
        <v>2018</v>
      </c>
      <c r="Z709" t="str" cm="1">
        <f t="array" ref="Z709">_xlfn.IFS(OR(R709&gt;66, S709&gt;38), "High Engagement", OR(AND(R709&gt;32, R709&lt;=66), AND(S709&gt;19, S709&lt;=38)), "Medium-High Engagement", OR(AND(R709&gt;4, R709&lt;=32), AND(S709&gt;6, S709&lt;=19)),"Medium Engagement", TRUE, "Low Engagement"
)</f>
        <v>Low Engagement</v>
      </c>
      <c r="AA709">
        <f t="shared" si="59"/>
        <v>0.39161653405783037</v>
      </c>
    </row>
    <row r="710" spans="1:27" x14ac:dyDescent="0.35">
      <c r="A710" s="2">
        <v>4445114986</v>
      </c>
      <c r="B710" s="2" t="s">
        <v>79</v>
      </c>
      <c r="C710" s="2">
        <f>VLOOKUP(user_activity!A97,users_details!$A$1:$G$34,5,0)</f>
        <v>22</v>
      </c>
      <c r="D710" s="2" t="str" cm="1">
        <f t="array" ref="D710">_xlfn.IFS( AND(C710&gt;=18, C710&lt;=25), "Emerging Adults",  AND(C710&gt;=26, C710&lt;=35),  "Young Adults",  AND(C710&gt;=36, C710&lt;=45),  "Midlife Adults",  AND(C710&gt;=46, C710&lt;=55), "Mature Adults", C710&gt;=56,  "Older Adults", TRUE, "Age Not Mentioned")</f>
        <v>Emerging Adults</v>
      </c>
      <c r="E710" s="2" t="str">
        <f>VLOOKUP(user_activity!A97,users_details!$A$1:$G$34,6,0)</f>
        <v>Upper East Side, Manhattan</v>
      </c>
      <c r="F710" s="2" t="str">
        <f>VLOOKUP(user_activity!A97,users_details!$A$1:$G$34,7,0)</f>
        <v>Upper East Side</v>
      </c>
      <c r="G710" s="2" t="s">
        <v>72</v>
      </c>
      <c r="H710" s="7">
        <v>42465</v>
      </c>
      <c r="I710" s="9" t="str">
        <f t="shared" si="55"/>
        <v>Tuesday</v>
      </c>
      <c r="J710" s="9" t="str">
        <f t="shared" si="56"/>
        <v>April</v>
      </c>
      <c r="K710" s="2">
        <v>1.960000038</v>
      </c>
      <c r="L710" s="2">
        <v>1.960000038</v>
      </c>
      <c r="M710" s="2">
        <v>0</v>
      </c>
      <c r="N710" s="2">
        <v>0</v>
      </c>
      <c r="O710" s="2">
        <v>0</v>
      </c>
      <c r="P710" s="2">
        <v>1.960000038</v>
      </c>
      <c r="Q710" s="2">
        <v>0</v>
      </c>
      <c r="R710" s="2">
        <v>0</v>
      </c>
      <c r="S710" s="2">
        <v>0</v>
      </c>
      <c r="T710" s="2">
        <v>180</v>
      </c>
      <c r="U710" s="2">
        <f t="shared" si="57"/>
        <v>180</v>
      </c>
      <c r="V710" s="2">
        <v>897</v>
      </c>
      <c r="W710" s="2">
        <v>2923</v>
      </c>
      <c r="X710" s="2">
        <f t="shared" si="58"/>
        <v>2923</v>
      </c>
      <c r="Y710" s="2">
        <v>2070</v>
      </c>
      <c r="Z710" t="str" cm="1">
        <f t="array" ref="Z710">_xlfn.IFS(OR(R710&gt;66, S710&gt;38), "High Engagement", OR(AND(R710&gt;32, R710&lt;=66), AND(S710&gt;19, S710&lt;=38)), "Medium-High Engagement", OR(AND(R710&gt;4, R710&lt;=32), AND(S710&gt;6, S710&lt;=19)),"Medium Engagement", TRUE, "Low Engagement"
)</f>
        <v>Low Engagement</v>
      </c>
      <c r="AA710">
        <f t="shared" si="59"/>
        <v>0.70817653096134103</v>
      </c>
    </row>
    <row r="711" spans="1:27" x14ac:dyDescent="0.35">
      <c r="A711" s="2">
        <v>1844505072</v>
      </c>
      <c r="B711" s="2" t="s">
        <v>93</v>
      </c>
      <c r="C711" s="2">
        <f>VLOOKUP(user_activity!A125,users_details!$A$1:$G$34,5,0)</f>
        <v>22</v>
      </c>
      <c r="D711" s="2" t="str" cm="1">
        <f t="array" ref="D711">_xlfn.IFS( AND(C711&gt;=18, C711&lt;=25), "Emerging Adults",  AND(C711&gt;=26, C711&lt;=35),  "Young Adults",  AND(C711&gt;=36, C711&lt;=45),  "Midlife Adults",  AND(C711&gt;=46, C711&lt;=55), "Mature Adults", C711&gt;=56,  "Older Adults", TRUE, "Age Not Mentioned")</f>
        <v>Emerging Adults</v>
      </c>
      <c r="E711" s="2" t="str">
        <f>VLOOKUP(user_activity!A125,users_details!$A$1:$G$34,6,0)</f>
        <v>Upper East Side, Manhattan</v>
      </c>
      <c r="F711" s="2" t="str">
        <f>VLOOKUP(user_activity!A125,users_details!$A$1:$G$34,7,0)</f>
        <v>Upper East Side</v>
      </c>
      <c r="G711" s="2" t="s">
        <v>72</v>
      </c>
      <c r="H711" s="7">
        <v>42648</v>
      </c>
      <c r="I711" s="9" t="str">
        <f t="shared" si="55"/>
        <v>Wednesday</v>
      </c>
      <c r="J711" s="9" t="str">
        <f t="shared" si="56"/>
        <v>October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f t="shared" si="57"/>
        <v>0</v>
      </c>
      <c r="V711" s="2">
        <v>1440</v>
      </c>
      <c r="W711" s="2">
        <v>0</v>
      </c>
      <c r="X711" s="2">
        <f t="shared" si="58"/>
        <v>7405.5</v>
      </c>
      <c r="Y711" s="2">
        <v>1347</v>
      </c>
      <c r="Z711" t="str" cm="1">
        <f t="array" ref="Z711">_xlfn.IFS(OR(R711&gt;66, S711&gt;38), "High Engagement", OR(AND(R711&gt;32, R711&lt;=66), AND(S711&gt;19, S711&lt;=38)), "Medium-High Engagement", OR(AND(R711&gt;4, R711&lt;=32), AND(S711&gt;6, S711&lt;=19)),"Medium Engagement", TRUE, "Low Engagement"
)</f>
        <v>Low Engagement</v>
      </c>
      <c r="AA711">
        <f t="shared" si="59"/>
        <v>0</v>
      </c>
    </row>
    <row r="712" spans="1:27" x14ac:dyDescent="0.35">
      <c r="A712" s="2">
        <v>1844505072</v>
      </c>
      <c r="B712" s="2" t="s">
        <v>93</v>
      </c>
      <c r="C712" s="2">
        <f>VLOOKUP(user_activity!A126,users_details!$A$1:$G$34,5,0)</f>
        <v>22</v>
      </c>
      <c r="D712" s="2" t="str" cm="1">
        <f t="array" ref="D712">_xlfn.IFS( AND(C712&gt;=18, C712&lt;=25), "Emerging Adults",  AND(C712&gt;=26, C712&lt;=35),  "Young Adults",  AND(C712&gt;=36, C712&lt;=45),  "Midlife Adults",  AND(C712&gt;=46, C712&lt;=55), "Mature Adults", C712&gt;=56,  "Older Adults", TRUE, "Age Not Mentioned")</f>
        <v>Emerging Adults</v>
      </c>
      <c r="E712" s="2" t="str">
        <f>VLOOKUP(user_activity!A126,users_details!$A$1:$G$34,6,0)</f>
        <v>Upper East Side, Manhattan</v>
      </c>
      <c r="F712" s="2" t="str">
        <f>VLOOKUP(user_activity!A126,users_details!$A$1:$G$34,7,0)</f>
        <v>Upper East Side</v>
      </c>
      <c r="G712" s="2" t="s">
        <v>72</v>
      </c>
      <c r="H712" s="7">
        <v>42490</v>
      </c>
      <c r="I712" s="9" t="str">
        <f t="shared" si="55"/>
        <v>Saturday</v>
      </c>
      <c r="J712" s="9" t="str">
        <f t="shared" si="56"/>
        <v>April</v>
      </c>
      <c r="K712" s="2">
        <v>2.670000076</v>
      </c>
      <c r="L712" s="2">
        <v>2.670000076</v>
      </c>
      <c r="M712" s="2">
        <v>0</v>
      </c>
      <c r="N712" s="2">
        <v>0</v>
      </c>
      <c r="O712" s="2">
        <v>0</v>
      </c>
      <c r="P712" s="2">
        <v>2.6500000950000002</v>
      </c>
      <c r="Q712" s="2">
        <v>0</v>
      </c>
      <c r="R712" s="2">
        <v>0</v>
      </c>
      <c r="S712" s="2">
        <v>0</v>
      </c>
      <c r="T712" s="2">
        <v>184</v>
      </c>
      <c r="U712" s="2">
        <f t="shared" si="57"/>
        <v>184</v>
      </c>
      <c r="V712" s="2">
        <v>218</v>
      </c>
      <c r="W712" s="2">
        <v>4014</v>
      </c>
      <c r="X712" s="2">
        <f t="shared" si="58"/>
        <v>4014</v>
      </c>
      <c r="Y712" s="2">
        <v>1763</v>
      </c>
      <c r="Z712" t="str" cm="1">
        <f t="array" ref="Z712">_xlfn.IFS(OR(R712&gt;66, S712&gt;38), "High Engagement", OR(AND(R712&gt;32, R712&lt;=66), AND(S712&gt;19, S712&lt;=38)), "Medium-High Engagement", OR(AND(R712&gt;4, R712&lt;=32), AND(S712&gt;6, S712&lt;=19)),"Medium Engagement", TRUE, "Low Engagement"
)</f>
        <v>Low Engagement</v>
      </c>
      <c r="AA712">
        <f t="shared" si="59"/>
        <v>0.43921275535625309</v>
      </c>
    </row>
    <row r="713" spans="1:27" x14ac:dyDescent="0.35">
      <c r="A713" s="2">
        <v>4445114986</v>
      </c>
      <c r="B713" s="2" t="s">
        <v>79</v>
      </c>
      <c r="C713" s="2">
        <f>VLOOKUP(user_activity!A142,users_details!$A$1:$G$34,5,0)</f>
        <v>22</v>
      </c>
      <c r="D713" s="2" t="str" cm="1">
        <f t="array" ref="D713">_xlfn.IFS( AND(C713&gt;=18, C713&lt;=25), "Emerging Adults",  AND(C713&gt;=26, C713&lt;=35),  "Young Adults",  AND(C713&gt;=36, C713&lt;=45),  "Midlife Adults",  AND(C713&gt;=46, C713&lt;=55), "Mature Adults", C713&gt;=56,  "Older Adults", TRUE, "Age Not Mentioned")</f>
        <v>Emerging Adults</v>
      </c>
      <c r="E713" s="2" t="str">
        <f>VLOOKUP(user_activity!A142,users_details!$A$1:$G$34,6,0)</f>
        <v>Upper East Side, Manhattan</v>
      </c>
      <c r="F713" s="2" t="str">
        <f>VLOOKUP(user_activity!A142,users_details!$A$1:$G$34,7,0)</f>
        <v>Upper East Side</v>
      </c>
      <c r="G713" s="2" t="s">
        <v>72</v>
      </c>
      <c r="H713" s="7">
        <v>42374</v>
      </c>
      <c r="I713" s="9" t="str">
        <f t="shared" si="55"/>
        <v>Tuesday</v>
      </c>
      <c r="J713" s="9" t="str">
        <f t="shared" si="56"/>
        <v>January</v>
      </c>
      <c r="K713" s="2">
        <v>3.5099999899999998</v>
      </c>
      <c r="L713" s="2">
        <v>3.5099999899999998</v>
      </c>
      <c r="M713" s="2">
        <v>0</v>
      </c>
      <c r="N713" s="2">
        <v>0</v>
      </c>
      <c r="O713" s="2">
        <v>0</v>
      </c>
      <c r="P713" s="2">
        <v>3.5099999899999998</v>
      </c>
      <c r="Q713" s="2">
        <v>0</v>
      </c>
      <c r="R713" s="2">
        <v>0</v>
      </c>
      <c r="S713" s="2">
        <v>0</v>
      </c>
      <c r="T713" s="2">
        <v>240</v>
      </c>
      <c r="U713" s="2">
        <f t="shared" si="57"/>
        <v>240</v>
      </c>
      <c r="V713" s="2">
        <v>741</v>
      </c>
      <c r="W713" s="2">
        <v>5232</v>
      </c>
      <c r="X713" s="2">
        <f t="shared" si="58"/>
        <v>5232</v>
      </c>
      <c r="Y713" s="2">
        <v>2246</v>
      </c>
      <c r="Z713" t="str" cm="1">
        <f t="array" ref="Z713">_xlfn.IFS(OR(R713&gt;66, S713&gt;38), "High Engagement", OR(AND(R713&gt;32, R713&lt;=66), AND(S713&gt;19, S713&lt;=38)), "Medium-High Engagement", OR(AND(R713&gt;4, R713&lt;=32), AND(S713&gt;6, S713&lt;=19)),"Medium Engagement", TRUE, "Low Engagement"
)</f>
        <v>Low Engagement</v>
      </c>
      <c r="AA713">
        <f t="shared" si="59"/>
        <v>0.42928134556574926</v>
      </c>
    </row>
    <row r="714" spans="1:27" x14ac:dyDescent="0.35">
      <c r="A714" s="2">
        <v>6117666160</v>
      </c>
      <c r="B714" s="2" t="s">
        <v>73</v>
      </c>
      <c r="C714" s="2">
        <f>VLOOKUP(user_activity!A155,users_details!$A$1:$G$34,5,0)</f>
        <v>23</v>
      </c>
      <c r="D714" s="2" t="str" cm="1">
        <f t="array" ref="D714">_xlfn.IFS( AND(C714&gt;=18, C714&lt;=25), "Emerging Adults",  AND(C714&gt;=26, C714&lt;=35),  "Young Adults",  AND(C714&gt;=36, C714&lt;=45),  "Midlife Adults",  AND(C714&gt;=46, C714&lt;=55), "Mature Adults", C714&gt;=56,  "Older Adults", TRUE, "Age Not Mentioned")</f>
        <v>Emerging Adults</v>
      </c>
      <c r="E714" s="2" t="str">
        <f>VLOOKUP(user_activity!A155,users_details!$A$1:$G$34,6,0)</f>
        <v>Crown Heights, Brooklyn</v>
      </c>
      <c r="F714" s="2" t="str">
        <f>VLOOKUP(user_activity!A155,users_details!$A$1:$G$34,7,0)</f>
        <v>Crown Heights</v>
      </c>
      <c r="G714" s="2" t="s">
        <v>71</v>
      </c>
      <c r="H714" s="7">
        <v>42477</v>
      </c>
      <c r="I714" s="9" t="str">
        <f t="shared" si="55"/>
        <v>Sunday</v>
      </c>
      <c r="J714" s="9" t="str">
        <f t="shared" si="56"/>
        <v>April</v>
      </c>
      <c r="K714" s="2">
        <v>5.4000000950000002</v>
      </c>
      <c r="L714" s="2">
        <v>5.4000000950000002</v>
      </c>
      <c r="M714" s="2">
        <v>0</v>
      </c>
      <c r="N714" s="2">
        <v>0</v>
      </c>
      <c r="O714" s="2">
        <v>0</v>
      </c>
      <c r="P714" s="2">
        <v>5.4000000950000002</v>
      </c>
      <c r="Q714" s="2">
        <v>0</v>
      </c>
      <c r="R714" s="2">
        <v>0</v>
      </c>
      <c r="S714" s="2">
        <v>0</v>
      </c>
      <c r="T714" s="2">
        <v>312</v>
      </c>
      <c r="U714" s="2">
        <f t="shared" si="57"/>
        <v>312</v>
      </c>
      <c r="V714" s="2">
        <v>702</v>
      </c>
      <c r="W714" s="2">
        <v>7150</v>
      </c>
      <c r="X714" s="2">
        <f t="shared" si="58"/>
        <v>7150</v>
      </c>
      <c r="Y714" s="2">
        <v>2225</v>
      </c>
      <c r="Z714" t="str" cm="1">
        <f t="array" ref="Z714">_xlfn.IFS(OR(R714&gt;66, S714&gt;38), "High Engagement", OR(AND(R714&gt;32, R714&lt;=66), AND(S714&gt;19, S714&lt;=38)), "Medium-High Engagement", OR(AND(R714&gt;4, R714&lt;=32), AND(S714&gt;6, S714&lt;=19)),"Medium Engagement", TRUE, "Low Engagement"
)</f>
        <v>Low Engagement</v>
      </c>
      <c r="AA714">
        <f t="shared" si="59"/>
        <v>0.3111888111888112</v>
      </c>
    </row>
    <row r="715" spans="1:27" x14ac:dyDescent="0.35">
      <c r="A715" s="2">
        <v>1844505072</v>
      </c>
      <c r="B715" s="2" t="s">
        <v>93</v>
      </c>
      <c r="C715" s="2">
        <f>VLOOKUP(user_activity!A186,users_details!$A$1:$G$34,5,0)</f>
        <v>23</v>
      </c>
      <c r="D715" s="2" t="str" cm="1">
        <f t="array" ref="D715">_xlfn.IFS( AND(C715&gt;=18, C715&lt;=25), "Emerging Adults",  AND(C715&gt;=26, C715&lt;=35),  "Young Adults",  AND(C715&gt;=36, C715&lt;=45),  "Midlife Adults",  AND(C715&gt;=46, C715&lt;=55), "Mature Adults", C715&gt;=56,  "Older Adults", TRUE, "Age Not Mentioned")</f>
        <v>Emerging Adults</v>
      </c>
      <c r="E715" s="2" t="str">
        <f>VLOOKUP(user_activity!A186,users_details!$A$1:$G$34,6,0)</f>
        <v>Washington Heights, Manhattan</v>
      </c>
      <c r="F715" s="2" t="str">
        <f>VLOOKUP(user_activity!A186,users_details!$A$1:$G$34,7,0)</f>
        <v>Washington Heights</v>
      </c>
      <c r="G715" s="2" t="s">
        <v>72</v>
      </c>
      <c r="H715" s="7">
        <v>42489</v>
      </c>
      <c r="I715" s="9" t="str">
        <f t="shared" si="55"/>
        <v>Friday</v>
      </c>
      <c r="J715" s="9" t="str">
        <f t="shared" si="56"/>
        <v>April</v>
      </c>
      <c r="K715" s="2">
        <v>3.25</v>
      </c>
      <c r="L715" s="2">
        <v>3.25</v>
      </c>
      <c r="M715" s="2">
        <v>0</v>
      </c>
      <c r="N715" s="2">
        <v>0</v>
      </c>
      <c r="O715" s="2">
        <v>0</v>
      </c>
      <c r="P715" s="2">
        <v>3.25</v>
      </c>
      <c r="Q715" s="2">
        <v>0</v>
      </c>
      <c r="R715" s="2">
        <v>0</v>
      </c>
      <c r="S715" s="2">
        <v>0</v>
      </c>
      <c r="T715" s="2">
        <v>247</v>
      </c>
      <c r="U715" s="2">
        <f t="shared" si="57"/>
        <v>247</v>
      </c>
      <c r="V715" s="2">
        <v>1082</v>
      </c>
      <c r="W715" s="2">
        <v>4920</v>
      </c>
      <c r="X715" s="2">
        <f t="shared" si="58"/>
        <v>4920</v>
      </c>
      <c r="Y715" s="2">
        <v>1856</v>
      </c>
      <c r="Z715" t="str" cm="1">
        <f t="array" ref="Z715">_xlfn.IFS(OR(R715&gt;66, S715&gt;38), "High Engagement", OR(AND(R715&gt;32, R715&lt;=66), AND(S715&gt;19, S715&lt;=38)), "Medium-High Engagement", OR(AND(R715&gt;4, R715&lt;=32), AND(S715&gt;6, S715&lt;=19)),"Medium Engagement", TRUE, "Low Engagement"
)</f>
        <v>Low Engagement</v>
      </c>
      <c r="AA715">
        <f t="shared" si="59"/>
        <v>0.3772357723577236</v>
      </c>
    </row>
    <row r="716" spans="1:27" x14ac:dyDescent="0.35">
      <c r="A716" s="2">
        <v>1844505072</v>
      </c>
      <c r="B716" s="2" t="s">
        <v>93</v>
      </c>
      <c r="C716" s="2">
        <f>VLOOKUP(user_activity!A196,users_details!$A$1:$G$34,5,0)</f>
        <v>23</v>
      </c>
      <c r="D716" s="2" t="str" cm="1">
        <f t="array" ref="D716">_xlfn.IFS( AND(C716&gt;=18, C716&lt;=25), "Emerging Adults",  AND(C716&gt;=26, C716&lt;=35),  "Young Adults",  AND(C716&gt;=36, C716&lt;=45),  "Midlife Adults",  AND(C716&gt;=46, C716&lt;=55), "Mature Adults", C716&gt;=56,  "Older Adults", TRUE, "Age Not Mentioned")</f>
        <v>Emerging Adults</v>
      </c>
      <c r="E716" s="2" t="str">
        <f>VLOOKUP(user_activity!A196,users_details!$A$1:$G$34,6,0)</f>
        <v>Crown Heights, Brooklyn</v>
      </c>
      <c r="F716" s="2" t="str">
        <f>VLOOKUP(user_activity!A196,users_details!$A$1:$G$34,7,0)</f>
        <v>Crown Heights</v>
      </c>
      <c r="G716" s="2" t="s">
        <v>72</v>
      </c>
      <c r="H716" s="7">
        <v>42481</v>
      </c>
      <c r="I716" s="9" t="str">
        <f t="shared" si="55"/>
        <v>Thursday</v>
      </c>
      <c r="J716" s="9" t="str">
        <f t="shared" si="56"/>
        <v>April</v>
      </c>
      <c r="K716" s="2">
        <v>5.3200001720000003</v>
      </c>
      <c r="L716" s="2">
        <v>5.3200001720000003</v>
      </c>
      <c r="M716" s="2">
        <v>0</v>
      </c>
      <c r="N716" s="2">
        <v>0.119999997</v>
      </c>
      <c r="O716" s="2">
        <v>0.519999981</v>
      </c>
      <c r="P716" s="2">
        <v>4.6799998279999997</v>
      </c>
      <c r="Q716" s="2">
        <v>0</v>
      </c>
      <c r="R716" s="2">
        <v>2</v>
      </c>
      <c r="S716" s="2">
        <v>13</v>
      </c>
      <c r="T716" s="2">
        <v>308</v>
      </c>
      <c r="U716" s="2">
        <f t="shared" si="57"/>
        <v>323</v>
      </c>
      <c r="V716" s="2">
        <v>1117</v>
      </c>
      <c r="W716" s="2">
        <v>8054</v>
      </c>
      <c r="X716" s="2">
        <f t="shared" si="58"/>
        <v>8054</v>
      </c>
      <c r="Y716" s="2">
        <v>2062</v>
      </c>
      <c r="Z716" t="str" cm="1">
        <f t="array" ref="Z716">_xlfn.IFS(OR(R716&gt;66, S716&gt;38), "High Engagement", OR(AND(R716&gt;32, R716&lt;=66), AND(S716&gt;19, S716&lt;=38)), "Medium-High Engagement", OR(AND(R716&gt;4, R716&lt;=32), AND(S716&gt;6, S716&lt;=19)),"Medium Engagement", TRUE, "Low Engagement"
)</f>
        <v>Medium Engagement</v>
      </c>
      <c r="AA716">
        <f t="shared" si="59"/>
        <v>0.25602185249565435</v>
      </c>
    </row>
    <row r="717" spans="1:27" x14ac:dyDescent="0.35">
      <c r="A717" s="2">
        <v>6117666160</v>
      </c>
      <c r="B717" s="2" t="s">
        <v>73</v>
      </c>
      <c r="C717" s="2">
        <f>VLOOKUP(user_activity!A203,users_details!$A$1:$G$34,5,0)</f>
        <v>23</v>
      </c>
      <c r="D717" s="2" t="str" cm="1">
        <f t="array" ref="D717">_xlfn.IFS( AND(C717&gt;=18, C717&lt;=25), "Emerging Adults",  AND(C717&gt;=26, C717&lt;=35),  "Young Adults",  AND(C717&gt;=36, C717&lt;=45),  "Midlife Adults",  AND(C717&gt;=46, C717&lt;=55), "Mature Adults", C717&gt;=56,  "Older Adults", TRUE, "Age Not Mentioned")</f>
        <v>Emerging Adults</v>
      </c>
      <c r="E717" s="2" t="str">
        <f>VLOOKUP(user_activity!A203,users_details!$A$1:$G$34,6,0)</f>
        <v>Crown Heights, Brooklyn</v>
      </c>
      <c r="F717" s="2" t="str">
        <f>VLOOKUP(user_activity!A203,users_details!$A$1:$G$34,7,0)</f>
        <v>Crown Heights</v>
      </c>
      <c r="G717" s="2" t="s">
        <v>71</v>
      </c>
      <c r="H717" s="7">
        <v>42556</v>
      </c>
      <c r="I717" s="9" t="str">
        <f t="shared" si="55"/>
        <v>Tuesday</v>
      </c>
      <c r="J717" s="9" t="str">
        <f t="shared" si="56"/>
        <v>July</v>
      </c>
      <c r="K717" s="2">
        <v>5.5399999619999996</v>
      </c>
      <c r="L717" s="2">
        <v>5.5399999619999996</v>
      </c>
      <c r="M717" s="2">
        <v>0</v>
      </c>
      <c r="N717" s="2">
        <v>0</v>
      </c>
      <c r="O717" s="2">
        <v>0</v>
      </c>
      <c r="P717" s="2">
        <v>5.5399999619999996</v>
      </c>
      <c r="Q717" s="2">
        <v>0</v>
      </c>
      <c r="R717" s="2">
        <v>0</v>
      </c>
      <c r="S717" s="2">
        <v>0</v>
      </c>
      <c r="T717" s="2">
        <v>412</v>
      </c>
      <c r="U717" s="2">
        <f t="shared" si="57"/>
        <v>412</v>
      </c>
      <c r="V717" s="2">
        <v>456</v>
      </c>
      <c r="W717" s="2">
        <v>7336</v>
      </c>
      <c r="X717" s="2">
        <f t="shared" si="58"/>
        <v>7336</v>
      </c>
      <c r="Y717" s="2">
        <v>2469</v>
      </c>
      <c r="Z717" t="str" cm="1">
        <f t="array" ref="Z717">_xlfn.IFS(OR(R717&gt;66, S717&gt;38), "High Engagement", OR(AND(R717&gt;32, R717&lt;=66), AND(S717&gt;19, S717&lt;=38)), "Medium-High Engagement", OR(AND(R717&gt;4, R717&lt;=32), AND(S717&gt;6, S717&lt;=19)),"Medium Engagement", TRUE, "Low Engagement"
)</f>
        <v>Low Engagement</v>
      </c>
      <c r="AA717">
        <f t="shared" si="59"/>
        <v>0.33655943293347873</v>
      </c>
    </row>
    <row r="718" spans="1:27" x14ac:dyDescent="0.35">
      <c r="A718" s="2">
        <v>1844505072</v>
      </c>
      <c r="B718" s="2" t="s">
        <v>93</v>
      </c>
      <c r="C718" s="2">
        <f>VLOOKUP(user_activity!A206,users_details!$A$1:$G$34,5,0)</f>
        <v>23</v>
      </c>
      <c r="D718" s="2" t="str" cm="1">
        <f t="array" ref="D718">_xlfn.IFS( AND(C718&gt;=18, C718&lt;=25), "Emerging Adults",  AND(C718&gt;=26, C718&lt;=35),  "Young Adults",  AND(C718&gt;=36, C718&lt;=45),  "Midlife Adults",  AND(C718&gt;=46, C718&lt;=55), "Mature Adults", C718&gt;=56,  "Older Adults", TRUE, "Age Not Mentioned")</f>
        <v>Emerging Adults</v>
      </c>
      <c r="E718" s="2" t="str">
        <f>VLOOKUP(user_activity!A206,users_details!$A$1:$G$34,6,0)</f>
        <v>Washington Heights, Manhattan</v>
      </c>
      <c r="F718" s="2" t="str">
        <f>VLOOKUP(user_activity!A206,users_details!$A$1:$G$34,7,0)</f>
        <v>Washington Heights</v>
      </c>
      <c r="G718" s="2" t="s">
        <v>72</v>
      </c>
      <c r="H718" s="7">
        <v>42477</v>
      </c>
      <c r="I718" s="9" t="str">
        <f t="shared" si="55"/>
        <v>Sunday</v>
      </c>
      <c r="J718" s="9" t="str">
        <f t="shared" si="56"/>
        <v>April</v>
      </c>
      <c r="K718" s="2">
        <v>2.9900000100000002</v>
      </c>
      <c r="L718" s="2">
        <v>2.9900000100000002</v>
      </c>
      <c r="M718" s="2">
        <v>0</v>
      </c>
      <c r="N718" s="2">
        <v>0.14000000100000001</v>
      </c>
      <c r="O718" s="2">
        <v>0.25999999000000001</v>
      </c>
      <c r="P718" s="2">
        <v>2.5899999139999998</v>
      </c>
      <c r="Q718" s="2">
        <v>0</v>
      </c>
      <c r="R718" s="2">
        <v>2</v>
      </c>
      <c r="S718" s="2">
        <v>8</v>
      </c>
      <c r="T718" s="2">
        <v>199</v>
      </c>
      <c r="U718" s="2">
        <f t="shared" si="57"/>
        <v>209</v>
      </c>
      <c r="V718" s="2">
        <v>1231</v>
      </c>
      <c r="W718" s="2">
        <v>4525</v>
      </c>
      <c r="X718" s="2">
        <f t="shared" si="58"/>
        <v>4525</v>
      </c>
      <c r="Y718" s="2">
        <v>1793</v>
      </c>
      <c r="Z718" t="str" cm="1">
        <f t="array" ref="Z718">_xlfn.IFS(OR(R718&gt;66, S718&gt;38), "High Engagement", OR(AND(R718&gt;32, R718&lt;=66), AND(S718&gt;19, S718&lt;=38)), "Medium-High Engagement", OR(AND(R718&gt;4, R718&lt;=32), AND(S718&gt;6, S718&lt;=19)),"Medium Engagement", TRUE, "Low Engagement"
)</f>
        <v>Medium Engagement</v>
      </c>
      <c r="AA718">
        <f t="shared" si="59"/>
        <v>0.39624309392265195</v>
      </c>
    </row>
    <row r="719" spans="1:27" x14ac:dyDescent="0.35">
      <c r="A719" s="2">
        <v>1844505072</v>
      </c>
      <c r="B719" s="2" t="s">
        <v>93</v>
      </c>
      <c r="C719" s="2">
        <f>VLOOKUP(user_activity!A222,users_details!$A$1:$G$34,5,0)</f>
        <v>24</v>
      </c>
      <c r="D719" s="2" t="str" cm="1">
        <f t="array" ref="D719">_xlfn.IFS( AND(C719&gt;=18, C719&lt;=25), "Emerging Adults",  AND(C719&gt;=26, C719&lt;=35),  "Young Adults",  AND(C719&gt;=36, C719&lt;=45),  "Midlife Adults",  AND(C719&gt;=46, C719&lt;=55), "Mature Adults", C719&gt;=56,  "Older Adults", TRUE, "Age Not Mentioned")</f>
        <v>Emerging Adults</v>
      </c>
      <c r="E719" s="2" t="str">
        <f>VLOOKUP(user_activity!A222,users_details!$A$1:$G$34,6,0)</f>
        <v>East Village, Manhattan</v>
      </c>
      <c r="F719" s="2" t="str">
        <f>VLOOKUP(user_activity!A222,users_details!$A$1:$G$34,7,0)</f>
        <v>East Village</v>
      </c>
      <c r="G719" s="2" t="s">
        <v>72</v>
      </c>
      <c r="H719" s="7">
        <v>42587</v>
      </c>
      <c r="I719" s="9" t="str">
        <f t="shared" si="55"/>
        <v>Friday</v>
      </c>
      <c r="J719" s="9" t="str">
        <f t="shared" si="56"/>
        <v>August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f t="shared" si="57"/>
        <v>0</v>
      </c>
      <c r="V719" s="2">
        <v>1440</v>
      </c>
      <c r="W719" s="2">
        <v>0</v>
      </c>
      <c r="X719" s="2">
        <f t="shared" si="58"/>
        <v>7405.5</v>
      </c>
      <c r="Y719" s="2">
        <v>1347</v>
      </c>
      <c r="Z719" t="str" cm="1">
        <f t="array" ref="Z719">_xlfn.IFS(OR(R719&gt;66, S719&gt;38), "High Engagement", OR(AND(R719&gt;32, R719&lt;=66), AND(S719&gt;19, S719&lt;=38)), "Medium-High Engagement", OR(AND(R719&gt;4, R719&lt;=32), AND(S719&gt;6, S719&lt;=19)),"Medium Engagement", TRUE, "Low Engagement"
)</f>
        <v>Low Engagement</v>
      </c>
      <c r="AA719">
        <f t="shared" si="59"/>
        <v>0</v>
      </c>
    </row>
    <row r="720" spans="1:27" x14ac:dyDescent="0.35">
      <c r="A720" s="2">
        <v>4445114986</v>
      </c>
      <c r="B720" s="2" t="s">
        <v>79</v>
      </c>
      <c r="C720" s="2">
        <f>VLOOKUP(user_activity!A227,users_details!$A$1:$G$34,5,0)</f>
        <v>24</v>
      </c>
      <c r="D720" s="2" t="str" cm="1">
        <f t="array" ref="D720">_xlfn.IFS( AND(C720&gt;=18, C720&lt;=25), "Emerging Adults",  AND(C720&gt;=26, C720&lt;=35),  "Young Adults",  AND(C720&gt;=36, C720&lt;=45),  "Midlife Adults",  AND(C720&gt;=46, C720&lt;=55), "Mature Adults", C720&gt;=56,  "Older Adults", TRUE, "Age Not Mentioned")</f>
        <v>Emerging Adults</v>
      </c>
      <c r="E720" s="2" t="str">
        <f>VLOOKUP(user_activity!A227,users_details!$A$1:$G$34,6,0)</f>
        <v>East Village, Manhattan</v>
      </c>
      <c r="F720" s="2" t="str">
        <f>VLOOKUP(user_activity!A227,users_details!$A$1:$G$34,7,0)</f>
        <v>East Village</v>
      </c>
      <c r="G720" s="2" t="s">
        <v>72</v>
      </c>
      <c r="H720" s="7">
        <v>42485</v>
      </c>
      <c r="I720" s="9" t="str">
        <f t="shared" si="55"/>
        <v>Monday</v>
      </c>
      <c r="J720" s="9" t="str">
        <f t="shared" si="56"/>
        <v>April</v>
      </c>
      <c r="K720" s="2">
        <v>2.2699999809999998</v>
      </c>
      <c r="L720" s="2">
        <v>2.2699999809999998</v>
      </c>
      <c r="M720" s="2">
        <v>0</v>
      </c>
      <c r="N720" s="2">
        <v>0</v>
      </c>
      <c r="O720" s="2">
        <v>0</v>
      </c>
      <c r="P720" s="2">
        <v>2.2699999809999998</v>
      </c>
      <c r="Q720" s="2">
        <v>0</v>
      </c>
      <c r="R720" s="2">
        <v>0</v>
      </c>
      <c r="S720" s="2">
        <v>0</v>
      </c>
      <c r="T720" s="2">
        <v>179</v>
      </c>
      <c r="U720" s="2">
        <f t="shared" si="57"/>
        <v>179</v>
      </c>
      <c r="V720" s="2">
        <v>916</v>
      </c>
      <c r="W720" s="2">
        <v>3385</v>
      </c>
      <c r="X720" s="2">
        <f t="shared" si="58"/>
        <v>3385</v>
      </c>
      <c r="Y720" s="2">
        <v>2070</v>
      </c>
      <c r="Z720" t="str" cm="1">
        <f t="array" ref="Z720">_xlfn.IFS(OR(R720&gt;66, S720&gt;38), "High Engagement", OR(AND(R720&gt;32, R720&lt;=66), AND(S720&gt;19, S720&lt;=38)), "Medium-High Engagement", OR(AND(R720&gt;4, R720&lt;=32), AND(S720&gt;6, S720&lt;=19)),"Medium Engagement", TRUE, "Low Engagement"
)</f>
        <v>Low Engagement</v>
      </c>
      <c r="AA720">
        <f t="shared" si="59"/>
        <v>0.6115214180206795</v>
      </c>
    </row>
    <row r="721" spans="1:27" x14ac:dyDescent="0.35">
      <c r="A721" s="2">
        <v>4445114986</v>
      </c>
      <c r="B721" s="2" t="s">
        <v>79</v>
      </c>
      <c r="C721" s="2">
        <f>VLOOKUP(user_activity!A239,users_details!$A$1:$G$34,5,0)</f>
        <v>29</v>
      </c>
      <c r="D721" s="2" t="str" cm="1">
        <f t="array" ref="D721">_xlfn.IFS( AND(C721&gt;=18, C721&lt;=25), "Emerging Adults",  AND(C721&gt;=26, C721&lt;=35),  "Young Adults",  AND(C721&gt;=36, C721&lt;=45),  "Midlife Adults",  AND(C721&gt;=46, C721&lt;=55), "Mature Adults", C721&gt;=56,  "Older Adults", TRUE, "Age Not Mentioned")</f>
        <v>Young Adults</v>
      </c>
      <c r="E721" s="2" t="str">
        <f>VLOOKUP(user_activity!A239,users_details!$A$1:$G$34,6,0)</f>
        <v>Crown Heights, Brooklyn</v>
      </c>
      <c r="F721" s="2" t="str">
        <f>VLOOKUP(user_activity!A239,users_details!$A$1:$G$34,7,0)</f>
        <v>Crown Heights</v>
      </c>
      <c r="G721" s="2" t="s">
        <v>72</v>
      </c>
      <c r="H721" s="7">
        <v>42477</v>
      </c>
      <c r="I721" s="9" t="str">
        <f t="shared" si="55"/>
        <v>Sunday</v>
      </c>
      <c r="J721" s="9" t="str">
        <f t="shared" si="56"/>
        <v>April</v>
      </c>
      <c r="K721" s="2">
        <v>1.519999981</v>
      </c>
      <c r="L721" s="2">
        <v>1.519999981</v>
      </c>
      <c r="M721" s="2">
        <v>0</v>
      </c>
      <c r="N721" s="2">
        <v>0</v>
      </c>
      <c r="O721" s="2">
        <v>0</v>
      </c>
      <c r="P721" s="2">
        <v>1.519999981</v>
      </c>
      <c r="Q721" s="2">
        <v>0</v>
      </c>
      <c r="R721" s="2">
        <v>0</v>
      </c>
      <c r="S721" s="2">
        <v>0</v>
      </c>
      <c r="T721" s="2">
        <v>114</v>
      </c>
      <c r="U721" s="2">
        <f t="shared" si="57"/>
        <v>114</v>
      </c>
      <c r="V721" s="2">
        <v>1219</v>
      </c>
      <c r="W721" s="2">
        <v>2268</v>
      </c>
      <c r="X721" s="2">
        <f t="shared" si="58"/>
        <v>2268</v>
      </c>
      <c r="Y721" s="2">
        <v>1933</v>
      </c>
      <c r="Z721" t="str" cm="1">
        <f t="array" ref="Z721">_xlfn.IFS(OR(R721&gt;66, S721&gt;38), "High Engagement", OR(AND(R721&gt;32, R721&lt;=66), AND(S721&gt;19, S721&lt;=38)), "Medium-High Engagement", OR(AND(R721&gt;4, R721&lt;=32), AND(S721&gt;6, S721&lt;=19)),"Medium Engagement", TRUE, "Low Engagement"
)</f>
        <v>Low Engagement</v>
      </c>
      <c r="AA721">
        <f t="shared" si="59"/>
        <v>0.85229276895943562</v>
      </c>
    </row>
    <row r="722" spans="1:27" x14ac:dyDescent="0.35">
      <c r="A722" s="2">
        <v>4445114986</v>
      </c>
      <c r="B722" s="2" t="s">
        <v>79</v>
      </c>
      <c r="C722" s="2">
        <f>VLOOKUP(user_activity!A273,users_details!$A$1:$G$34,5,0)</f>
        <v>29</v>
      </c>
      <c r="D722" s="2" t="str" cm="1">
        <f t="array" ref="D722">_xlfn.IFS( AND(C722&gt;=18, C722&lt;=25), "Emerging Adults",  AND(C722&gt;=26, C722&lt;=35),  "Young Adults",  AND(C722&gt;=36, C722&lt;=45),  "Midlife Adults",  AND(C722&gt;=46, C722&lt;=55), "Mature Adults", C722&gt;=56,  "Older Adults", TRUE, "Age Not Mentioned")</f>
        <v>Young Adults</v>
      </c>
      <c r="E722" s="2" t="str">
        <f>VLOOKUP(user_activity!A273,users_details!$A$1:$G$34,6,0)</f>
        <v>Crown Heights, Brooklyn</v>
      </c>
      <c r="F722" s="2" t="str">
        <f>VLOOKUP(user_activity!A273,users_details!$A$1:$G$34,7,0)</f>
        <v>Crown Heights</v>
      </c>
      <c r="G722" s="2" t="s">
        <v>72</v>
      </c>
      <c r="H722" s="7">
        <v>42476</v>
      </c>
      <c r="I722" s="9" t="str">
        <f t="shared" si="55"/>
        <v>Saturday</v>
      </c>
      <c r="J722" s="9" t="str">
        <f t="shared" si="56"/>
        <v>April</v>
      </c>
      <c r="K722" s="2">
        <v>2.6500000950000002</v>
      </c>
      <c r="L722" s="2">
        <v>2.6500000950000002</v>
      </c>
      <c r="M722" s="2">
        <v>0</v>
      </c>
      <c r="N722" s="2">
        <v>0</v>
      </c>
      <c r="O722" s="2">
        <v>0</v>
      </c>
      <c r="P722" s="2">
        <v>2.6500000950000002</v>
      </c>
      <c r="Q722" s="2">
        <v>0</v>
      </c>
      <c r="R722" s="2">
        <v>0</v>
      </c>
      <c r="S722" s="2">
        <v>0</v>
      </c>
      <c r="T722" s="2">
        <v>225</v>
      </c>
      <c r="U722" s="2">
        <f t="shared" si="57"/>
        <v>225</v>
      </c>
      <c r="V722" s="2">
        <v>716</v>
      </c>
      <c r="W722" s="2">
        <v>3945</v>
      </c>
      <c r="X722" s="2">
        <f t="shared" si="58"/>
        <v>3945</v>
      </c>
      <c r="Y722" s="2">
        <v>2180</v>
      </c>
      <c r="Z722" t="str" cm="1">
        <f t="array" ref="Z722">_xlfn.IFS(OR(R722&gt;66, S722&gt;38), "High Engagement", OR(AND(R722&gt;32, R722&lt;=66), AND(S722&gt;19, S722&lt;=38)), "Medium-High Engagement", OR(AND(R722&gt;4, R722&lt;=32), AND(S722&gt;6, S722&lt;=19)),"Medium Engagement", TRUE, "Low Engagement"
)</f>
        <v>Low Engagement</v>
      </c>
      <c r="AA722">
        <f t="shared" si="59"/>
        <v>0.55259822560202787</v>
      </c>
    </row>
    <row r="723" spans="1:27" x14ac:dyDescent="0.35">
      <c r="A723" s="2">
        <v>4445114986</v>
      </c>
      <c r="B723" s="2" t="s">
        <v>79</v>
      </c>
      <c r="C723" s="2">
        <f>VLOOKUP(user_activity!A275,users_details!$A$1:$G$34,5,0)</f>
        <v>29</v>
      </c>
      <c r="D723" s="2" t="str" cm="1">
        <f t="array" ref="D723">_xlfn.IFS( AND(C723&gt;=18, C723&lt;=25), "Emerging Adults",  AND(C723&gt;=26, C723&lt;=35),  "Young Adults",  AND(C723&gt;=36, C723&lt;=45),  "Midlife Adults",  AND(C723&gt;=46, C723&lt;=55), "Mature Adults", C723&gt;=56,  "Older Adults", TRUE, "Age Not Mentioned")</f>
        <v>Young Adults</v>
      </c>
      <c r="E723" s="2" t="str">
        <f>VLOOKUP(user_activity!A275,users_details!$A$1:$G$34,6,0)</f>
        <v>East Village, Manhattan</v>
      </c>
      <c r="F723" s="2" t="str">
        <f>VLOOKUP(user_activity!A275,users_details!$A$1:$G$34,7,0)</f>
        <v>East Village</v>
      </c>
      <c r="G723" s="2" t="s">
        <v>72</v>
      </c>
      <c r="H723" s="7">
        <v>42556</v>
      </c>
      <c r="I723" s="9" t="str">
        <f t="shared" si="55"/>
        <v>Tuesday</v>
      </c>
      <c r="J723" s="9" t="str">
        <f t="shared" si="56"/>
        <v>July</v>
      </c>
      <c r="K723" s="2">
        <v>3.5899999139999998</v>
      </c>
      <c r="L723" s="2">
        <v>3.5899999139999998</v>
      </c>
      <c r="M723" s="2">
        <v>0</v>
      </c>
      <c r="N723" s="2">
        <v>2.130000114</v>
      </c>
      <c r="O723" s="2">
        <v>0.189999998</v>
      </c>
      <c r="P723" s="2">
        <v>1.25</v>
      </c>
      <c r="Q723" s="2">
        <v>0</v>
      </c>
      <c r="R723" s="2">
        <v>26</v>
      </c>
      <c r="S723" s="2">
        <v>4</v>
      </c>
      <c r="T723" s="2">
        <v>108</v>
      </c>
      <c r="U723" s="2">
        <f t="shared" si="57"/>
        <v>138</v>
      </c>
      <c r="V723" s="2">
        <v>866</v>
      </c>
      <c r="W723" s="2">
        <v>5183</v>
      </c>
      <c r="X723" s="2">
        <f t="shared" si="58"/>
        <v>5183</v>
      </c>
      <c r="Y723" s="2">
        <v>2123</v>
      </c>
      <c r="Z723" t="str" cm="1">
        <f t="array" ref="Z723">_xlfn.IFS(OR(R723&gt;66, S723&gt;38), "High Engagement", OR(AND(R723&gt;32, R723&lt;=66), AND(S723&gt;19, S723&lt;=38)), "Medium-High Engagement", OR(AND(R723&gt;4, R723&lt;=32), AND(S723&gt;6, S723&lt;=19)),"Medium Engagement", TRUE, "Low Engagement"
)</f>
        <v>Medium Engagement</v>
      </c>
      <c r="AA723">
        <f t="shared" si="59"/>
        <v>0.40960833494115378</v>
      </c>
    </row>
    <row r="724" spans="1:27" x14ac:dyDescent="0.35">
      <c r="A724" s="2">
        <v>4057192912</v>
      </c>
      <c r="B724" s="2" t="s">
        <v>99</v>
      </c>
      <c r="C724" s="2">
        <f>VLOOKUP(user_activity!A290,users_details!$A$1:$G$34,5,0)</f>
        <v>29</v>
      </c>
      <c r="D724" s="2" t="str" cm="1">
        <f t="array" ref="D724">_xlfn.IFS( AND(C724&gt;=18, C724&lt;=25), "Emerging Adults",  AND(C724&gt;=26, C724&lt;=35),  "Young Adults",  AND(C724&gt;=36, C724&lt;=45),  "Midlife Adults",  AND(C724&gt;=46, C724&lt;=55), "Mature Adults", C724&gt;=56,  "Older Adults", TRUE, "Age Not Mentioned")</f>
        <v>Young Adults</v>
      </c>
      <c r="E724" s="2" t="str">
        <f>VLOOKUP(user_activity!A290,users_details!$A$1:$G$34,6,0)</f>
        <v>Crown Heights, Brooklyn</v>
      </c>
      <c r="F724" s="2" t="str">
        <f>VLOOKUP(user_activity!A290,users_details!$A$1:$G$34,7,0)</f>
        <v>Crown Heights</v>
      </c>
      <c r="G724" s="2" t="s">
        <v>72</v>
      </c>
      <c r="H724" s="7">
        <v>42475</v>
      </c>
      <c r="I724" s="9" t="str">
        <f t="shared" si="55"/>
        <v>Friday</v>
      </c>
      <c r="J724" s="9" t="str">
        <f t="shared" si="56"/>
        <v>April</v>
      </c>
      <c r="K724" s="2">
        <v>2.9500000480000002</v>
      </c>
      <c r="L724" s="2">
        <v>2.9500000480000002</v>
      </c>
      <c r="M724" s="2">
        <v>0</v>
      </c>
      <c r="N724" s="2">
        <v>0.209999993</v>
      </c>
      <c r="O724" s="2">
        <v>0.25999999000000001</v>
      </c>
      <c r="P724" s="2">
        <v>2.4400000569999998</v>
      </c>
      <c r="Q724" s="2">
        <v>0</v>
      </c>
      <c r="R724" s="2">
        <v>3</v>
      </c>
      <c r="S724" s="2">
        <v>6</v>
      </c>
      <c r="T724" s="2">
        <v>88</v>
      </c>
      <c r="U724" s="2">
        <f t="shared" si="57"/>
        <v>97</v>
      </c>
      <c r="V724" s="2">
        <v>873</v>
      </c>
      <c r="W724" s="2">
        <v>3984</v>
      </c>
      <c r="X724" s="2">
        <f t="shared" si="58"/>
        <v>3984</v>
      </c>
      <c r="Y724" s="2">
        <v>1527</v>
      </c>
      <c r="Z724" t="str" cm="1">
        <f t="array" ref="Z724">_xlfn.IFS(OR(R724&gt;66, S724&gt;38), "High Engagement", OR(AND(R724&gt;32, R724&lt;=66), AND(S724&gt;19, S724&lt;=38)), "Medium-High Engagement", OR(AND(R724&gt;4, R724&lt;=32), AND(S724&gt;6, S724&lt;=19)),"Medium Engagement", TRUE, "Low Engagement"
)</f>
        <v>Low Engagement</v>
      </c>
      <c r="AA724">
        <f t="shared" si="59"/>
        <v>0.38328313253012047</v>
      </c>
    </row>
    <row r="725" spans="1:27" x14ac:dyDescent="0.35">
      <c r="A725" s="2">
        <v>6117666160</v>
      </c>
      <c r="B725" s="2" t="s">
        <v>73</v>
      </c>
      <c r="C725" s="2">
        <f>VLOOKUP(user_activity!A319,users_details!$A$1:$G$34,5,0)</f>
        <v>30</v>
      </c>
      <c r="D725" s="2" t="str" cm="1">
        <f t="array" ref="D725">_xlfn.IFS( AND(C725&gt;=18, C725&lt;=25), "Emerging Adults",  AND(C725&gt;=26, C725&lt;=35),  "Young Adults",  AND(C725&gt;=36, C725&lt;=45),  "Midlife Adults",  AND(C725&gt;=46, C725&lt;=55), "Mature Adults", C725&gt;=56,  "Older Adults", TRUE, "Age Not Mentioned")</f>
        <v>Young Adults</v>
      </c>
      <c r="E725" s="2" t="str">
        <f>VLOOKUP(user_activity!A319,users_details!$A$1:$G$34,6,0)</f>
        <v>Clinton Hill, Brooklyn</v>
      </c>
      <c r="F725" s="2" t="str">
        <f>VLOOKUP(user_activity!A319,users_details!$A$1:$G$34,7,0)</f>
        <v>Clinton Hill</v>
      </c>
      <c r="G725" s="2" t="s">
        <v>71</v>
      </c>
      <c r="H725" s="7">
        <v>42434</v>
      </c>
      <c r="I725" s="9" t="str">
        <f t="shared" si="55"/>
        <v>Saturday</v>
      </c>
      <c r="J725" s="9" t="str">
        <f t="shared" si="56"/>
        <v>March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f t="shared" si="57"/>
        <v>0</v>
      </c>
      <c r="V725" s="2">
        <v>1440</v>
      </c>
      <c r="W725" s="2">
        <v>0</v>
      </c>
      <c r="X725" s="2">
        <f t="shared" si="58"/>
        <v>7405.5</v>
      </c>
      <c r="Y725" s="2">
        <v>1496</v>
      </c>
      <c r="Z725" t="str" cm="1">
        <f t="array" ref="Z725">_xlfn.IFS(OR(R725&gt;66, S725&gt;38), "High Engagement", OR(AND(R725&gt;32, R725&lt;=66), AND(S725&gt;19, S725&lt;=38)), "Medium-High Engagement", OR(AND(R725&gt;4, R725&lt;=32), AND(S725&gt;6, S725&lt;=19)),"Medium Engagement", TRUE, "Low Engagement"
)</f>
        <v>Low Engagement</v>
      </c>
      <c r="AA725">
        <f t="shared" si="59"/>
        <v>0</v>
      </c>
    </row>
    <row r="726" spans="1:27" x14ac:dyDescent="0.35">
      <c r="A726" s="2">
        <v>6117666160</v>
      </c>
      <c r="B726" s="2" t="s">
        <v>73</v>
      </c>
      <c r="C726" s="2">
        <f>VLOOKUP(user_activity!A320,users_details!$A$1:$G$34,5,0)</f>
        <v>30</v>
      </c>
      <c r="D726" s="2" t="str" cm="1">
        <f t="array" ref="D726">_xlfn.IFS( AND(C726&gt;=18, C726&lt;=25), "Emerging Adults",  AND(C726&gt;=26, C726&lt;=35),  "Young Adults",  AND(C726&gt;=36, C726&lt;=45),  "Midlife Adults",  AND(C726&gt;=46, C726&lt;=55), "Mature Adults", C726&gt;=56,  "Older Adults", TRUE, "Age Not Mentioned")</f>
        <v>Young Adults</v>
      </c>
      <c r="E726" s="2" t="str">
        <f>VLOOKUP(user_activity!A320,users_details!$A$1:$G$34,6,0)</f>
        <v>Midtown, Manhattan</v>
      </c>
      <c r="F726" s="2" t="str">
        <f>VLOOKUP(user_activity!A320,users_details!$A$1:$G$34,7,0)</f>
        <v>Midtown</v>
      </c>
      <c r="G726" s="2" t="s">
        <v>71</v>
      </c>
      <c r="H726" s="7">
        <v>42708</v>
      </c>
      <c r="I726" s="9" t="str">
        <f t="shared" si="55"/>
        <v>Sunday</v>
      </c>
      <c r="J726" s="9" t="str">
        <f t="shared" si="56"/>
        <v>December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f t="shared" si="57"/>
        <v>0</v>
      </c>
      <c r="V726" s="2">
        <v>1440</v>
      </c>
      <c r="W726" s="2">
        <v>0</v>
      </c>
      <c r="X726" s="2">
        <f t="shared" si="58"/>
        <v>7405.5</v>
      </c>
      <c r="Y726" s="2">
        <v>1496</v>
      </c>
      <c r="Z726" t="str" cm="1">
        <f t="array" ref="Z726">_xlfn.IFS(OR(R726&gt;66, S726&gt;38), "High Engagement", OR(AND(R726&gt;32, R726&lt;=66), AND(S726&gt;19, S726&lt;=38)), "Medium-High Engagement", OR(AND(R726&gt;4, R726&lt;=32), AND(S726&gt;6, S726&lt;=19)),"Medium Engagement", TRUE, "Low Engagement"
)</f>
        <v>Low Engagement</v>
      </c>
      <c r="AA726">
        <f t="shared" si="59"/>
        <v>0</v>
      </c>
    </row>
    <row r="727" spans="1:27" x14ac:dyDescent="0.35">
      <c r="A727" s="2">
        <v>6117666160</v>
      </c>
      <c r="B727" s="2" t="s">
        <v>73</v>
      </c>
      <c r="C727" s="2">
        <f>VLOOKUP(user_activity!A326,users_details!$A$1:$G$34,5,0)</f>
        <v>30</v>
      </c>
      <c r="D727" s="2" t="str" cm="1">
        <f t="array" ref="D727">_xlfn.IFS( AND(C727&gt;=18, C727&lt;=25), "Emerging Adults",  AND(C727&gt;=26, C727&lt;=35),  "Young Adults",  AND(C727&gt;=36, C727&lt;=45),  "Midlife Adults",  AND(C727&gt;=46, C727&lt;=55), "Mature Adults", C727&gt;=56,  "Older Adults", TRUE, "Age Not Mentioned")</f>
        <v>Young Adults</v>
      </c>
      <c r="E727" s="2" t="str">
        <f>VLOOKUP(user_activity!A326,users_details!$A$1:$G$34,6,0)</f>
        <v>Midtown, Manhattan</v>
      </c>
      <c r="F727" s="2" t="str">
        <f>VLOOKUP(user_activity!A326,users_details!$A$1:$G$34,7,0)</f>
        <v>Midtown</v>
      </c>
      <c r="G727" s="2" t="s">
        <v>71</v>
      </c>
      <c r="H727" s="7">
        <v>42476</v>
      </c>
      <c r="I727" s="9" t="str">
        <f t="shared" si="55"/>
        <v>Saturday</v>
      </c>
      <c r="J727" s="9" t="str">
        <f t="shared" si="56"/>
        <v>April</v>
      </c>
      <c r="K727" s="2">
        <v>10.90999985</v>
      </c>
      <c r="L727" s="2">
        <v>10.90999985</v>
      </c>
      <c r="M727" s="2">
        <v>0</v>
      </c>
      <c r="N727" s="2">
        <v>0.579999983</v>
      </c>
      <c r="O727" s="2">
        <v>0.85000002399999997</v>
      </c>
      <c r="P727" s="2">
        <v>9.4799995419999998</v>
      </c>
      <c r="Q727" s="2">
        <v>0</v>
      </c>
      <c r="R727" s="2">
        <v>7</v>
      </c>
      <c r="S727" s="2">
        <v>15</v>
      </c>
      <c r="T727" s="2">
        <v>518</v>
      </c>
      <c r="U727" s="2">
        <f t="shared" si="57"/>
        <v>540</v>
      </c>
      <c r="V727" s="2">
        <v>502</v>
      </c>
      <c r="W727" s="2">
        <v>14450</v>
      </c>
      <c r="X727" s="2">
        <f t="shared" si="58"/>
        <v>14450</v>
      </c>
      <c r="Y727" s="2">
        <v>2828</v>
      </c>
      <c r="Z727" t="str" cm="1">
        <f t="array" ref="Z727">_xlfn.IFS(OR(R727&gt;66, S727&gt;38), "High Engagement", OR(AND(R727&gt;32, R727&lt;=66), AND(S727&gt;19, S727&lt;=38)), "Medium-High Engagement", OR(AND(R727&gt;4, R727&lt;=32), AND(S727&gt;6, S727&lt;=19)),"Medium Engagement", TRUE, "Low Engagement"
)</f>
        <v>Medium Engagement</v>
      </c>
      <c r="AA727">
        <f t="shared" si="59"/>
        <v>0.19570934256055364</v>
      </c>
    </row>
    <row r="728" spans="1:27" x14ac:dyDescent="0.35">
      <c r="A728" s="2">
        <v>1844505072</v>
      </c>
      <c r="B728" s="2" t="s">
        <v>93</v>
      </c>
      <c r="C728" s="2">
        <f>VLOOKUP(user_activity!A344,users_details!$A$1:$G$34,5,0)</f>
        <v>30</v>
      </c>
      <c r="D728" s="2" t="str" cm="1">
        <f t="array" ref="D728">_xlfn.IFS( AND(C728&gt;=18, C728&lt;=25), "Emerging Adults",  AND(C728&gt;=26, C728&lt;=35),  "Young Adults",  AND(C728&gt;=36, C728&lt;=45),  "Midlife Adults",  AND(C728&gt;=46, C728&lt;=55), "Mature Adults", C728&gt;=56,  "Older Adults", TRUE, "Age Not Mentioned")</f>
        <v>Young Adults</v>
      </c>
      <c r="E728" s="2" t="str">
        <f>VLOOKUP(user_activity!A344,users_details!$A$1:$G$34,6,0)</f>
        <v>Clinton Hill, Brooklyn</v>
      </c>
      <c r="F728" s="2" t="str">
        <f>VLOOKUP(user_activity!A344,users_details!$A$1:$G$34,7,0)</f>
        <v>Clinton Hill</v>
      </c>
      <c r="G728" s="2" t="s">
        <v>72</v>
      </c>
      <c r="H728" s="7">
        <v>42488</v>
      </c>
      <c r="I728" s="9" t="str">
        <f t="shared" si="55"/>
        <v>Thursday</v>
      </c>
      <c r="J728" s="9" t="str">
        <f t="shared" si="56"/>
        <v>April</v>
      </c>
      <c r="K728" s="2">
        <v>4.5700001720000003</v>
      </c>
      <c r="L728" s="2">
        <v>4.5700001720000003</v>
      </c>
      <c r="M728" s="2">
        <v>0</v>
      </c>
      <c r="N728" s="2">
        <v>0</v>
      </c>
      <c r="O728" s="2">
        <v>0</v>
      </c>
      <c r="P728" s="2">
        <v>4.5599999430000002</v>
      </c>
      <c r="Q728" s="2">
        <v>0</v>
      </c>
      <c r="R728" s="2">
        <v>0</v>
      </c>
      <c r="S728" s="2">
        <v>0</v>
      </c>
      <c r="T728" s="2">
        <v>302</v>
      </c>
      <c r="U728" s="2">
        <f t="shared" si="57"/>
        <v>302</v>
      </c>
      <c r="V728" s="2">
        <v>1138</v>
      </c>
      <c r="W728" s="2">
        <v>6907</v>
      </c>
      <c r="X728" s="2">
        <f t="shared" si="58"/>
        <v>6907</v>
      </c>
      <c r="Y728" s="2">
        <v>1992</v>
      </c>
      <c r="Z728" t="str" cm="1">
        <f t="array" ref="Z728">_xlfn.IFS(OR(R728&gt;66, S728&gt;38), "High Engagement", OR(AND(R728&gt;32, R728&lt;=66), AND(S728&gt;19, S728&lt;=38)), "Medium-High Engagement", OR(AND(R728&gt;4, R728&lt;=32), AND(S728&gt;6, S728&lt;=19)),"Medium Engagement", TRUE, "Low Engagement"
)</f>
        <v>Low Engagement</v>
      </c>
      <c r="AA728">
        <f t="shared" si="59"/>
        <v>0.28840306934993487</v>
      </c>
    </row>
    <row r="729" spans="1:27" x14ac:dyDescent="0.35">
      <c r="A729" s="2">
        <v>4445114986</v>
      </c>
      <c r="B729" s="2" t="s">
        <v>79</v>
      </c>
      <c r="C729" s="2">
        <f>VLOOKUP(user_activity!A345,users_details!$A$1:$G$34,5,0)</f>
        <v>30</v>
      </c>
      <c r="D729" s="2" t="str" cm="1">
        <f t="array" ref="D729">_xlfn.IFS( AND(C729&gt;=18, C729&lt;=25), "Emerging Adults",  AND(C729&gt;=26, C729&lt;=35),  "Young Adults",  AND(C729&gt;=36, C729&lt;=45),  "Midlife Adults",  AND(C729&gt;=46, C729&lt;=55), "Mature Adults", C729&gt;=56,  "Older Adults", TRUE, "Age Not Mentioned")</f>
        <v>Young Adults</v>
      </c>
      <c r="E729" s="2" t="str">
        <f>VLOOKUP(user_activity!A345,users_details!$A$1:$G$34,6,0)</f>
        <v>Midtown, Manhattan</v>
      </c>
      <c r="F729" s="2" t="str">
        <f>VLOOKUP(user_activity!A345,users_details!$A$1:$G$34,7,0)</f>
        <v>Midtown</v>
      </c>
      <c r="G729" s="2" t="s">
        <v>72</v>
      </c>
      <c r="H729" s="7">
        <v>42434</v>
      </c>
      <c r="I729" s="9" t="str">
        <f t="shared" si="55"/>
        <v>Saturday</v>
      </c>
      <c r="J729" s="9" t="str">
        <f t="shared" si="56"/>
        <v>March</v>
      </c>
      <c r="K729" s="2">
        <v>5.1799998279999997</v>
      </c>
      <c r="L729" s="2">
        <v>5.1799998279999997</v>
      </c>
      <c r="M729" s="2">
        <v>0</v>
      </c>
      <c r="N729" s="2">
        <v>2.4800000190000002</v>
      </c>
      <c r="O729" s="2">
        <v>0.109999999</v>
      </c>
      <c r="P729" s="2">
        <v>2.579999924</v>
      </c>
      <c r="Q729" s="2">
        <v>0</v>
      </c>
      <c r="R729" s="2">
        <v>30</v>
      </c>
      <c r="S729" s="2">
        <v>2</v>
      </c>
      <c r="T729" s="2">
        <v>233</v>
      </c>
      <c r="U729" s="2">
        <f t="shared" si="57"/>
        <v>265</v>
      </c>
      <c r="V729" s="2">
        <v>725</v>
      </c>
      <c r="W729" s="2">
        <v>7502</v>
      </c>
      <c r="X729" s="2">
        <f t="shared" si="58"/>
        <v>7502</v>
      </c>
      <c r="Y729" s="2">
        <v>2421</v>
      </c>
      <c r="Z729" t="str" cm="1">
        <f t="array" ref="Z729">_xlfn.IFS(OR(R729&gt;66, S729&gt;38), "High Engagement", OR(AND(R729&gt;32, R729&lt;=66), AND(S729&gt;19, S729&lt;=38)), "Medium-High Engagement", OR(AND(R729&gt;4, R729&lt;=32), AND(S729&gt;6, S729&lt;=19)),"Medium Engagement", TRUE, "Low Engagement"
)</f>
        <v>Medium Engagement</v>
      </c>
      <c r="AA729">
        <f t="shared" si="59"/>
        <v>0.32271394294854705</v>
      </c>
    </row>
    <row r="730" spans="1:27" x14ac:dyDescent="0.35">
      <c r="A730" s="2">
        <v>4445114986</v>
      </c>
      <c r="B730" s="2" t="s">
        <v>79</v>
      </c>
      <c r="C730" s="2">
        <f>VLOOKUP(user_activity!A362,users_details!$A$1:$G$34,5,0)</f>
        <v>31</v>
      </c>
      <c r="D730" s="2" t="str" cm="1">
        <f t="array" ref="D730">_xlfn.IFS( AND(C730&gt;=18, C730&lt;=25), "Emerging Adults",  AND(C730&gt;=26, C730&lt;=35),  "Young Adults",  AND(C730&gt;=36, C730&lt;=45),  "Midlife Adults",  AND(C730&gt;=46, C730&lt;=55), "Mature Adults", C730&gt;=56,  "Older Adults", TRUE, "Age Not Mentioned")</f>
        <v>Young Adults</v>
      </c>
      <c r="E730" s="2" t="str">
        <f>VLOOKUP(user_activity!A362,users_details!$A$1:$G$34,6,0)</f>
        <v>Midtown, Manhattan</v>
      </c>
      <c r="F730" s="2" t="str">
        <f>VLOOKUP(user_activity!A362,users_details!$A$1:$G$34,7,0)</f>
        <v>Midtown</v>
      </c>
      <c r="G730" s="2" t="s">
        <v>72</v>
      </c>
      <c r="H730" s="7">
        <v>42482</v>
      </c>
      <c r="I730" s="9" t="str">
        <f t="shared" si="55"/>
        <v>Friday</v>
      </c>
      <c r="J730" s="9" t="str">
        <f t="shared" si="56"/>
        <v>April</v>
      </c>
      <c r="K730" s="2">
        <v>4.579999924</v>
      </c>
      <c r="L730" s="2">
        <v>4.579999924</v>
      </c>
      <c r="M730" s="2">
        <v>0</v>
      </c>
      <c r="N730" s="2">
        <v>0</v>
      </c>
      <c r="O730" s="2">
        <v>0</v>
      </c>
      <c r="P730" s="2">
        <v>4.579999924</v>
      </c>
      <c r="Q730" s="2">
        <v>0</v>
      </c>
      <c r="R730" s="2">
        <v>0</v>
      </c>
      <c r="S730" s="2">
        <v>0</v>
      </c>
      <c r="T730" s="2">
        <v>317</v>
      </c>
      <c r="U730" s="2">
        <f t="shared" si="57"/>
        <v>317</v>
      </c>
      <c r="V730" s="2">
        <v>706</v>
      </c>
      <c r="W730" s="2">
        <v>6831</v>
      </c>
      <c r="X730" s="2">
        <f t="shared" si="58"/>
        <v>6831</v>
      </c>
      <c r="Y730" s="2">
        <v>2432</v>
      </c>
      <c r="Z730" t="str" cm="1">
        <f t="array" ref="Z730">_xlfn.IFS(OR(R730&gt;66, S730&gt;38), "High Engagement", OR(AND(R730&gt;32, R730&lt;=66), AND(S730&gt;19, S730&lt;=38)), "Medium-High Engagement", OR(AND(R730&gt;4, R730&lt;=32), AND(S730&gt;6, S730&lt;=19)),"Medium Engagement", TRUE, "Low Engagement"
)</f>
        <v>Low Engagement</v>
      </c>
      <c r="AA730">
        <f t="shared" si="59"/>
        <v>0.35602400819792124</v>
      </c>
    </row>
    <row r="731" spans="1:27" x14ac:dyDescent="0.35">
      <c r="A731" s="2">
        <v>4445114986</v>
      </c>
      <c r="B731" s="2" t="s">
        <v>79</v>
      </c>
      <c r="C731" s="2">
        <f>VLOOKUP(user_activity!A374,users_details!$A$1:$G$34,5,0)</f>
        <v>31</v>
      </c>
      <c r="D731" s="2" t="str" cm="1">
        <f t="array" ref="D731">_xlfn.IFS( AND(C731&gt;=18, C731&lt;=25), "Emerging Adults",  AND(C731&gt;=26, C731&lt;=35),  "Young Adults",  AND(C731&gt;=36, C731&lt;=45),  "Midlife Adults",  AND(C731&gt;=46, C731&lt;=55), "Mature Adults", C731&gt;=56,  "Older Adults", TRUE, "Age Not Mentioned")</f>
        <v>Young Adults</v>
      </c>
      <c r="E731" s="2" t="str">
        <f>VLOOKUP(user_activity!A374,users_details!$A$1:$G$34,6,0)</f>
        <v>Midtown, Manhattan</v>
      </c>
      <c r="F731" s="2" t="str">
        <f>VLOOKUP(user_activity!A374,users_details!$A$1:$G$34,7,0)</f>
        <v>Midtown</v>
      </c>
      <c r="G731" s="2" t="s">
        <v>72</v>
      </c>
      <c r="H731" s="7">
        <v>42478</v>
      </c>
      <c r="I731" s="9" t="str">
        <f t="shared" si="55"/>
        <v>Monday</v>
      </c>
      <c r="J731" s="9" t="str">
        <f t="shared" si="56"/>
        <v>April</v>
      </c>
      <c r="K731" s="2">
        <v>4.2399997709999999</v>
      </c>
      <c r="L731" s="2">
        <v>4.2399997709999999</v>
      </c>
      <c r="M731" s="2">
        <v>0</v>
      </c>
      <c r="N731" s="2">
        <v>2</v>
      </c>
      <c r="O731" s="2">
        <v>0.28999999199999998</v>
      </c>
      <c r="P731" s="2">
        <v>1.9500000479999999</v>
      </c>
      <c r="Q731" s="2">
        <v>0</v>
      </c>
      <c r="R731" s="2">
        <v>25</v>
      </c>
      <c r="S731" s="2">
        <v>6</v>
      </c>
      <c r="T731" s="2">
        <v>162</v>
      </c>
      <c r="U731" s="2">
        <f t="shared" si="57"/>
        <v>193</v>
      </c>
      <c r="V731" s="2">
        <v>1247</v>
      </c>
      <c r="W731" s="2">
        <v>6155</v>
      </c>
      <c r="X731" s="2">
        <f t="shared" si="58"/>
        <v>6155</v>
      </c>
      <c r="Y731" s="2">
        <v>2248</v>
      </c>
      <c r="Z731" t="str" cm="1">
        <f t="array" ref="Z731">_xlfn.IFS(OR(R731&gt;66, S731&gt;38), "High Engagement", OR(AND(R731&gt;32, R731&lt;=66), AND(S731&gt;19, S731&lt;=38)), "Medium-High Engagement", OR(AND(R731&gt;4, R731&lt;=32), AND(S731&gt;6, S731&lt;=19)),"Medium Engagement", TRUE, "Low Engagement"
)</f>
        <v>Medium Engagement</v>
      </c>
      <c r="AA731">
        <f t="shared" si="59"/>
        <v>0.3652315190901706</v>
      </c>
    </row>
    <row r="732" spans="1:27" x14ac:dyDescent="0.35">
      <c r="A732" s="2">
        <v>6117666160</v>
      </c>
      <c r="B732" s="2" t="s">
        <v>73</v>
      </c>
      <c r="C732" s="2">
        <f>VLOOKUP(user_activity!A391,users_details!$A$1:$G$34,5,0)</f>
        <v>32</v>
      </c>
      <c r="D732" s="2" t="str" cm="1">
        <f t="array" ref="D732">_xlfn.IFS( AND(C732&gt;=18, C732&lt;=25), "Emerging Adults",  AND(C732&gt;=26, C732&lt;=35),  "Young Adults",  AND(C732&gt;=36, C732&lt;=45),  "Midlife Adults",  AND(C732&gt;=46, C732&lt;=55), "Mature Adults", C732&gt;=56,  "Older Adults", TRUE, "Age Not Mentioned")</f>
        <v>Young Adults</v>
      </c>
      <c r="E732" s="2" t="str">
        <f>VLOOKUP(user_activity!A391,users_details!$A$1:$G$34,6,0)</f>
        <v>East Harlem, Manhattan</v>
      </c>
      <c r="F732" s="2" t="str">
        <f>VLOOKUP(user_activity!A391,users_details!$A$1:$G$34,7,0)</f>
        <v>East Harlem</v>
      </c>
      <c r="G732" s="2" t="s">
        <v>71</v>
      </c>
      <c r="H732" s="7">
        <v>42481</v>
      </c>
      <c r="I732" s="9" t="str">
        <f t="shared" si="55"/>
        <v>Thursday</v>
      </c>
      <c r="J732" s="9" t="str">
        <f t="shared" si="56"/>
        <v>April</v>
      </c>
      <c r="K732" s="2">
        <v>15.010000229999999</v>
      </c>
      <c r="L732" s="2">
        <v>15.010000229999999</v>
      </c>
      <c r="M732" s="2">
        <v>0</v>
      </c>
      <c r="N732" s="2">
        <v>0.980000019</v>
      </c>
      <c r="O732" s="2">
        <v>0.40000000600000002</v>
      </c>
      <c r="P732" s="2">
        <v>5.6199998860000004</v>
      </c>
      <c r="Q732" s="2">
        <v>0</v>
      </c>
      <c r="R732" s="2">
        <v>11</v>
      </c>
      <c r="S732" s="2">
        <v>19</v>
      </c>
      <c r="T732" s="2">
        <v>294</v>
      </c>
      <c r="U732" s="2">
        <f t="shared" si="57"/>
        <v>324</v>
      </c>
      <c r="V732" s="2">
        <v>579</v>
      </c>
      <c r="W732" s="2">
        <v>19542</v>
      </c>
      <c r="X732" s="2">
        <f t="shared" si="58"/>
        <v>19542</v>
      </c>
      <c r="Y732" s="2">
        <v>4900</v>
      </c>
      <c r="Z732" t="str" cm="1">
        <f t="array" ref="Z732">_xlfn.IFS(OR(R732&gt;66, S732&gt;38), "High Engagement", OR(AND(R732&gt;32, R732&lt;=66), AND(S732&gt;19, S732&lt;=38)), "Medium-High Engagement", OR(AND(R732&gt;4, R732&lt;=32), AND(S732&gt;6, S732&lt;=19)),"Medium Engagement", TRUE, "Low Engagement"
)</f>
        <v>Medium Engagement</v>
      </c>
      <c r="AA732">
        <f t="shared" si="59"/>
        <v>0.25074199160781907</v>
      </c>
    </row>
    <row r="733" spans="1:27" x14ac:dyDescent="0.35">
      <c r="A733" s="2">
        <v>1844505072</v>
      </c>
      <c r="B733" s="2" t="s">
        <v>93</v>
      </c>
      <c r="C733" s="2">
        <f>VLOOKUP(user_activity!A398,users_details!$A$1:$G$34,5,0)</f>
        <v>32</v>
      </c>
      <c r="D733" s="2" t="str" cm="1">
        <f t="array" ref="D733">_xlfn.IFS( AND(C733&gt;=18, C733&lt;=25), "Emerging Adults",  AND(C733&gt;=26, C733&lt;=35),  "Young Adults",  AND(C733&gt;=36, C733&lt;=45),  "Midlife Adults",  AND(C733&gt;=46, C733&lt;=55), "Mature Adults", C733&gt;=56,  "Older Adults", TRUE, "Age Not Mentioned")</f>
        <v>Young Adults</v>
      </c>
      <c r="E733" s="2" t="str">
        <f>VLOOKUP(user_activity!A398,users_details!$A$1:$G$34,6,0)</f>
        <v>East Harlem, Manhattan</v>
      </c>
      <c r="F733" s="2" t="str">
        <f>VLOOKUP(user_activity!A398,users_details!$A$1:$G$34,7,0)</f>
        <v>East Harlem</v>
      </c>
      <c r="G733" s="2" t="s">
        <v>72</v>
      </c>
      <c r="H733" s="7">
        <v>42434</v>
      </c>
      <c r="I733" s="9" t="str">
        <f t="shared" si="55"/>
        <v>Saturday</v>
      </c>
      <c r="J733" s="9" t="str">
        <f t="shared" si="56"/>
        <v>March</v>
      </c>
      <c r="K733" s="2">
        <v>2.6800000669999999</v>
      </c>
      <c r="L733" s="2">
        <v>2.6800000669999999</v>
      </c>
      <c r="M733" s="2">
        <v>0</v>
      </c>
      <c r="N733" s="2">
        <v>0</v>
      </c>
      <c r="O733" s="2">
        <v>0</v>
      </c>
      <c r="P733" s="2">
        <v>2.6800000669999999</v>
      </c>
      <c r="Q733" s="2">
        <v>0</v>
      </c>
      <c r="R733" s="2">
        <v>0</v>
      </c>
      <c r="S733" s="2">
        <v>0</v>
      </c>
      <c r="T733" s="2">
        <v>184</v>
      </c>
      <c r="U733" s="2">
        <f t="shared" si="57"/>
        <v>184</v>
      </c>
      <c r="V733" s="2">
        <v>1256</v>
      </c>
      <c r="W733" s="2">
        <v>4059</v>
      </c>
      <c r="X733" s="2">
        <f t="shared" si="58"/>
        <v>4059</v>
      </c>
      <c r="Y733" s="2">
        <v>1742</v>
      </c>
      <c r="Z733" t="str" cm="1">
        <f t="array" ref="Z733">_xlfn.IFS(OR(R733&gt;66, S733&gt;38), "High Engagement", OR(AND(R733&gt;32, R733&lt;=66), AND(S733&gt;19, S733&lt;=38)), "Medium-High Engagement", OR(AND(R733&gt;4, R733&lt;=32), AND(S733&gt;6, S733&lt;=19)),"Medium Engagement", TRUE, "Low Engagement"
)</f>
        <v>Low Engagement</v>
      </c>
      <c r="AA733">
        <f t="shared" si="59"/>
        <v>0.42916974624291698</v>
      </c>
    </row>
    <row r="734" spans="1:27" x14ac:dyDescent="0.35">
      <c r="A734" s="2">
        <v>1844505072</v>
      </c>
      <c r="B734" s="2" t="s">
        <v>93</v>
      </c>
      <c r="C734" s="2">
        <f>VLOOKUP(user_activity!A402,users_details!$A$1:$G$34,5,0)</f>
        <v>32</v>
      </c>
      <c r="D734" s="2" t="str" cm="1">
        <f t="array" ref="D734">_xlfn.IFS( AND(C734&gt;=18, C734&lt;=25), "Emerging Adults",  AND(C734&gt;=26, C734&lt;=35),  "Young Adults",  AND(C734&gt;=36, C734&lt;=45),  "Midlife Adults",  AND(C734&gt;=46, C734&lt;=55), "Mature Adults", C734&gt;=56,  "Older Adults", TRUE, "Age Not Mentioned")</f>
        <v>Young Adults</v>
      </c>
      <c r="E734" s="2" t="str">
        <f>VLOOKUP(user_activity!A402,users_details!$A$1:$G$34,6,0)</f>
        <v>Greenpoint, Brooklyn</v>
      </c>
      <c r="F734" s="2" t="str">
        <f>VLOOKUP(user_activity!A402,users_details!$A$1:$G$34,7,0)</f>
        <v>Greenpoint</v>
      </c>
      <c r="G734" s="2" t="s">
        <v>72</v>
      </c>
      <c r="H734" s="7">
        <v>42484</v>
      </c>
      <c r="I734" s="9" t="str">
        <f t="shared" si="55"/>
        <v>Sunday</v>
      </c>
      <c r="J734" s="9" t="str">
        <f t="shared" si="56"/>
        <v>April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f t="shared" si="57"/>
        <v>0</v>
      </c>
      <c r="V734" s="2">
        <v>1440</v>
      </c>
      <c r="W734" s="2">
        <v>0</v>
      </c>
      <c r="X734" s="2">
        <f t="shared" si="58"/>
        <v>7405.5</v>
      </c>
      <c r="Y734" s="2">
        <v>1347</v>
      </c>
      <c r="Z734" t="str" cm="1">
        <f t="array" ref="Z734">_xlfn.IFS(OR(R734&gt;66, S734&gt;38), "High Engagement", OR(AND(R734&gt;32, R734&lt;=66), AND(S734&gt;19, S734&lt;=38)), "Medium-High Engagement", OR(AND(R734&gt;4, R734&lt;=32), AND(S734&gt;6, S734&lt;=19)),"Medium Engagement", TRUE, "Low Engagement"
)</f>
        <v>Low Engagement</v>
      </c>
      <c r="AA734">
        <f t="shared" si="59"/>
        <v>0</v>
      </c>
    </row>
    <row r="735" spans="1:27" x14ac:dyDescent="0.35">
      <c r="A735" s="2">
        <v>1844505072</v>
      </c>
      <c r="B735" s="2" t="s">
        <v>93</v>
      </c>
      <c r="C735" s="2">
        <f>VLOOKUP(user_activity!A403,users_details!$A$1:$G$34,5,0)</f>
        <v>32</v>
      </c>
      <c r="D735" s="2" t="str" cm="1">
        <f t="array" ref="D735">_xlfn.IFS( AND(C735&gt;=18, C735&lt;=25), "Emerging Adults",  AND(C735&gt;=26, C735&lt;=35),  "Young Adults",  AND(C735&gt;=36, C735&lt;=45),  "Midlife Adults",  AND(C735&gt;=46, C735&lt;=55), "Mature Adults", C735&gt;=56,  "Older Adults", TRUE, "Age Not Mentioned")</f>
        <v>Young Adults</v>
      </c>
      <c r="E735" s="2" t="str">
        <f>VLOOKUP(user_activity!A403,users_details!$A$1:$G$34,6,0)</f>
        <v>Greenpoint, Brooklyn</v>
      </c>
      <c r="F735" s="2" t="str">
        <f>VLOOKUP(user_activity!A403,users_details!$A$1:$G$34,7,0)</f>
        <v>Greenpoint</v>
      </c>
      <c r="G735" s="2" t="s">
        <v>72</v>
      </c>
      <c r="H735" s="7">
        <v>42465</v>
      </c>
      <c r="I735" s="9" t="str">
        <f t="shared" si="55"/>
        <v>Tuesday</v>
      </c>
      <c r="J735" s="9" t="str">
        <f t="shared" si="56"/>
        <v>April</v>
      </c>
      <c r="K735" s="2">
        <v>1.3700000050000001</v>
      </c>
      <c r="L735" s="2">
        <v>1.3700000050000001</v>
      </c>
      <c r="M735" s="2">
        <v>0</v>
      </c>
      <c r="N735" s="2">
        <v>0</v>
      </c>
      <c r="O735" s="2">
        <v>0</v>
      </c>
      <c r="P735" s="2">
        <v>1.3700000050000001</v>
      </c>
      <c r="Q735" s="2">
        <v>0</v>
      </c>
      <c r="R735" s="2">
        <v>0</v>
      </c>
      <c r="S735" s="2">
        <v>0</v>
      </c>
      <c r="T735" s="2">
        <v>87</v>
      </c>
      <c r="U735" s="2">
        <f t="shared" si="57"/>
        <v>87</v>
      </c>
      <c r="V735" s="2">
        <v>1353</v>
      </c>
      <c r="W735" s="2">
        <v>2080</v>
      </c>
      <c r="X735" s="2">
        <f t="shared" si="58"/>
        <v>2080</v>
      </c>
      <c r="Y735" s="2">
        <v>1549</v>
      </c>
      <c r="Z735" t="str" cm="1">
        <f t="array" ref="Z735">_xlfn.IFS(OR(R735&gt;66, S735&gt;38), "High Engagement", OR(AND(R735&gt;32, R735&lt;=66), AND(S735&gt;19, S735&lt;=38)), "Medium-High Engagement", OR(AND(R735&gt;4, R735&lt;=32), AND(S735&gt;6, S735&lt;=19)),"Medium Engagement", TRUE, "Low Engagement"
)</f>
        <v>Low Engagement</v>
      </c>
      <c r="AA735">
        <f t="shared" si="59"/>
        <v>0.74471153846153848</v>
      </c>
    </row>
    <row r="736" spans="1:27" x14ac:dyDescent="0.35">
      <c r="A736" s="2">
        <v>1844505072</v>
      </c>
      <c r="B736" s="2" t="s">
        <v>93</v>
      </c>
      <c r="C736" s="2">
        <f>VLOOKUP(user_activity!A405,users_details!$A$1:$G$34,5,0)</f>
        <v>32</v>
      </c>
      <c r="D736" s="2" t="str" cm="1">
        <f t="array" ref="D736">_xlfn.IFS( AND(C736&gt;=18, C736&lt;=25), "Emerging Adults",  AND(C736&gt;=26, C736&lt;=35),  "Young Adults",  AND(C736&gt;=36, C736&lt;=45),  "Midlife Adults",  AND(C736&gt;=46, C736&lt;=55), "Mature Adults", C736&gt;=56,  "Older Adults", TRUE, "Age Not Mentioned")</f>
        <v>Young Adults</v>
      </c>
      <c r="E736" s="2" t="str">
        <f>VLOOKUP(user_activity!A405,users_details!$A$1:$G$34,6,0)</f>
        <v>Greenpoint, Brooklyn</v>
      </c>
      <c r="F736" s="2" t="str">
        <f>VLOOKUP(user_activity!A405,users_details!$A$1:$G$34,7,0)</f>
        <v>Greenpoint</v>
      </c>
      <c r="G736" s="2" t="s">
        <v>72</v>
      </c>
      <c r="H736" s="7">
        <v>42708</v>
      </c>
      <c r="I736" s="9" t="str">
        <f t="shared" si="55"/>
        <v>Sunday</v>
      </c>
      <c r="J736" s="9" t="str">
        <f t="shared" si="56"/>
        <v>December</v>
      </c>
      <c r="K736" s="2">
        <v>4.4299998279999997</v>
      </c>
      <c r="L736" s="2">
        <v>4.4299998279999997</v>
      </c>
      <c r="M736" s="2">
        <v>0</v>
      </c>
      <c r="N736" s="2">
        <v>0</v>
      </c>
      <c r="O736" s="2">
        <v>0</v>
      </c>
      <c r="P736" s="2">
        <v>4.4299998279999997</v>
      </c>
      <c r="Q736" s="2">
        <v>0</v>
      </c>
      <c r="R736" s="2">
        <v>0</v>
      </c>
      <c r="S736" s="2">
        <v>0</v>
      </c>
      <c r="T736" s="2">
        <v>339</v>
      </c>
      <c r="U736" s="2">
        <f t="shared" si="57"/>
        <v>339</v>
      </c>
      <c r="V736" s="2">
        <v>1101</v>
      </c>
      <c r="W736" s="2">
        <v>6697</v>
      </c>
      <c r="X736" s="2">
        <f t="shared" si="58"/>
        <v>6697</v>
      </c>
      <c r="Y736" s="2">
        <v>2030</v>
      </c>
      <c r="Z736" t="str" cm="1">
        <f t="array" ref="Z736">_xlfn.IFS(OR(R736&gt;66, S736&gt;38), "High Engagement", OR(AND(R736&gt;32, R736&lt;=66), AND(S736&gt;19, S736&lt;=38)), "Medium-High Engagement", OR(AND(R736&gt;4, R736&lt;=32), AND(S736&gt;6, S736&lt;=19)),"Medium Engagement", TRUE, "Low Engagement"
)</f>
        <v>Low Engagement</v>
      </c>
      <c r="AA736">
        <f t="shared" si="59"/>
        <v>0.30312080035836941</v>
      </c>
    </row>
    <row r="737" spans="1:27" x14ac:dyDescent="0.35">
      <c r="A737" s="2">
        <v>1844505072</v>
      </c>
      <c r="B737" s="2" t="s">
        <v>93</v>
      </c>
      <c r="C737" s="2">
        <f>VLOOKUP(user_activity!A415,users_details!$A$1:$G$34,5,0)</f>
        <v>32</v>
      </c>
      <c r="D737" s="2" t="str" cm="1">
        <f t="array" ref="D737">_xlfn.IFS( AND(C737&gt;=18, C737&lt;=25), "Emerging Adults",  AND(C737&gt;=26, C737&lt;=35),  "Young Adults",  AND(C737&gt;=36, C737&lt;=45),  "Midlife Adults",  AND(C737&gt;=46, C737&lt;=55), "Mature Adults", C737&gt;=56,  "Older Adults", TRUE, "Age Not Mentioned")</f>
        <v>Young Adults</v>
      </c>
      <c r="E737" s="2" t="str">
        <f>VLOOKUP(user_activity!A415,users_details!$A$1:$G$34,6,0)</f>
        <v>Greenpoint, Brooklyn</v>
      </c>
      <c r="F737" s="2" t="str">
        <f>VLOOKUP(user_activity!A415,users_details!$A$1:$G$34,7,0)</f>
        <v>Greenpoint</v>
      </c>
      <c r="G737" s="2" t="s">
        <v>72</v>
      </c>
      <c r="H737" s="7">
        <v>42474</v>
      </c>
      <c r="I737" s="9" t="str">
        <f t="shared" si="55"/>
        <v>Thursday</v>
      </c>
      <c r="J737" s="9" t="str">
        <f t="shared" si="56"/>
        <v>April</v>
      </c>
      <c r="K737" s="2">
        <v>5.25</v>
      </c>
      <c r="L737" s="2">
        <v>5.25</v>
      </c>
      <c r="M737" s="2">
        <v>0</v>
      </c>
      <c r="N737" s="2">
        <v>0</v>
      </c>
      <c r="O737" s="2">
        <v>0</v>
      </c>
      <c r="P737" s="2">
        <v>5.2300000190000002</v>
      </c>
      <c r="Q737" s="2">
        <v>0</v>
      </c>
      <c r="R737" s="2">
        <v>0</v>
      </c>
      <c r="S737" s="2">
        <v>0</v>
      </c>
      <c r="T737" s="2">
        <v>373</v>
      </c>
      <c r="U737" s="2">
        <f t="shared" si="57"/>
        <v>373</v>
      </c>
      <c r="V737" s="2">
        <v>843</v>
      </c>
      <c r="W737" s="2">
        <v>7937</v>
      </c>
      <c r="X737" s="2">
        <f t="shared" si="58"/>
        <v>7937</v>
      </c>
      <c r="Y737" s="2">
        <v>2130</v>
      </c>
      <c r="Z737" t="str" cm="1">
        <f t="array" ref="Z737">_xlfn.IFS(OR(R737&gt;66, S737&gt;38), "High Engagement", OR(AND(R737&gt;32, R737&lt;=66), AND(S737&gt;19, S737&lt;=38)), "Medium-High Engagement", OR(AND(R737&gt;4, R737&lt;=32), AND(S737&gt;6, S737&lt;=19)),"Medium Engagement", TRUE, "Low Engagement"
)</f>
        <v>Low Engagement</v>
      </c>
      <c r="AA737">
        <f t="shared" si="59"/>
        <v>0.26836336147158873</v>
      </c>
    </row>
    <row r="738" spans="1:27" x14ac:dyDescent="0.35">
      <c r="A738" s="2">
        <v>1844505072</v>
      </c>
      <c r="B738" s="2" t="s">
        <v>93</v>
      </c>
      <c r="C738" s="2">
        <f>VLOOKUP(user_activity!A427,users_details!$A$1:$G$34,5,0)</f>
        <v>32</v>
      </c>
      <c r="D738" s="2" t="str" cm="1">
        <f t="array" ref="D738">_xlfn.IFS( AND(C738&gt;=18, C738&lt;=25), "Emerging Adults",  AND(C738&gt;=26, C738&lt;=35),  "Young Adults",  AND(C738&gt;=36, C738&lt;=45),  "Midlife Adults",  AND(C738&gt;=46, C738&lt;=55), "Mature Adults", C738&gt;=56,  "Older Adults", TRUE, "Age Not Mentioned")</f>
        <v>Young Adults</v>
      </c>
      <c r="E738" s="2" t="str">
        <f>VLOOKUP(user_activity!A427,users_details!$A$1:$G$34,6,0)</f>
        <v>East Harlem, Manhattan</v>
      </c>
      <c r="F738" s="2" t="str">
        <f>VLOOKUP(user_activity!A427,users_details!$A$1:$G$34,7,0)</f>
        <v>East Harlem</v>
      </c>
      <c r="G738" s="2" t="s">
        <v>72</v>
      </c>
      <c r="H738" s="7">
        <v>42480</v>
      </c>
      <c r="I738" s="9" t="str">
        <f t="shared" si="55"/>
        <v>Wednesday</v>
      </c>
      <c r="J738" s="9" t="str">
        <f t="shared" si="56"/>
        <v>April</v>
      </c>
      <c r="K738" s="2">
        <v>0.01</v>
      </c>
      <c r="L738" s="2">
        <v>0.01</v>
      </c>
      <c r="M738" s="2">
        <v>0</v>
      </c>
      <c r="N738" s="2">
        <v>0</v>
      </c>
      <c r="O738" s="2">
        <v>0</v>
      </c>
      <c r="P738" s="2">
        <v>0.01</v>
      </c>
      <c r="Q738" s="2">
        <v>0</v>
      </c>
      <c r="R738" s="2">
        <v>0</v>
      </c>
      <c r="S738" s="2">
        <v>0</v>
      </c>
      <c r="T738" s="2">
        <v>1</v>
      </c>
      <c r="U738" s="2">
        <f t="shared" si="57"/>
        <v>1</v>
      </c>
      <c r="V738" s="2">
        <v>1439</v>
      </c>
      <c r="W738" s="2">
        <v>8</v>
      </c>
      <c r="X738" s="2">
        <f t="shared" si="58"/>
        <v>8</v>
      </c>
      <c r="Y738" s="2">
        <v>1349</v>
      </c>
      <c r="Z738" t="str" cm="1">
        <f t="array" ref="Z738">_xlfn.IFS(OR(R738&gt;66, S738&gt;38), "High Engagement", OR(AND(R738&gt;32, R738&lt;=66), AND(S738&gt;19, S738&lt;=38)), "Medium-High Engagement", OR(AND(R738&gt;4, R738&lt;=32), AND(S738&gt;6, S738&lt;=19)),"Medium Engagement", TRUE, "Low Engagement"
)</f>
        <v>Low Engagement</v>
      </c>
      <c r="AA738">
        <f t="shared" si="59"/>
        <v>168.625</v>
      </c>
    </row>
    <row r="739" spans="1:27" x14ac:dyDescent="0.35">
      <c r="A739" s="2">
        <v>6117666160</v>
      </c>
      <c r="B739" s="2" t="s">
        <v>73</v>
      </c>
      <c r="C739" s="2">
        <f>VLOOKUP(user_activity!A432,users_details!$A$1:$G$34,5,0)</f>
        <v>32</v>
      </c>
      <c r="D739" s="2" t="str" cm="1">
        <f t="array" ref="D739">_xlfn.IFS( AND(C739&gt;=18, C739&lt;=25), "Emerging Adults",  AND(C739&gt;=26, C739&lt;=35),  "Young Adults",  AND(C739&gt;=36, C739&lt;=45),  "Midlife Adults",  AND(C739&gt;=46, C739&lt;=55), "Mature Adults", C739&gt;=56,  "Older Adults", TRUE, "Age Not Mentioned")</f>
        <v>Young Adults</v>
      </c>
      <c r="E739" s="2" t="str">
        <f>VLOOKUP(user_activity!A432,users_details!$A$1:$G$34,6,0)</f>
        <v>Greenpoint, Brooklyn</v>
      </c>
      <c r="F739" s="2" t="str">
        <f>VLOOKUP(user_activity!A432,users_details!$A$1:$G$34,7,0)</f>
        <v>Greenpoint</v>
      </c>
      <c r="G739" s="2" t="s">
        <v>71</v>
      </c>
      <c r="H739" s="7">
        <v>42405</v>
      </c>
      <c r="I739" s="9" t="str">
        <f t="shared" si="55"/>
        <v>Friday</v>
      </c>
      <c r="J739" s="9" t="str">
        <f t="shared" si="56"/>
        <v>February</v>
      </c>
      <c r="K739" s="2">
        <v>3.7300000190000002</v>
      </c>
      <c r="L739" s="2">
        <v>3.7300000190000002</v>
      </c>
      <c r="M739" s="2">
        <v>0</v>
      </c>
      <c r="N739" s="2">
        <v>0</v>
      </c>
      <c r="O739" s="2">
        <v>0</v>
      </c>
      <c r="P739" s="2">
        <v>3.7300000190000002</v>
      </c>
      <c r="Q739" s="2">
        <v>0</v>
      </c>
      <c r="R739" s="2">
        <v>0</v>
      </c>
      <c r="S739" s="2">
        <v>0</v>
      </c>
      <c r="T739" s="2">
        <v>236</v>
      </c>
      <c r="U739" s="2">
        <f t="shared" si="57"/>
        <v>236</v>
      </c>
      <c r="V739" s="2">
        <v>1204</v>
      </c>
      <c r="W739" s="2">
        <v>4933</v>
      </c>
      <c r="X739" s="2">
        <f t="shared" si="58"/>
        <v>4933</v>
      </c>
      <c r="Y739" s="2">
        <v>2044</v>
      </c>
      <c r="Z739" t="str" cm="1">
        <f t="array" ref="Z739">_xlfn.IFS(OR(R739&gt;66, S739&gt;38), "High Engagement", OR(AND(R739&gt;32, R739&lt;=66), AND(S739&gt;19, S739&lt;=38)), "Medium-High Engagement", OR(AND(R739&gt;4, R739&lt;=32), AND(S739&gt;6, S739&lt;=19)),"Medium Engagement", TRUE, "Low Engagement"
)</f>
        <v>Low Engagement</v>
      </c>
      <c r="AA739">
        <f t="shared" si="59"/>
        <v>0.4143523211027772</v>
      </c>
    </row>
    <row r="740" spans="1:27" x14ac:dyDescent="0.35">
      <c r="A740" s="2">
        <v>4445114986</v>
      </c>
      <c r="B740" s="2" t="s">
        <v>79</v>
      </c>
      <c r="C740" s="2">
        <f>VLOOKUP(user_activity!A450,users_details!$A$1:$G$34,5,0)</f>
        <v>33</v>
      </c>
      <c r="D740" s="2" t="str" cm="1">
        <f t="array" ref="D740">_xlfn.IFS( AND(C740&gt;=18, C740&lt;=25), "Emerging Adults",  AND(C740&gt;=26, C740&lt;=35),  "Young Adults",  AND(C740&gt;=36, C740&lt;=45),  "Midlife Adults",  AND(C740&gt;=46, C740&lt;=55), "Mature Adults", C740&gt;=56,  "Older Adults", TRUE, "Age Not Mentioned")</f>
        <v>Young Adults</v>
      </c>
      <c r="E740" s="2" t="str">
        <f>VLOOKUP(user_activity!A450,users_details!$A$1:$G$34,6,0)</f>
        <v>Greenpoint, Brooklyn</v>
      </c>
      <c r="F740" s="2" t="str">
        <f>VLOOKUP(user_activity!A450,users_details!$A$1:$G$34,7,0)</f>
        <v>Greenpoint</v>
      </c>
      <c r="G740" s="2" t="s">
        <v>72</v>
      </c>
      <c r="H740" s="7">
        <v>42486</v>
      </c>
      <c r="I740" s="9" t="str">
        <f t="shared" si="55"/>
        <v>Tuesday</v>
      </c>
      <c r="J740" s="9" t="str">
        <f t="shared" si="56"/>
        <v>April</v>
      </c>
      <c r="K740" s="2">
        <v>4.4099998469999999</v>
      </c>
      <c r="L740" s="2">
        <v>4.4099998469999999</v>
      </c>
      <c r="M740" s="2">
        <v>0</v>
      </c>
      <c r="N740" s="2">
        <v>2.4100000860000002</v>
      </c>
      <c r="O740" s="2">
        <v>3.9999999000000001E-2</v>
      </c>
      <c r="P740" s="2">
        <v>1.960000038</v>
      </c>
      <c r="Q740" s="2">
        <v>0</v>
      </c>
      <c r="R740" s="2">
        <v>29</v>
      </c>
      <c r="S740" s="2">
        <v>1</v>
      </c>
      <c r="T740" s="2">
        <v>180</v>
      </c>
      <c r="U740" s="2">
        <f t="shared" si="57"/>
        <v>210</v>
      </c>
      <c r="V740" s="2">
        <v>839</v>
      </c>
      <c r="W740" s="2">
        <v>6326</v>
      </c>
      <c r="X740" s="2">
        <f t="shared" si="58"/>
        <v>6326</v>
      </c>
      <c r="Y740" s="2">
        <v>2291</v>
      </c>
      <c r="Z740" t="str" cm="1">
        <f t="array" ref="Z740">_xlfn.IFS(OR(R740&gt;66, S740&gt;38), "High Engagement", OR(AND(R740&gt;32, R740&lt;=66), AND(S740&gt;19, S740&lt;=38)), "Medium-High Engagement", OR(AND(R740&gt;4, R740&lt;=32), AND(S740&gt;6, S740&lt;=19)),"Medium Engagement", TRUE, "Low Engagement"
)</f>
        <v>Medium Engagement</v>
      </c>
      <c r="AA740">
        <f t="shared" si="59"/>
        <v>0.36215618084097378</v>
      </c>
    </row>
    <row r="741" spans="1:27" x14ac:dyDescent="0.35">
      <c r="A741" s="2">
        <v>4445114986</v>
      </c>
      <c r="B741" s="2" t="s">
        <v>79</v>
      </c>
      <c r="C741" s="2">
        <f>VLOOKUP(user_activity!A473,users_details!$A$1:$G$34,5,0)</f>
        <v>33</v>
      </c>
      <c r="D741" s="2" t="str" cm="1">
        <f t="array" ref="D741">_xlfn.IFS( AND(C741&gt;=18, C741&lt;=25), "Emerging Adults",  AND(C741&gt;=26, C741&lt;=35),  "Young Adults",  AND(C741&gt;=36, C741&lt;=45),  "Midlife Adults",  AND(C741&gt;=46, C741&lt;=55), "Mature Adults", C741&gt;=56,  "Older Adults", TRUE, "Age Not Mentioned")</f>
        <v>Young Adults</v>
      </c>
      <c r="E741" s="2" t="str">
        <f>VLOOKUP(user_activity!A473,users_details!$A$1:$G$34,6,0)</f>
        <v>Greenpoint, Brooklyn</v>
      </c>
      <c r="F741" s="2" t="str">
        <f>VLOOKUP(user_activity!A473,users_details!$A$1:$G$34,7,0)</f>
        <v>Greenpoint</v>
      </c>
      <c r="G741" s="2" t="s">
        <v>72</v>
      </c>
      <c r="H741" s="7">
        <v>42474</v>
      </c>
      <c r="I741" s="9" t="str">
        <f t="shared" si="55"/>
        <v>Thursday</v>
      </c>
      <c r="J741" s="9" t="str">
        <f t="shared" si="56"/>
        <v>April</v>
      </c>
      <c r="K741" s="2">
        <v>2.670000076</v>
      </c>
      <c r="L741" s="2">
        <v>2.670000076</v>
      </c>
      <c r="M741" s="2">
        <v>0</v>
      </c>
      <c r="N741" s="2">
        <v>0</v>
      </c>
      <c r="O741" s="2">
        <v>0</v>
      </c>
      <c r="P741" s="2">
        <v>2.670000076</v>
      </c>
      <c r="Q741" s="2">
        <v>0</v>
      </c>
      <c r="R741" s="2">
        <v>0</v>
      </c>
      <c r="S741" s="2">
        <v>0</v>
      </c>
      <c r="T741" s="2">
        <v>231</v>
      </c>
      <c r="U741" s="2">
        <f t="shared" si="57"/>
        <v>231</v>
      </c>
      <c r="V741" s="2">
        <v>717</v>
      </c>
      <c r="W741" s="2">
        <v>3974</v>
      </c>
      <c r="X741" s="2">
        <f t="shared" si="58"/>
        <v>3974</v>
      </c>
      <c r="Y741" s="2">
        <v>2194</v>
      </c>
      <c r="Z741" t="str" cm="1">
        <f t="array" ref="Z741">_xlfn.IFS(OR(R741&gt;66, S741&gt;38), "High Engagement", OR(AND(R741&gt;32, R741&lt;=66), AND(S741&gt;19, S741&lt;=38)), "Medium-High Engagement", OR(AND(R741&gt;4, R741&lt;=32), AND(S741&gt;6, S741&lt;=19)),"Medium Engagement", TRUE, "Low Engagement"
)</f>
        <v>Low Engagement</v>
      </c>
      <c r="AA741">
        <f t="shared" si="59"/>
        <v>0.55208857574232506</v>
      </c>
    </row>
    <row r="742" spans="1:27" x14ac:dyDescent="0.35">
      <c r="A742" s="2">
        <v>1844505072</v>
      </c>
      <c r="B742" s="2" t="s">
        <v>93</v>
      </c>
      <c r="C742" s="2">
        <f>VLOOKUP(user_activity!A475,users_details!$A$1:$G$34,5,0)</f>
        <v>33</v>
      </c>
      <c r="D742" s="2" t="str" cm="1">
        <f t="array" ref="D742">_xlfn.IFS( AND(C742&gt;=18, C742&lt;=25), "Emerging Adults",  AND(C742&gt;=26, C742&lt;=35),  "Young Adults",  AND(C742&gt;=36, C742&lt;=45),  "Midlife Adults",  AND(C742&gt;=46, C742&lt;=55), "Mature Adults", C742&gt;=56,  "Older Adults", TRUE, "Age Not Mentioned")</f>
        <v>Young Adults</v>
      </c>
      <c r="E742" s="2" t="str">
        <f>VLOOKUP(user_activity!A475,users_details!$A$1:$G$34,6,0)</f>
        <v>Harlem, Manhattan</v>
      </c>
      <c r="F742" s="2" t="str">
        <f>VLOOKUP(user_activity!A475,users_details!$A$1:$G$34,7,0)</f>
        <v>Harlem</v>
      </c>
      <c r="G742" s="2" t="s">
        <v>72</v>
      </c>
      <c r="H742" s="7">
        <v>42473</v>
      </c>
      <c r="I742" s="9" t="str">
        <f t="shared" si="55"/>
        <v>Wednesday</v>
      </c>
      <c r="J742" s="9" t="str">
        <f t="shared" si="56"/>
        <v>April</v>
      </c>
      <c r="K742" s="2">
        <v>3.2599999899999998</v>
      </c>
      <c r="L742" s="2">
        <v>3.2599999899999998</v>
      </c>
      <c r="M742" s="2">
        <v>0</v>
      </c>
      <c r="N742" s="2">
        <v>0</v>
      </c>
      <c r="O742" s="2">
        <v>0</v>
      </c>
      <c r="P742" s="2">
        <v>3.2599999899999998</v>
      </c>
      <c r="Q742" s="2">
        <v>0</v>
      </c>
      <c r="R742" s="2">
        <v>0</v>
      </c>
      <c r="S742" s="2">
        <v>0</v>
      </c>
      <c r="T742" s="2">
        <v>248</v>
      </c>
      <c r="U742" s="2">
        <f t="shared" si="57"/>
        <v>248</v>
      </c>
      <c r="V742" s="2">
        <v>1192</v>
      </c>
      <c r="W742" s="2">
        <v>4929</v>
      </c>
      <c r="X742" s="2">
        <f t="shared" si="58"/>
        <v>4929</v>
      </c>
      <c r="Y742" s="2">
        <v>1860</v>
      </c>
      <c r="Z742" t="str" cm="1">
        <f t="array" ref="Z742">_xlfn.IFS(OR(R742&gt;66, S742&gt;38), "High Engagement", OR(AND(R742&gt;32, R742&lt;=66), AND(S742&gt;19, S742&lt;=38)), "Medium-High Engagement", OR(AND(R742&gt;4, R742&lt;=32), AND(S742&gt;6, S742&lt;=19)),"Medium Engagement", TRUE, "Low Engagement"
)</f>
        <v>Low Engagement</v>
      </c>
      <c r="AA742">
        <f t="shared" si="59"/>
        <v>0.37735849056603776</v>
      </c>
    </row>
    <row r="743" spans="1:27" x14ac:dyDescent="0.35">
      <c r="A743" s="2">
        <v>4445114986</v>
      </c>
      <c r="B743" s="2" t="s">
        <v>79</v>
      </c>
      <c r="C743" s="2">
        <f>VLOOKUP(user_activity!A487,users_details!$A$1:$G$34,5,0)</f>
        <v>33</v>
      </c>
      <c r="D743" s="2" t="str" cm="1">
        <f t="array" ref="D743">_xlfn.IFS( AND(C743&gt;=18, C743&lt;=25), "Emerging Adults",  AND(C743&gt;=26, C743&lt;=35),  "Young Adults",  AND(C743&gt;=36, C743&lt;=45),  "Midlife Adults",  AND(C743&gt;=46, C743&lt;=55), "Mature Adults", C743&gt;=56,  "Older Adults", TRUE, "Age Not Mentioned")</f>
        <v>Young Adults</v>
      </c>
      <c r="E743" s="2" t="str">
        <f>VLOOKUP(user_activity!A487,users_details!$A$1:$G$34,6,0)</f>
        <v>Harlem, Manhattan</v>
      </c>
      <c r="F743" s="2" t="str">
        <f>VLOOKUP(user_activity!A487,users_details!$A$1:$G$34,7,0)</f>
        <v>Harlem</v>
      </c>
      <c r="G743" s="2" t="s">
        <v>72</v>
      </c>
      <c r="H743" s="7">
        <v>42479</v>
      </c>
      <c r="I743" s="9" t="str">
        <f t="shared" si="55"/>
        <v>Tuesday</v>
      </c>
      <c r="J743" s="9" t="str">
        <f t="shared" si="56"/>
        <v>April</v>
      </c>
      <c r="K743" s="2">
        <v>1.3899999860000001</v>
      </c>
      <c r="L743" s="2">
        <v>1.3899999860000001</v>
      </c>
      <c r="M743" s="2">
        <v>0</v>
      </c>
      <c r="N743" s="2">
        <v>0</v>
      </c>
      <c r="O743" s="2">
        <v>0</v>
      </c>
      <c r="P743" s="2">
        <v>1.3899999860000001</v>
      </c>
      <c r="Q743" s="2">
        <v>0</v>
      </c>
      <c r="R743" s="2">
        <v>0</v>
      </c>
      <c r="S743" s="2">
        <v>0</v>
      </c>
      <c r="T743" s="2">
        <v>121</v>
      </c>
      <c r="U743" s="2">
        <f t="shared" si="57"/>
        <v>121</v>
      </c>
      <c r="V743" s="2">
        <v>895</v>
      </c>
      <c r="W743" s="2">
        <v>2064</v>
      </c>
      <c r="X743" s="2">
        <f t="shared" si="58"/>
        <v>2064</v>
      </c>
      <c r="Y743" s="2">
        <v>1954</v>
      </c>
      <c r="Z743" t="str" cm="1">
        <f t="array" ref="Z743">_xlfn.IFS(OR(R743&gt;66, S743&gt;38), "High Engagement", OR(AND(R743&gt;32, R743&lt;=66), AND(S743&gt;19, S743&lt;=38)), "Medium-High Engagement", OR(AND(R743&gt;4, R743&lt;=32), AND(S743&gt;6, S743&lt;=19)),"Medium Engagement", TRUE, "Low Engagement"
)</f>
        <v>Low Engagement</v>
      </c>
      <c r="AA743">
        <f t="shared" si="59"/>
        <v>0.94670542635658916</v>
      </c>
    </row>
    <row r="744" spans="1:27" x14ac:dyDescent="0.35">
      <c r="A744" s="2">
        <v>4445114986</v>
      </c>
      <c r="B744" s="2" t="s">
        <v>79</v>
      </c>
      <c r="C744" s="2">
        <f>VLOOKUP(user_activity!A492,users_details!$A$1:$G$34,5,0)</f>
        <v>33</v>
      </c>
      <c r="D744" s="2" t="str" cm="1">
        <f t="array" ref="D744">_xlfn.IFS( AND(C744&gt;=18, C744&lt;=25), "Emerging Adults",  AND(C744&gt;=26, C744&lt;=35),  "Young Adults",  AND(C744&gt;=36, C744&lt;=45),  "Midlife Adults",  AND(C744&gt;=46, C744&lt;=55), "Mature Adults", C744&gt;=56,  "Older Adults", TRUE, "Age Not Mentioned")</f>
        <v>Young Adults</v>
      </c>
      <c r="E744" s="2" t="str">
        <f>VLOOKUP(user_activity!A492,users_details!$A$1:$G$34,6,0)</f>
        <v>Greenpoint, Brooklyn</v>
      </c>
      <c r="F744" s="2" t="str">
        <f>VLOOKUP(user_activity!A492,users_details!$A$1:$G$34,7,0)</f>
        <v>Greenpoint</v>
      </c>
      <c r="G744" s="2" t="s">
        <v>72</v>
      </c>
      <c r="H744" s="7">
        <v>42475</v>
      </c>
      <c r="I744" s="9" t="str">
        <f t="shared" si="55"/>
        <v>Friday</v>
      </c>
      <c r="J744" s="9" t="str">
        <f t="shared" si="56"/>
        <v>April</v>
      </c>
      <c r="K744" s="2">
        <v>4.829999924</v>
      </c>
      <c r="L744" s="2">
        <v>4.829999924</v>
      </c>
      <c r="M744" s="2">
        <v>0</v>
      </c>
      <c r="N744" s="2">
        <v>0</v>
      </c>
      <c r="O744" s="2">
        <v>0</v>
      </c>
      <c r="P744" s="2">
        <v>4.829999924</v>
      </c>
      <c r="Q744" s="2">
        <v>0</v>
      </c>
      <c r="R744" s="2">
        <v>0</v>
      </c>
      <c r="S744" s="2">
        <v>0</v>
      </c>
      <c r="T744" s="2">
        <v>350</v>
      </c>
      <c r="U744" s="2">
        <f t="shared" si="57"/>
        <v>350</v>
      </c>
      <c r="V744" s="2">
        <v>711</v>
      </c>
      <c r="W744" s="2">
        <v>7198</v>
      </c>
      <c r="X744" s="2">
        <f t="shared" si="58"/>
        <v>7198</v>
      </c>
      <c r="Y744" s="2">
        <v>2496</v>
      </c>
      <c r="Z744" t="str" cm="1">
        <f t="array" ref="Z744">_xlfn.IFS(OR(R744&gt;66, S744&gt;38), "High Engagement", OR(AND(R744&gt;32, R744&lt;=66), AND(S744&gt;19, S744&lt;=38)), "Medium-High Engagement", OR(AND(R744&gt;4, R744&lt;=32), AND(S744&gt;6, S744&lt;=19)),"Medium Engagement", TRUE, "Low Engagement"
)</f>
        <v>Low Engagement</v>
      </c>
      <c r="AA744">
        <f t="shared" si="59"/>
        <v>0.34676298971936648</v>
      </c>
    </row>
    <row r="745" spans="1:27" x14ac:dyDescent="0.35">
      <c r="A745" s="2">
        <v>6117666160</v>
      </c>
      <c r="B745" s="2" t="s">
        <v>73</v>
      </c>
      <c r="C745" s="2">
        <f>VLOOKUP(user_activity!A498,users_details!$A$1:$G$34,5,0)</f>
        <v>36</v>
      </c>
      <c r="D745" s="2" t="str" cm="1">
        <f t="array" ref="D745">_xlfn.IFS( AND(C745&gt;=18, C745&lt;=25), "Emerging Adults",  AND(C745&gt;=26, C745&lt;=35),  "Young Adults",  AND(C745&gt;=36, C745&lt;=45),  "Midlife Adults",  AND(C745&gt;=46, C745&lt;=55), "Mature Adults", C745&gt;=56,  "Older Adults", TRUE, "Age Not Mentioned")</f>
        <v>Midlife Adults</v>
      </c>
      <c r="E745" s="2" t="str">
        <f>VLOOKUP(user_activity!A498,users_details!$A$1:$G$34,6,0)</f>
        <v>Williamsburg, Brooklyn</v>
      </c>
      <c r="F745" s="2" t="str">
        <f>VLOOKUP(user_activity!A498,users_details!$A$1:$G$34,7,0)</f>
        <v>Williamsburg</v>
      </c>
      <c r="G745" s="2" t="s">
        <v>71</v>
      </c>
      <c r="H745" s="7">
        <v>42490</v>
      </c>
      <c r="I745" s="9" t="str">
        <f t="shared" si="55"/>
        <v>Saturday</v>
      </c>
      <c r="J745" s="9" t="str">
        <f t="shared" si="56"/>
        <v>April</v>
      </c>
      <c r="K745" s="2">
        <v>5.2800002099999999</v>
      </c>
      <c r="L745" s="2">
        <v>5.2800002099999999</v>
      </c>
      <c r="M745" s="2">
        <v>0</v>
      </c>
      <c r="N745" s="2">
        <v>0</v>
      </c>
      <c r="O745" s="2">
        <v>0</v>
      </c>
      <c r="P745" s="2">
        <v>5.2800002099999999</v>
      </c>
      <c r="Q745" s="2">
        <v>0</v>
      </c>
      <c r="R745" s="2">
        <v>0</v>
      </c>
      <c r="S745" s="2">
        <v>0</v>
      </c>
      <c r="T745" s="2">
        <v>343</v>
      </c>
      <c r="U745" s="2">
        <f t="shared" si="57"/>
        <v>343</v>
      </c>
      <c r="V745" s="2">
        <v>1040</v>
      </c>
      <c r="W745" s="2">
        <v>6987</v>
      </c>
      <c r="X745" s="2">
        <f t="shared" si="58"/>
        <v>6987</v>
      </c>
      <c r="Y745" s="2">
        <v>2275</v>
      </c>
      <c r="Z745" t="str" cm="1">
        <f t="array" ref="Z745">_xlfn.IFS(OR(R745&gt;66, S745&gt;38), "High Engagement", OR(AND(R745&gt;32, R745&lt;=66), AND(S745&gt;19, S745&lt;=38)), "Medium-High Engagement", OR(AND(R745&gt;4, R745&lt;=32), AND(S745&gt;6, S745&lt;=19)),"Medium Engagement", TRUE, "Low Engagement"
)</f>
        <v>Low Engagement</v>
      </c>
      <c r="AA745">
        <f t="shared" si="59"/>
        <v>0.32560469443251755</v>
      </c>
    </row>
    <row r="746" spans="1:27" x14ac:dyDescent="0.35">
      <c r="A746" s="2">
        <v>1844505072</v>
      </c>
      <c r="B746" s="2" t="s">
        <v>93</v>
      </c>
      <c r="C746" s="2">
        <f>VLOOKUP(user_activity!A503,users_details!$A$1:$G$34,5,0)</f>
        <v>36</v>
      </c>
      <c r="D746" s="2" t="str" cm="1">
        <f t="array" ref="D746">_xlfn.IFS( AND(C746&gt;=18, C746&lt;=25), "Emerging Adults",  AND(C746&gt;=26, C746&lt;=35),  "Young Adults",  AND(C746&gt;=36, C746&lt;=45),  "Midlife Adults",  AND(C746&gt;=46, C746&lt;=55), "Mature Adults", C746&gt;=56,  "Older Adults", TRUE, "Age Not Mentioned")</f>
        <v>Midlife Adults</v>
      </c>
      <c r="E746" s="2" t="str">
        <f>VLOOKUP(user_activity!A503,users_details!$A$1:$G$34,6,0)</f>
        <v>Williamsburg, Brooklyn</v>
      </c>
      <c r="F746" s="2" t="str">
        <f>VLOOKUP(user_activity!A503,users_details!$A$1:$G$34,7,0)</f>
        <v>Williamsburg</v>
      </c>
      <c r="G746" s="2" t="s">
        <v>72</v>
      </c>
      <c r="H746" s="7">
        <v>42556</v>
      </c>
      <c r="I746" s="9" t="str">
        <f t="shared" si="55"/>
        <v>Tuesday</v>
      </c>
      <c r="J746" s="9" t="str">
        <f t="shared" si="56"/>
        <v>July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f t="shared" si="57"/>
        <v>0</v>
      </c>
      <c r="V746" s="2">
        <v>1440</v>
      </c>
      <c r="W746" s="2">
        <v>0</v>
      </c>
      <c r="X746" s="2">
        <f t="shared" si="58"/>
        <v>7405.5</v>
      </c>
      <c r="Y746" s="2">
        <v>1347</v>
      </c>
      <c r="Z746" t="str" cm="1">
        <f t="array" ref="Z746">_xlfn.IFS(OR(R746&gt;66, S746&gt;38), "High Engagement", OR(AND(R746&gt;32, R746&lt;=66), AND(S746&gt;19, S746&lt;=38)), "Medium-High Engagement", OR(AND(R746&gt;4, R746&lt;=32), AND(S746&gt;6, S746&lt;=19)),"Medium Engagement", TRUE, "Low Engagement"
)</f>
        <v>Low Engagement</v>
      </c>
      <c r="AA746">
        <f t="shared" si="59"/>
        <v>0</v>
      </c>
    </row>
    <row r="747" spans="1:27" x14ac:dyDescent="0.35">
      <c r="A747" s="2">
        <v>1844505072</v>
      </c>
      <c r="B747" s="2" t="s">
        <v>93</v>
      </c>
      <c r="C747" s="2">
        <f>VLOOKUP(user_activity!A516,users_details!$A$1:$G$34,5,0)</f>
        <v>36</v>
      </c>
      <c r="D747" s="2" t="str" cm="1">
        <f t="array" ref="D747">_xlfn.IFS( AND(C747&gt;=18, C747&lt;=25), "Emerging Adults",  AND(C747&gt;=26, C747&lt;=35),  "Young Adults",  AND(C747&gt;=36, C747&lt;=45),  "Midlife Adults",  AND(C747&gt;=46, C747&lt;=55), "Mature Adults", C747&gt;=56,  "Older Adults", TRUE, "Age Not Mentioned")</f>
        <v>Midlife Adults</v>
      </c>
      <c r="E747" s="2" t="str">
        <f>VLOOKUP(user_activity!A516,users_details!$A$1:$G$34,6,0)</f>
        <v>Williamsburg, Brooklyn</v>
      </c>
      <c r="F747" s="2" t="str">
        <f>VLOOKUP(user_activity!A516,users_details!$A$1:$G$34,7,0)</f>
        <v>Williamsburg</v>
      </c>
      <c r="G747" s="2" t="s">
        <v>72</v>
      </c>
      <c r="H747" s="7">
        <v>42526</v>
      </c>
      <c r="I747" s="9" t="str">
        <f t="shared" si="55"/>
        <v>Sunday</v>
      </c>
      <c r="J747" s="9" t="str">
        <f t="shared" si="56"/>
        <v>June</v>
      </c>
      <c r="K747" s="2">
        <v>2.9999998999999999E-2</v>
      </c>
      <c r="L747" s="2">
        <v>2.9999998999999999E-2</v>
      </c>
      <c r="M747" s="2">
        <v>0</v>
      </c>
      <c r="N747" s="2">
        <v>0</v>
      </c>
      <c r="O747" s="2">
        <v>0</v>
      </c>
      <c r="P747" s="2">
        <v>2.9999998999999999E-2</v>
      </c>
      <c r="Q747" s="2">
        <v>0</v>
      </c>
      <c r="R747" s="2">
        <v>0</v>
      </c>
      <c r="S747" s="2">
        <v>0</v>
      </c>
      <c r="T747" s="2">
        <v>2</v>
      </c>
      <c r="U747" s="2">
        <f t="shared" si="57"/>
        <v>2</v>
      </c>
      <c r="V747" s="2">
        <v>1438</v>
      </c>
      <c r="W747" s="2">
        <v>44</v>
      </c>
      <c r="X747" s="2">
        <f t="shared" si="58"/>
        <v>44</v>
      </c>
      <c r="Y747" s="2">
        <v>1351</v>
      </c>
      <c r="Z747" t="str" cm="1">
        <f t="array" ref="Z747">_xlfn.IFS(OR(R747&gt;66, S747&gt;38), "High Engagement", OR(AND(R747&gt;32, R747&lt;=66), AND(S747&gt;19, S747&lt;=38)), "Medium-High Engagement", OR(AND(R747&gt;4, R747&lt;=32), AND(S747&gt;6, S747&lt;=19)),"Medium Engagement", TRUE, "Low Engagement"
)</f>
        <v>Low Engagement</v>
      </c>
      <c r="AA747">
        <f t="shared" si="59"/>
        <v>30.704545454545453</v>
      </c>
    </row>
    <row r="748" spans="1:27" x14ac:dyDescent="0.35">
      <c r="A748" s="2">
        <v>4445114986</v>
      </c>
      <c r="B748" s="2" t="s">
        <v>79</v>
      </c>
      <c r="C748" s="2">
        <f>VLOOKUP(user_activity!A517,users_details!$A$1:$G$34,5,0)</f>
        <v>36</v>
      </c>
      <c r="D748" s="2" t="str" cm="1">
        <f t="array" ref="D748">_xlfn.IFS( AND(C748&gt;=18, C748&lt;=25), "Emerging Adults",  AND(C748&gt;=26, C748&lt;=35),  "Young Adults",  AND(C748&gt;=36, C748&lt;=45),  "Midlife Adults",  AND(C748&gt;=46, C748&lt;=55), "Mature Adults", C748&gt;=56,  "Older Adults", TRUE, "Age Not Mentioned")</f>
        <v>Midlife Adults</v>
      </c>
      <c r="E748" s="2" t="str">
        <f>VLOOKUP(user_activity!A517,users_details!$A$1:$G$34,6,0)</f>
        <v>Williamsburg, Brooklyn</v>
      </c>
      <c r="F748" s="2" t="str">
        <f>VLOOKUP(user_activity!A517,users_details!$A$1:$G$34,7,0)</f>
        <v>Williamsburg</v>
      </c>
      <c r="G748" s="2" t="s">
        <v>72</v>
      </c>
      <c r="H748" s="7">
        <v>42709</v>
      </c>
      <c r="I748" s="9" t="str">
        <f t="shared" si="55"/>
        <v>Monday</v>
      </c>
      <c r="J748" s="9" t="str">
        <f t="shared" si="56"/>
        <v>December</v>
      </c>
      <c r="K748" s="2">
        <v>0.519999981</v>
      </c>
      <c r="L748" s="2">
        <v>0.519999981</v>
      </c>
      <c r="M748" s="2">
        <v>0</v>
      </c>
      <c r="N748" s="2">
        <v>0</v>
      </c>
      <c r="O748" s="2">
        <v>0</v>
      </c>
      <c r="P748" s="2">
        <v>0.519999981</v>
      </c>
      <c r="Q748" s="2">
        <v>0</v>
      </c>
      <c r="R748" s="2">
        <v>0</v>
      </c>
      <c r="S748" s="2">
        <v>0</v>
      </c>
      <c r="T748" s="2">
        <v>58</v>
      </c>
      <c r="U748" s="2">
        <f t="shared" si="57"/>
        <v>58</v>
      </c>
      <c r="V748" s="2">
        <v>380</v>
      </c>
      <c r="W748" s="2">
        <v>768</v>
      </c>
      <c r="X748" s="2">
        <f t="shared" si="58"/>
        <v>768</v>
      </c>
      <c r="Y748" s="2">
        <v>1212</v>
      </c>
      <c r="Z748" t="str" cm="1">
        <f t="array" ref="Z748">_xlfn.IFS(OR(R748&gt;66, S748&gt;38), "High Engagement", OR(AND(R748&gt;32, R748&lt;=66), AND(S748&gt;19, S748&lt;=38)), "Medium-High Engagement", OR(AND(R748&gt;4, R748&lt;=32), AND(S748&gt;6, S748&lt;=19)),"Medium Engagement", TRUE, "Low Engagement"
)</f>
        <v>Low Engagement</v>
      </c>
      <c r="AA748">
        <f t="shared" si="59"/>
        <v>1.578125</v>
      </c>
    </row>
    <row r="749" spans="1:27" x14ac:dyDescent="0.35">
      <c r="A749" s="2">
        <v>4445114986</v>
      </c>
      <c r="B749" s="2" t="s">
        <v>79</v>
      </c>
      <c r="C749" s="2">
        <f>VLOOKUP(user_activity!A531,users_details!$A$1:$G$34,5,0)</f>
        <v>38</v>
      </c>
      <c r="D749" s="2" t="str" cm="1">
        <f t="array" ref="D749">_xlfn.IFS( AND(C749&gt;=18, C749&lt;=25), "Emerging Adults",  AND(C749&gt;=26, C749&lt;=35),  "Young Adults",  AND(C749&gt;=36, C749&lt;=45),  "Midlife Adults",  AND(C749&gt;=46, C749&lt;=55), "Mature Adults", C749&gt;=56,  "Older Adults", TRUE, "Age Not Mentioned")</f>
        <v>Midlife Adults</v>
      </c>
      <c r="E749" s="2" t="str">
        <f>VLOOKUP(user_activity!A531,users_details!$A$1:$G$34,6,0)</f>
        <v>Midtown, Manhattan</v>
      </c>
      <c r="F749" s="2" t="str">
        <f>VLOOKUP(user_activity!A531,users_details!$A$1:$G$34,7,0)</f>
        <v>Midtown</v>
      </c>
      <c r="G749" s="2" t="s">
        <v>72</v>
      </c>
      <c r="H749" s="7">
        <v>42708</v>
      </c>
      <c r="I749" s="9" t="str">
        <f t="shared" si="55"/>
        <v>Sunday</v>
      </c>
      <c r="J749" s="9" t="str">
        <f t="shared" si="56"/>
        <v>December</v>
      </c>
      <c r="K749" s="2">
        <v>2.2000000480000002</v>
      </c>
      <c r="L749" s="2">
        <v>2.2000000480000002</v>
      </c>
      <c r="M749" s="2">
        <v>0</v>
      </c>
      <c r="N749" s="2">
        <v>0</v>
      </c>
      <c r="O749" s="2">
        <v>0</v>
      </c>
      <c r="P749" s="2">
        <v>2.2000000480000002</v>
      </c>
      <c r="Q749" s="2">
        <v>0</v>
      </c>
      <c r="R749" s="2">
        <v>0</v>
      </c>
      <c r="S749" s="2">
        <v>0</v>
      </c>
      <c r="T749" s="2">
        <v>196</v>
      </c>
      <c r="U749" s="2">
        <f t="shared" si="57"/>
        <v>196</v>
      </c>
      <c r="V749" s="2">
        <v>787</v>
      </c>
      <c r="W749" s="2">
        <v>3276</v>
      </c>
      <c r="X749" s="2">
        <f t="shared" si="58"/>
        <v>3276</v>
      </c>
      <c r="Y749" s="2">
        <v>2113</v>
      </c>
      <c r="Z749" t="str" cm="1">
        <f t="array" ref="Z749">_xlfn.IFS(OR(R749&gt;66, S749&gt;38), "High Engagement", OR(AND(R749&gt;32, R749&lt;=66), AND(S749&gt;19, S749&lt;=38)), "Medium-High Engagement", OR(AND(R749&gt;4, R749&lt;=32), AND(S749&gt;6, S749&lt;=19)),"Medium Engagement", TRUE, "Low Engagement"
)</f>
        <v>Low Engagement</v>
      </c>
      <c r="AA749">
        <f t="shared" si="59"/>
        <v>0.64499389499389503</v>
      </c>
    </row>
    <row r="750" spans="1:27" x14ac:dyDescent="0.35">
      <c r="A750" s="2">
        <v>4445114986</v>
      </c>
      <c r="B750" s="2" t="s">
        <v>79</v>
      </c>
      <c r="C750" s="2">
        <f>VLOOKUP(user_activity!A543,users_details!$A$1:$G$34,5,0)</f>
        <v>38</v>
      </c>
      <c r="D750" s="2" t="str" cm="1">
        <f t="array" ref="D750">_xlfn.IFS( AND(C750&gt;=18, C750&lt;=25), "Emerging Adults",  AND(C750&gt;=26, C750&lt;=35),  "Young Adults",  AND(C750&gt;=36, C750&lt;=45),  "Midlife Adults",  AND(C750&gt;=46, C750&lt;=55), "Mature Adults", C750&gt;=56,  "Older Adults", TRUE, "Age Not Mentioned")</f>
        <v>Midlife Adults</v>
      </c>
      <c r="E750" s="2" t="str">
        <f>VLOOKUP(user_activity!A543,users_details!$A$1:$G$34,6,0)</f>
        <v>East Harlem, Manhattan</v>
      </c>
      <c r="F750" s="2" t="str">
        <f>VLOOKUP(user_activity!A543,users_details!$A$1:$G$34,7,0)</f>
        <v>East Harlem</v>
      </c>
      <c r="G750" s="2" t="s">
        <v>72</v>
      </c>
      <c r="H750" s="7">
        <v>42618</v>
      </c>
      <c r="I750" s="9" t="str">
        <f t="shared" si="55"/>
        <v>Monday</v>
      </c>
      <c r="J750" s="9" t="str">
        <f t="shared" si="56"/>
        <v>September</v>
      </c>
      <c r="K750" s="2">
        <v>3.539999962</v>
      </c>
      <c r="L750" s="2">
        <v>3.539999962</v>
      </c>
      <c r="M750" s="2">
        <v>0</v>
      </c>
      <c r="N750" s="2">
        <v>0</v>
      </c>
      <c r="O750" s="2">
        <v>0</v>
      </c>
      <c r="P750" s="2">
        <v>3.539999962</v>
      </c>
      <c r="Q750" s="2">
        <v>0</v>
      </c>
      <c r="R750" s="2">
        <v>0</v>
      </c>
      <c r="S750" s="2">
        <v>0</v>
      </c>
      <c r="T750" s="2">
        <v>266</v>
      </c>
      <c r="U750" s="2">
        <f t="shared" si="57"/>
        <v>266</v>
      </c>
      <c r="V750" s="2">
        <v>641</v>
      </c>
      <c r="W750" s="2">
        <v>5275</v>
      </c>
      <c r="X750" s="2">
        <f t="shared" si="58"/>
        <v>5275</v>
      </c>
      <c r="Y750" s="2">
        <v>2281</v>
      </c>
      <c r="Z750" t="str" cm="1">
        <f t="array" ref="Z750">_xlfn.IFS(OR(R750&gt;66, S750&gt;38), "High Engagement", OR(AND(R750&gt;32, R750&lt;=66), AND(S750&gt;19, S750&lt;=38)), "Medium-High Engagement", OR(AND(R750&gt;4, R750&lt;=32), AND(S750&gt;6, S750&lt;=19)),"Medium Engagement", TRUE, "Low Engagement"
)</f>
        <v>Low Engagement</v>
      </c>
      <c r="AA750">
        <f t="shared" si="59"/>
        <v>0.43241706161137439</v>
      </c>
    </row>
    <row r="751" spans="1:27" x14ac:dyDescent="0.35">
      <c r="A751" s="2">
        <v>6117666160</v>
      </c>
      <c r="B751" s="2" t="s">
        <v>73</v>
      </c>
      <c r="C751" s="2">
        <f>VLOOKUP(user_activity!A568,users_details!$A$1:$G$34,5,0)</f>
        <v>38</v>
      </c>
      <c r="D751" s="2" t="str" cm="1">
        <f t="array" ref="D751">_xlfn.IFS( AND(C751&gt;=18, C751&lt;=25), "Emerging Adults",  AND(C751&gt;=26, C751&lt;=35),  "Young Adults",  AND(C751&gt;=36, C751&lt;=45),  "Midlife Adults",  AND(C751&gt;=46, C751&lt;=55), "Mature Adults", C751&gt;=56,  "Older Adults", TRUE, "Age Not Mentioned")</f>
        <v>Midlife Adults</v>
      </c>
      <c r="E751" s="2" t="str">
        <f>VLOOKUP(user_activity!A568,users_details!$A$1:$G$34,6,0)</f>
        <v>East Harlem, Manhattan</v>
      </c>
      <c r="F751" s="2" t="str">
        <f>VLOOKUP(user_activity!A568,users_details!$A$1:$G$34,7,0)</f>
        <v>East Harlem</v>
      </c>
      <c r="G751" s="2" t="s">
        <v>71</v>
      </c>
      <c r="H751" s="7">
        <v>42374</v>
      </c>
      <c r="I751" s="9" t="str">
        <f t="shared" si="55"/>
        <v>Tuesday</v>
      </c>
      <c r="J751" s="9" t="str">
        <f t="shared" si="56"/>
        <v>January</v>
      </c>
      <c r="K751" s="2">
        <v>6.7300000190000002</v>
      </c>
      <c r="L751" s="2">
        <v>6.7300000190000002</v>
      </c>
      <c r="M751" s="2">
        <v>0</v>
      </c>
      <c r="N751" s="2">
        <v>0</v>
      </c>
      <c r="O751" s="2">
        <v>0</v>
      </c>
      <c r="P751" s="2">
        <v>6.7300000190000002</v>
      </c>
      <c r="Q751" s="2">
        <v>0</v>
      </c>
      <c r="R751" s="2">
        <v>0</v>
      </c>
      <c r="S751" s="2">
        <v>0</v>
      </c>
      <c r="T751" s="2">
        <v>397</v>
      </c>
      <c r="U751" s="2">
        <f t="shared" si="57"/>
        <v>397</v>
      </c>
      <c r="V751" s="2">
        <v>525</v>
      </c>
      <c r="W751" s="2">
        <v>8915</v>
      </c>
      <c r="X751" s="2">
        <f t="shared" si="58"/>
        <v>8915</v>
      </c>
      <c r="Y751" s="2">
        <v>2361</v>
      </c>
      <c r="Z751" t="str" cm="1">
        <f t="array" ref="Z751">_xlfn.IFS(OR(R751&gt;66, S751&gt;38), "High Engagement", OR(AND(R751&gt;32, R751&lt;=66), AND(S751&gt;19, S751&lt;=38)), "Medium-High Engagement", OR(AND(R751&gt;4, R751&lt;=32), AND(S751&gt;6, S751&lt;=19)),"Medium Engagement", TRUE, "Low Engagement"
)</f>
        <v>Low Engagement</v>
      </c>
      <c r="AA751">
        <f t="shared" si="59"/>
        <v>0.26483454851374089</v>
      </c>
    </row>
    <row r="752" spans="1:27" x14ac:dyDescent="0.35">
      <c r="A752" s="2">
        <v>1844505072</v>
      </c>
      <c r="B752" s="2" t="s">
        <v>93</v>
      </c>
      <c r="C752" s="2">
        <f>VLOOKUP(user_activity!A571,users_details!$A$1:$G$34,5,0)</f>
        <v>38</v>
      </c>
      <c r="D752" s="2" t="str" cm="1">
        <f t="array" ref="D752">_xlfn.IFS( AND(C752&gt;=18, C752&lt;=25), "Emerging Adults",  AND(C752&gt;=26, C752&lt;=35),  "Young Adults",  AND(C752&gt;=36, C752&lt;=45),  "Midlife Adults",  AND(C752&gt;=46, C752&lt;=55), "Mature Adults", C752&gt;=56,  "Older Adults", TRUE, "Age Not Mentioned")</f>
        <v>Midlife Adults</v>
      </c>
      <c r="E752" s="2" t="str">
        <f>VLOOKUP(user_activity!A571,users_details!$A$1:$G$34,6,0)</f>
        <v>East Harlem, Manhattan</v>
      </c>
      <c r="F752" s="2" t="str">
        <f>VLOOKUP(user_activity!A571,users_details!$A$1:$G$34,7,0)</f>
        <v>East Harlem</v>
      </c>
      <c r="G752" s="2" t="s">
        <v>72</v>
      </c>
      <c r="H752" s="7">
        <v>42495</v>
      </c>
      <c r="I752" s="9" t="str">
        <f t="shared" si="55"/>
        <v>Thursday</v>
      </c>
      <c r="J752" s="9" t="str">
        <f t="shared" si="56"/>
        <v>May</v>
      </c>
      <c r="K752" s="2">
        <v>1.480000019</v>
      </c>
      <c r="L752" s="2">
        <v>1.480000019</v>
      </c>
      <c r="M752" s="2">
        <v>0</v>
      </c>
      <c r="N752" s="2">
        <v>0</v>
      </c>
      <c r="O752" s="2">
        <v>0</v>
      </c>
      <c r="P752" s="2">
        <v>1.480000019</v>
      </c>
      <c r="Q752" s="2">
        <v>0</v>
      </c>
      <c r="R752" s="2">
        <v>0</v>
      </c>
      <c r="S752" s="2">
        <v>0</v>
      </c>
      <c r="T752" s="2">
        <v>120</v>
      </c>
      <c r="U752" s="2">
        <f t="shared" si="57"/>
        <v>120</v>
      </c>
      <c r="V752" s="2">
        <v>1320</v>
      </c>
      <c r="W752" s="2">
        <v>2237</v>
      </c>
      <c r="X752" s="2">
        <f t="shared" si="58"/>
        <v>2237</v>
      </c>
      <c r="Y752" s="2">
        <v>1589</v>
      </c>
      <c r="Z752" t="str" cm="1">
        <f t="array" ref="Z752">_xlfn.IFS(OR(R752&gt;66, S752&gt;38), "High Engagement", OR(AND(R752&gt;32, R752&lt;=66), AND(S752&gt;19, S752&lt;=38)), "Medium-High Engagement", OR(AND(R752&gt;4, R752&lt;=32), AND(S752&gt;6, S752&lt;=19)),"Medium Engagement", TRUE, "Low Engagement"
)</f>
        <v>Low Engagement</v>
      </c>
      <c r="AA752">
        <f t="shared" si="59"/>
        <v>0.71032632990612432</v>
      </c>
    </row>
    <row r="753" spans="1:27" x14ac:dyDescent="0.35">
      <c r="A753" s="2">
        <v>6117666160</v>
      </c>
      <c r="B753" s="2" t="s">
        <v>73</v>
      </c>
      <c r="C753" s="2">
        <f>VLOOKUP(user_activity!A579,users_details!$A$1:$G$34,5,0)</f>
        <v>38</v>
      </c>
      <c r="D753" s="2" t="str" cm="1">
        <f t="array" ref="D753">_xlfn.IFS( AND(C753&gt;=18, C753&lt;=25), "Emerging Adults",  AND(C753&gt;=26, C753&lt;=35),  "Young Adults",  AND(C753&gt;=36, C753&lt;=45),  "Midlife Adults",  AND(C753&gt;=46, C753&lt;=55), "Mature Adults", C753&gt;=56,  "Older Adults", TRUE, "Age Not Mentioned")</f>
        <v>Midlife Adults</v>
      </c>
      <c r="E753" s="2" t="str">
        <f>VLOOKUP(user_activity!A579,users_details!$A$1:$G$34,6,0)</f>
        <v>East Harlem, Manhattan</v>
      </c>
      <c r="F753" s="2" t="str">
        <f>VLOOKUP(user_activity!A579,users_details!$A$1:$G$34,7,0)</f>
        <v>East Harlem</v>
      </c>
      <c r="G753" s="2" t="s">
        <v>71</v>
      </c>
      <c r="H753" s="7">
        <v>42495</v>
      </c>
      <c r="I753" s="9" t="str">
        <f t="shared" si="55"/>
        <v>Thursday</v>
      </c>
      <c r="J753" s="9" t="str">
        <f t="shared" si="56"/>
        <v>May</v>
      </c>
      <c r="K753" s="2">
        <v>7.4000000950000002</v>
      </c>
      <c r="L753" s="2">
        <v>7.4000000950000002</v>
      </c>
      <c r="M753" s="2">
        <v>0</v>
      </c>
      <c r="N753" s="2">
        <v>0</v>
      </c>
      <c r="O753" s="2">
        <v>0</v>
      </c>
      <c r="P753" s="2">
        <v>7.4000000950000002</v>
      </c>
      <c r="Q753" s="2">
        <v>0</v>
      </c>
      <c r="R753" s="2">
        <v>0</v>
      </c>
      <c r="S753" s="2">
        <v>0</v>
      </c>
      <c r="T753" s="2">
        <v>487</v>
      </c>
      <c r="U753" s="2">
        <f t="shared" si="57"/>
        <v>487</v>
      </c>
      <c r="V753" s="2">
        <v>479</v>
      </c>
      <c r="W753" s="2">
        <v>9799</v>
      </c>
      <c r="X753" s="2">
        <f t="shared" si="58"/>
        <v>9799</v>
      </c>
      <c r="Y753" s="2">
        <v>2636</v>
      </c>
      <c r="Z753" t="str" cm="1">
        <f t="array" ref="Z753">_xlfn.IFS(OR(R753&gt;66, S753&gt;38), "High Engagement", OR(AND(R753&gt;32, R753&lt;=66), AND(S753&gt;19, S753&lt;=38)), "Medium-High Engagement", OR(AND(R753&gt;4, R753&lt;=32), AND(S753&gt;6, S753&lt;=19)),"Medium Engagement", TRUE, "Low Engagement"
)</f>
        <v>Low Engagement</v>
      </c>
      <c r="AA753">
        <f t="shared" si="59"/>
        <v>0.2690070415348505</v>
      </c>
    </row>
    <row r="754" spans="1:27" x14ac:dyDescent="0.35">
      <c r="A754" s="2">
        <v>6117666160</v>
      </c>
      <c r="B754" s="2" t="s">
        <v>73</v>
      </c>
      <c r="C754" s="2">
        <f>VLOOKUP(user_activity!A596,users_details!$A$1:$G$34,5,0)</f>
        <v>39</v>
      </c>
      <c r="D754" s="2" t="str" cm="1">
        <f t="array" ref="D754">_xlfn.IFS( AND(C754&gt;=18, C754&lt;=25), "Emerging Adults",  AND(C754&gt;=26, C754&lt;=35),  "Young Adults",  AND(C754&gt;=36, C754&lt;=45),  "Midlife Adults",  AND(C754&gt;=46, C754&lt;=55), "Mature Adults", C754&gt;=56,  "Older Adults", TRUE, "Age Not Mentioned")</f>
        <v>Midlife Adults</v>
      </c>
      <c r="E754" s="2" t="str">
        <f>VLOOKUP(user_activity!A596,users_details!$A$1:$G$34,6,0)</f>
        <v>East Village, Manhattan</v>
      </c>
      <c r="F754" s="2" t="str">
        <f>VLOOKUP(user_activity!A596,users_details!$A$1:$G$34,7,0)</f>
        <v>East Village</v>
      </c>
      <c r="G754" s="2" t="s">
        <v>71</v>
      </c>
      <c r="H754" s="7">
        <v>42488</v>
      </c>
      <c r="I754" s="9" t="str">
        <f t="shared" si="55"/>
        <v>Thursday</v>
      </c>
      <c r="J754" s="9" t="str">
        <f t="shared" si="56"/>
        <v>April</v>
      </c>
      <c r="K754" s="2">
        <v>2.5999999049999998</v>
      </c>
      <c r="L754" s="2">
        <v>2.5999999049999998</v>
      </c>
      <c r="M754" s="2">
        <v>0</v>
      </c>
      <c r="N754" s="2">
        <v>0</v>
      </c>
      <c r="O754" s="2">
        <v>0</v>
      </c>
      <c r="P754" s="2">
        <v>2.5999999049999998</v>
      </c>
      <c r="Q754" s="2">
        <v>0</v>
      </c>
      <c r="R754" s="2">
        <v>0</v>
      </c>
      <c r="S754" s="2">
        <v>0</v>
      </c>
      <c r="T754" s="2">
        <v>141</v>
      </c>
      <c r="U754" s="2">
        <f t="shared" si="57"/>
        <v>141</v>
      </c>
      <c r="V754" s="2">
        <v>758</v>
      </c>
      <c r="W754" s="2">
        <v>3403</v>
      </c>
      <c r="X754" s="2">
        <f t="shared" si="58"/>
        <v>3403</v>
      </c>
      <c r="Y754" s="2">
        <v>1879</v>
      </c>
      <c r="Z754" t="str" cm="1">
        <f t="array" ref="Z754">_xlfn.IFS(OR(R754&gt;66, S754&gt;38), "High Engagement", OR(AND(R754&gt;32, R754&lt;=66), AND(S754&gt;19, S754&lt;=38)), "Medium-High Engagement", OR(AND(R754&gt;4, R754&lt;=32), AND(S754&gt;6, S754&lt;=19)),"Medium Engagement", TRUE, "Low Engagement"
)</f>
        <v>Low Engagement</v>
      </c>
      <c r="AA754">
        <f t="shared" si="59"/>
        <v>0.55215985894798703</v>
      </c>
    </row>
    <row r="755" spans="1:27" x14ac:dyDescent="0.35">
      <c r="A755" s="2">
        <v>4445114986</v>
      </c>
      <c r="B755" s="2" t="s">
        <v>79</v>
      </c>
      <c r="C755" s="2">
        <f>VLOOKUP(user_activity!A607,users_details!$A$1:$G$34,5,0)</f>
        <v>39</v>
      </c>
      <c r="D755" s="2" t="str" cm="1">
        <f t="array" ref="D755">_xlfn.IFS( AND(C755&gt;=18, C755&lt;=25), "Emerging Adults",  AND(C755&gt;=26, C755&lt;=35),  "Young Adults",  AND(C755&gt;=36, C755&lt;=45),  "Midlife Adults",  AND(C755&gt;=46, C755&lt;=55), "Mature Adults", C755&gt;=56,  "Older Adults", TRUE, "Age Not Mentioned")</f>
        <v>Midlife Adults</v>
      </c>
      <c r="E755" s="2" t="str">
        <f>VLOOKUP(user_activity!A607,users_details!$A$1:$G$34,6,0)</f>
        <v>East Village, Manhattan</v>
      </c>
      <c r="F755" s="2" t="str">
        <f>VLOOKUP(user_activity!A607,users_details!$A$1:$G$34,7,0)</f>
        <v>East Village</v>
      </c>
      <c r="G755" s="2" t="s">
        <v>72</v>
      </c>
      <c r="H755" s="7">
        <v>42587</v>
      </c>
      <c r="I755" s="9" t="str">
        <f t="shared" si="55"/>
        <v>Friday</v>
      </c>
      <c r="J755" s="9" t="str">
        <f t="shared" si="56"/>
        <v>August</v>
      </c>
      <c r="K755" s="2">
        <v>4.9000000950000002</v>
      </c>
      <c r="L755" s="2">
        <v>4.9000000950000002</v>
      </c>
      <c r="M755" s="2">
        <v>0</v>
      </c>
      <c r="N755" s="2">
        <v>0</v>
      </c>
      <c r="O755" s="2">
        <v>0.25</v>
      </c>
      <c r="P755" s="2">
        <v>4.6500000950000002</v>
      </c>
      <c r="Q755" s="2">
        <v>0</v>
      </c>
      <c r="R755" s="2">
        <v>0</v>
      </c>
      <c r="S755" s="2">
        <v>8</v>
      </c>
      <c r="T755" s="2">
        <v>308</v>
      </c>
      <c r="U755" s="2">
        <f t="shared" si="57"/>
        <v>316</v>
      </c>
      <c r="V755" s="2">
        <v>733</v>
      </c>
      <c r="W755" s="2">
        <v>7303</v>
      </c>
      <c r="X755" s="2">
        <f t="shared" si="58"/>
        <v>7303</v>
      </c>
      <c r="Y755" s="2">
        <v>2423</v>
      </c>
      <c r="Z755" t="str" cm="1">
        <f t="array" ref="Z755">_xlfn.IFS(OR(R755&gt;66, S755&gt;38), "High Engagement", OR(AND(R755&gt;32, R755&lt;=66), AND(S755&gt;19, S755&lt;=38)), "Medium-High Engagement", OR(AND(R755&gt;4, R755&lt;=32), AND(S755&gt;6, S755&lt;=19)),"Medium Engagement", TRUE, "Low Engagement"
)</f>
        <v>Medium Engagement</v>
      </c>
      <c r="AA755">
        <f t="shared" si="59"/>
        <v>0.33178145967410655</v>
      </c>
    </row>
    <row r="756" spans="1:27" x14ac:dyDescent="0.35">
      <c r="A756" s="2">
        <v>1844505072</v>
      </c>
      <c r="B756" s="2" t="s">
        <v>93</v>
      </c>
      <c r="C756" s="2">
        <f>VLOOKUP(user_activity!A625,users_details!$A$1:$G$34,5,0)</f>
        <v>41</v>
      </c>
      <c r="D756" s="2" t="str" cm="1">
        <f t="array" ref="D756">_xlfn.IFS( AND(C756&gt;=18, C756&lt;=25), "Emerging Adults",  AND(C756&gt;=26, C756&lt;=35),  "Young Adults",  AND(C756&gt;=36, C756&lt;=45),  "Midlife Adults",  AND(C756&gt;=46, C756&lt;=55), "Mature Adults", C756&gt;=56,  "Older Adults", TRUE, "Age Not Mentioned")</f>
        <v>Midlife Adults</v>
      </c>
      <c r="E756" s="2" t="str">
        <f>VLOOKUP(user_activity!A625,users_details!$A$1:$G$34,6,0)</f>
        <v>East Harlem, Manhattan</v>
      </c>
      <c r="F756" s="2" t="str">
        <f>VLOOKUP(user_activity!A625,users_details!$A$1:$G$34,7,0)</f>
        <v>East Harlem</v>
      </c>
      <c r="G756" s="2" t="s">
        <v>72</v>
      </c>
      <c r="H756" s="7">
        <v>42374</v>
      </c>
      <c r="I756" s="9" t="str">
        <f t="shared" si="55"/>
        <v>Tuesday</v>
      </c>
      <c r="J756" s="9" t="str">
        <f t="shared" si="56"/>
        <v>January</v>
      </c>
      <c r="K756" s="2">
        <v>1.7000000479999999</v>
      </c>
      <c r="L756" s="2">
        <v>1.7000000479999999</v>
      </c>
      <c r="M756" s="2">
        <v>0</v>
      </c>
      <c r="N756" s="2">
        <v>0</v>
      </c>
      <c r="O756" s="2">
        <v>0.25999999000000001</v>
      </c>
      <c r="P756" s="2">
        <v>1.4500000479999999</v>
      </c>
      <c r="Q756" s="2">
        <v>0</v>
      </c>
      <c r="R756" s="2">
        <v>0</v>
      </c>
      <c r="S756" s="2">
        <v>7</v>
      </c>
      <c r="T756" s="2">
        <v>75</v>
      </c>
      <c r="U756" s="2">
        <f t="shared" si="57"/>
        <v>82</v>
      </c>
      <c r="V756" s="2">
        <v>585</v>
      </c>
      <c r="W756" s="2">
        <v>2573</v>
      </c>
      <c r="X756" s="2">
        <f t="shared" si="58"/>
        <v>2573</v>
      </c>
      <c r="Y756" s="2">
        <v>1541</v>
      </c>
      <c r="Z756" t="str" cm="1">
        <f t="array" ref="Z756">_xlfn.IFS(OR(R756&gt;66, S756&gt;38), "High Engagement", OR(AND(R756&gt;32, R756&lt;=66), AND(S756&gt;19, S756&lt;=38)), "Medium-High Engagement", OR(AND(R756&gt;4, R756&lt;=32), AND(S756&gt;6, S756&lt;=19)),"Medium Engagement", TRUE, "Low Engagement"
)</f>
        <v>Medium Engagement</v>
      </c>
      <c r="AA756">
        <f t="shared" si="59"/>
        <v>0.59891177613680524</v>
      </c>
    </row>
    <row r="757" spans="1:27" x14ac:dyDescent="0.35">
      <c r="A757" s="2">
        <v>1844505072</v>
      </c>
      <c r="B757" s="2" t="s">
        <v>93</v>
      </c>
      <c r="C757" s="2">
        <f>VLOOKUP(user_activity!A628,users_details!$A$1:$G$34,5,0)</f>
        <v>41</v>
      </c>
      <c r="D757" s="2" t="str" cm="1">
        <f t="array" ref="D757">_xlfn.IFS( AND(C757&gt;=18, C757&lt;=25), "Emerging Adults",  AND(C757&gt;=26, C757&lt;=35),  "Young Adults",  AND(C757&gt;=36, C757&lt;=45),  "Midlife Adults",  AND(C757&gt;=46, C757&lt;=55), "Mature Adults", C757&gt;=56,  "Older Adults", TRUE, "Age Not Mentioned")</f>
        <v>Midlife Adults</v>
      </c>
      <c r="E757" s="2" t="str">
        <f>VLOOKUP(user_activity!A628,users_details!$A$1:$G$34,6,0)</f>
        <v>East Harlem, Manhattan</v>
      </c>
      <c r="F757" s="2" t="str">
        <f>VLOOKUP(user_activity!A628,users_details!$A$1:$G$34,7,0)</f>
        <v>East Harlem</v>
      </c>
      <c r="G757" s="2" t="s">
        <v>72</v>
      </c>
      <c r="H757" s="7">
        <v>42483</v>
      </c>
      <c r="I757" s="9" t="str">
        <f t="shared" si="55"/>
        <v>Saturday</v>
      </c>
      <c r="J757" s="9" t="str">
        <f t="shared" si="56"/>
        <v>April</v>
      </c>
      <c r="K757" s="2">
        <v>2.3599998950000001</v>
      </c>
      <c r="L757" s="2">
        <v>2.3599998950000001</v>
      </c>
      <c r="M757" s="2">
        <v>0</v>
      </c>
      <c r="N757" s="2">
        <v>0</v>
      </c>
      <c r="O757" s="2">
        <v>0</v>
      </c>
      <c r="P757" s="2">
        <v>2.3599998950000001</v>
      </c>
      <c r="Q757" s="2">
        <v>0</v>
      </c>
      <c r="R757" s="2">
        <v>0</v>
      </c>
      <c r="S757" s="2">
        <v>0</v>
      </c>
      <c r="T757" s="2">
        <v>139</v>
      </c>
      <c r="U757" s="2">
        <f t="shared" si="57"/>
        <v>139</v>
      </c>
      <c r="V757" s="2">
        <v>1301</v>
      </c>
      <c r="W757" s="2">
        <v>3570</v>
      </c>
      <c r="X757" s="2">
        <f t="shared" si="58"/>
        <v>3570</v>
      </c>
      <c r="Y757" s="2">
        <v>1645</v>
      </c>
      <c r="Z757" t="str" cm="1">
        <f t="array" ref="Z757">_xlfn.IFS(OR(R757&gt;66, S757&gt;38), "High Engagement", OR(AND(R757&gt;32, R757&lt;=66), AND(S757&gt;19, S757&lt;=38)), "Medium-High Engagement", OR(AND(R757&gt;4, R757&lt;=32), AND(S757&gt;6, S757&lt;=19)),"Medium Engagement", TRUE, "Low Engagement"
)</f>
        <v>Low Engagement</v>
      </c>
      <c r="AA757">
        <f t="shared" si="59"/>
        <v>0.46078431372549017</v>
      </c>
    </row>
    <row r="758" spans="1:27" x14ac:dyDescent="0.35">
      <c r="A758" s="2">
        <v>1844505072</v>
      </c>
      <c r="B758" s="2" t="s">
        <v>93</v>
      </c>
      <c r="C758" s="2">
        <f>VLOOKUP(user_activity!A634,users_details!$A$1:$G$34,5,0)</f>
        <v>41</v>
      </c>
      <c r="D758" s="2" t="str" cm="1">
        <f t="array" ref="D758">_xlfn.IFS( AND(C758&gt;=18, C758&lt;=25), "Emerging Adults",  AND(C758&gt;=26, C758&lt;=35),  "Young Adults",  AND(C758&gt;=36, C758&lt;=45),  "Midlife Adults",  AND(C758&gt;=46, C758&lt;=55), "Mature Adults", C758&gt;=56,  "Older Adults", TRUE, "Age Not Mentioned")</f>
        <v>Midlife Adults</v>
      </c>
      <c r="E758" s="2" t="str">
        <f>VLOOKUP(user_activity!A634,users_details!$A$1:$G$34,6,0)</f>
        <v>East Harlem, Manhattan</v>
      </c>
      <c r="F758" s="2" t="str">
        <f>VLOOKUP(user_activity!A634,users_details!$A$1:$G$34,7,0)</f>
        <v>East Harlem</v>
      </c>
      <c r="G758" s="2" t="s">
        <v>72</v>
      </c>
      <c r="H758" s="7">
        <v>42618</v>
      </c>
      <c r="I758" s="9" t="str">
        <f t="shared" si="55"/>
        <v>Monday</v>
      </c>
      <c r="J758" s="9" t="str">
        <f t="shared" si="56"/>
        <v>September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f t="shared" si="57"/>
        <v>0</v>
      </c>
      <c r="V758" s="2">
        <v>1440</v>
      </c>
      <c r="W758" s="2">
        <v>0</v>
      </c>
      <c r="X758" s="2">
        <f t="shared" si="58"/>
        <v>7405.5</v>
      </c>
      <c r="Y758" s="2">
        <v>1347</v>
      </c>
      <c r="Z758" t="str" cm="1">
        <f t="array" ref="Z758">_xlfn.IFS(OR(R758&gt;66, S758&gt;38), "High Engagement", OR(AND(R758&gt;32, R758&lt;=66), AND(S758&gt;19, S758&lt;=38)), "Medium-High Engagement", OR(AND(R758&gt;4, R758&lt;=32), AND(S758&gt;6, S758&lt;=19)),"Medium Engagement", TRUE, "Low Engagement"
)</f>
        <v>Low Engagement</v>
      </c>
      <c r="AA758">
        <f t="shared" si="59"/>
        <v>0</v>
      </c>
    </row>
    <row r="759" spans="1:27" x14ac:dyDescent="0.35">
      <c r="A759" s="2">
        <v>4445114986</v>
      </c>
      <c r="B759" s="2" t="s">
        <v>79</v>
      </c>
      <c r="C759" s="2">
        <f>VLOOKUP(user_activity!A645,users_details!$A$1:$G$34,5,0)</f>
        <v>45</v>
      </c>
      <c r="D759" s="2" t="str" cm="1">
        <f t="array" ref="D759">_xlfn.IFS( AND(C759&gt;=18, C759&lt;=25), "Emerging Adults",  AND(C759&gt;=26, C759&lt;=35),  "Young Adults",  AND(C759&gt;=36, C759&lt;=45),  "Midlife Adults",  AND(C759&gt;=46, C759&lt;=55), "Mature Adults", C759&gt;=56,  "Older Adults", TRUE, "Age Not Mentioned")</f>
        <v>Midlife Adults</v>
      </c>
      <c r="E759" s="2" t="str">
        <f>VLOOKUP(user_activity!A645,users_details!$A$1:$G$34,6,0)</f>
        <v>Harlem, Manhattan</v>
      </c>
      <c r="F759" s="2" t="str">
        <f>VLOOKUP(user_activity!A645,users_details!$A$1:$G$34,7,0)</f>
        <v>Harlem</v>
      </c>
      <c r="G759" s="2" t="s">
        <v>72</v>
      </c>
      <c r="H759" s="7">
        <v>42481</v>
      </c>
      <c r="I759" s="9" t="str">
        <f t="shared" si="55"/>
        <v>Thursday</v>
      </c>
      <c r="J759" s="9" t="str">
        <f t="shared" si="56"/>
        <v>April</v>
      </c>
      <c r="K759" s="2">
        <v>2.5599999430000002</v>
      </c>
      <c r="L759" s="2">
        <v>2.5599999430000002</v>
      </c>
      <c r="M759" s="2">
        <v>0</v>
      </c>
      <c r="N759" s="2">
        <v>0</v>
      </c>
      <c r="O759" s="2">
        <v>0</v>
      </c>
      <c r="P759" s="2">
        <v>2.539999962</v>
      </c>
      <c r="Q759" s="2">
        <v>0</v>
      </c>
      <c r="R759" s="2">
        <v>0</v>
      </c>
      <c r="S759" s="2">
        <v>0</v>
      </c>
      <c r="T759" s="2">
        <v>215</v>
      </c>
      <c r="U759" s="2">
        <f t="shared" si="57"/>
        <v>215</v>
      </c>
      <c r="V759" s="2">
        <v>756</v>
      </c>
      <c r="W759" s="2">
        <v>3809</v>
      </c>
      <c r="X759" s="2">
        <f t="shared" si="58"/>
        <v>3809</v>
      </c>
      <c r="Y759" s="2">
        <v>2150</v>
      </c>
      <c r="Z759" t="str" cm="1">
        <f t="array" ref="Z759">_xlfn.IFS(OR(R759&gt;66, S759&gt;38), "High Engagement", OR(AND(R759&gt;32, R759&lt;=66), AND(S759&gt;19, S759&lt;=38)), "Medium-High Engagement", OR(AND(R759&gt;4, R759&lt;=32), AND(S759&gt;6, S759&lt;=19)),"Medium Engagement", TRUE, "Low Engagement"
)</f>
        <v>Low Engagement</v>
      </c>
      <c r="AA759">
        <f t="shared" si="59"/>
        <v>0.56445261223418219</v>
      </c>
    </row>
    <row r="760" spans="1:27" x14ac:dyDescent="0.35">
      <c r="A760" s="2">
        <v>6117666160</v>
      </c>
      <c r="B760" s="2" t="s">
        <v>73</v>
      </c>
      <c r="C760" s="2">
        <f>VLOOKUP(user_activity!A650,users_details!$A$1:$G$34,5,0)</f>
        <v>45</v>
      </c>
      <c r="D760" s="2" t="str" cm="1">
        <f t="array" ref="D760">_xlfn.IFS( AND(C760&gt;=18, C760&lt;=25), "Emerging Adults",  AND(C760&gt;=26, C760&lt;=35),  "Young Adults",  AND(C760&gt;=36, C760&lt;=45),  "Midlife Adults",  AND(C760&gt;=46, C760&lt;=55), "Mature Adults", C760&gt;=56,  "Older Adults", TRUE, "Age Not Mentioned")</f>
        <v>Midlife Adults</v>
      </c>
      <c r="E760" s="2" t="str">
        <f>VLOOKUP(user_activity!A650,users_details!$A$1:$G$34,6,0)</f>
        <v>Harlem, Manhattan</v>
      </c>
      <c r="F760" s="2" t="str">
        <f>VLOOKUP(user_activity!A650,users_details!$A$1:$G$34,7,0)</f>
        <v>Harlem</v>
      </c>
      <c r="G760" s="2" t="s">
        <v>71</v>
      </c>
      <c r="H760" s="7">
        <v>42587</v>
      </c>
      <c r="I760" s="9" t="str">
        <f t="shared" si="55"/>
        <v>Friday</v>
      </c>
      <c r="J760" s="9" t="str">
        <f t="shared" si="56"/>
        <v>August</v>
      </c>
      <c r="K760" s="2">
        <v>5.5300002099999999</v>
      </c>
      <c r="L760" s="2">
        <v>5.5300002099999999</v>
      </c>
      <c r="M760" s="2">
        <v>0</v>
      </c>
      <c r="N760" s="2">
        <v>0</v>
      </c>
      <c r="O760" s="2">
        <v>0</v>
      </c>
      <c r="P760" s="2">
        <v>5.5300002099999999</v>
      </c>
      <c r="Q760" s="2">
        <v>0</v>
      </c>
      <c r="R760" s="2">
        <v>0</v>
      </c>
      <c r="S760" s="2">
        <v>0</v>
      </c>
      <c r="T760" s="2">
        <v>318</v>
      </c>
      <c r="U760" s="2">
        <f t="shared" si="57"/>
        <v>318</v>
      </c>
      <c r="V760" s="2">
        <v>517</v>
      </c>
      <c r="W760" s="2">
        <v>7328</v>
      </c>
      <c r="X760" s="2">
        <f t="shared" si="58"/>
        <v>7328</v>
      </c>
      <c r="Y760" s="2">
        <v>2250</v>
      </c>
      <c r="Z760" t="str" cm="1">
        <f t="array" ref="Z760">_xlfn.IFS(OR(R760&gt;66, S760&gt;38), "High Engagement", OR(AND(R760&gt;32, R760&lt;=66), AND(S760&gt;19, S760&lt;=38)), "Medium-High Engagement", OR(AND(R760&gt;4, R760&lt;=32), AND(S760&gt;6, S760&lt;=19)),"Medium Engagement", TRUE, "Low Engagement"
)</f>
        <v>Low Engagement</v>
      </c>
      <c r="AA760">
        <f t="shared" si="59"/>
        <v>0.30704148471615722</v>
      </c>
    </row>
    <row r="761" spans="1:27" x14ac:dyDescent="0.35">
      <c r="A761" s="2">
        <v>6117666160</v>
      </c>
      <c r="B761" s="2" t="s">
        <v>73</v>
      </c>
      <c r="C761" s="2">
        <f>VLOOKUP(user_activity!A654,users_details!$A$1:$G$34,5,0)</f>
        <v>45</v>
      </c>
      <c r="D761" s="2" t="str" cm="1">
        <f t="array" ref="D761">_xlfn.IFS( AND(C761&gt;=18, C761&lt;=25), "Emerging Adults",  AND(C761&gt;=26, C761&lt;=35),  "Young Adults",  AND(C761&gt;=36, C761&lt;=45),  "Midlife Adults",  AND(C761&gt;=46, C761&lt;=55), "Mature Adults", C761&gt;=56,  "Older Adults", TRUE, "Age Not Mentioned")</f>
        <v>Midlife Adults</v>
      </c>
      <c r="E761" s="2" t="str">
        <f>VLOOKUP(user_activity!A654,users_details!$A$1:$G$34,6,0)</f>
        <v>Harlem, Manhattan</v>
      </c>
      <c r="F761" s="2" t="str">
        <f>VLOOKUP(user_activity!A654,users_details!$A$1:$G$34,7,0)</f>
        <v>Harlem</v>
      </c>
      <c r="G761" s="2" t="s">
        <v>71</v>
      </c>
      <c r="H761" s="7">
        <v>42485</v>
      </c>
      <c r="I761" s="9" t="str">
        <f t="shared" si="55"/>
        <v>Monday</v>
      </c>
      <c r="J761" s="9" t="str">
        <f t="shared" si="56"/>
        <v>April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f t="shared" si="57"/>
        <v>0</v>
      </c>
      <c r="V761" s="2">
        <v>1440</v>
      </c>
      <c r="W761" s="2">
        <v>0</v>
      </c>
      <c r="X761" s="2">
        <f t="shared" si="58"/>
        <v>7405.5</v>
      </c>
      <c r="Y761" s="2">
        <v>1497</v>
      </c>
      <c r="Z761" t="str" cm="1">
        <f t="array" ref="Z761">_xlfn.IFS(OR(R761&gt;66, S761&gt;38), "High Engagement", OR(AND(R761&gt;32, R761&lt;=66), AND(S761&gt;19, S761&lt;=38)), "Medium-High Engagement", OR(AND(R761&gt;4, R761&lt;=32), AND(S761&gt;6, S761&lt;=19)),"Medium Engagement", TRUE, "Low Engagement"
)</f>
        <v>Low Engagement</v>
      </c>
      <c r="AA761">
        <f t="shared" si="59"/>
        <v>0</v>
      </c>
    </row>
    <row r="762" spans="1:27" x14ac:dyDescent="0.35">
      <c r="A762" s="2">
        <v>4445114986</v>
      </c>
      <c r="B762" s="2" t="s">
        <v>79</v>
      </c>
      <c r="C762" s="2">
        <f>VLOOKUP(user_activity!A671,users_details!$A$1:$G$34,5,0)</f>
        <v>49</v>
      </c>
      <c r="D762" s="2" t="str" cm="1">
        <f t="array" ref="D762">_xlfn.IFS( AND(C762&gt;=18, C762&lt;=25), "Emerging Adults",  AND(C762&gt;=26, C762&lt;=35),  "Young Adults",  AND(C762&gt;=36, C762&lt;=45),  "Midlife Adults",  AND(C762&gt;=46, C762&lt;=55), "Mature Adults", C762&gt;=56,  "Older Adults", TRUE, "Age Not Mentioned")</f>
        <v>Mature Adults</v>
      </c>
      <c r="E762" s="2" t="str">
        <f>VLOOKUP(user_activity!A671,users_details!$A$1:$G$34,6,0)</f>
        <v>Upper West Side, Manhattan</v>
      </c>
      <c r="F762" s="2" t="str">
        <f>VLOOKUP(user_activity!A671,users_details!$A$1:$G$34,7,0)</f>
        <v>Upper West Side</v>
      </c>
      <c r="G762" s="2" t="s">
        <v>72</v>
      </c>
      <c r="H762" s="7">
        <v>42405</v>
      </c>
      <c r="I762" s="9" t="str">
        <f t="shared" si="55"/>
        <v>Friday</v>
      </c>
      <c r="J762" s="9" t="str">
        <f t="shared" si="56"/>
        <v>February</v>
      </c>
      <c r="K762" s="2">
        <v>4.75</v>
      </c>
      <c r="L762" s="2">
        <v>4.75</v>
      </c>
      <c r="M762" s="2">
        <v>0</v>
      </c>
      <c r="N762" s="2">
        <v>2.210000038</v>
      </c>
      <c r="O762" s="2">
        <v>0.189999998</v>
      </c>
      <c r="P762" s="2">
        <v>2.3499999049999998</v>
      </c>
      <c r="Q762" s="2">
        <v>0</v>
      </c>
      <c r="R762" s="2">
        <v>27</v>
      </c>
      <c r="S762" s="2">
        <v>4</v>
      </c>
      <c r="T762" s="2">
        <v>200</v>
      </c>
      <c r="U762" s="2">
        <f t="shared" si="57"/>
        <v>231</v>
      </c>
      <c r="V762" s="2">
        <v>667</v>
      </c>
      <c r="W762" s="2">
        <v>6910</v>
      </c>
      <c r="X762" s="2">
        <f t="shared" si="58"/>
        <v>6910</v>
      </c>
      <c r="Y762" s="2">
        <v>2336</v>
      </c>
      <c r="Z762" t="str" cm="1">
        <f t="array" ref="Z762">_xlfn.IFS(OR(R762&gt;66, S762&gt;38), "High Engagement", OR(AND(R762&gt;32, R762&lt;=66), AND(S762&gt;19, S762&lt;=38)), "Medium-High Engagement", OR(AND(R762&gt;4, R762&lt;=32), AND(S762&gt;6, S762&lt;=19)),"Medium Engagement", TRUE, "Low Engagement"
)</f>
        <v>Medium Engagement</v>
      </c>
      <c r="AA762">
        <f t="shared" si="59"/>
        <v>0.33806078147612156</v>
      </c>
    </row>
    <row r="763" spans="1:27" x14ac:dyDescent="0.35">
      <c r="A763" s="2">
        <v>6117666160</v>
      </c>
      <c r="B763" s="2" t="s">
        <v>73</v>
      </c>
      <c r="C763" s="2">
        <f>VLOOKUP(user_activity!A676,users_details!$A$1:$G$34,5,0)</f>
        <v>49</v>
      </c>
      <c r="D763" s="2" t="str" cm="1">
        <f t="array" ref="D763">_xlfn.IFS( AND(C763&gt;=18, C763&lt;=25), "Emerging Adults",  AND(C763&gt;=26, C763&lt;=35),  "Young Adults",  AND(C763&gt;=36, C763&lt;=45),  "Midlife Adults",  AND(C763&gt;=46, C763&lt;=55), "Mature Adults", C763&gt;=56,  "Older Adults", TRUE, "Age Not Mentioned")</f>
        <v>Mature Adults</v>
      </c>
      <c r="E763" s="2" t="str">
        <f>VLOOKUP(user_activity!A676,users_details!$A$1:$G$34,6,0)</f>
        <v>Upper West Side, Manhattan</v>
      </c>
      <c r="F763" s="2" t="str">
        <f>VLOOKUP(user_activity!A676,users_details!$A$1:$G$34,7,0)</f>
        <v>Upper West Side</v>
      </c>
      <c r="G763" s="2" t="s">
        <v>71</v>
      </c>
      <c r="H763" s="7">
        <v>42483</v>
      </c>
      <c r="I763" s="9" t="str">
        <f t="shared" si="55"/>
        <v>Saturday</v>
      </c>
      <c r="J763" s="9" t="str">
        <f t="shared" si="56"/>
        <v>April</v>
      </c>
      <c r="K763" s="2">
        <v>8.6800003050000001</v>
      </c>
      <c r="L763" s="2">
        <v>8.6800003050000001</v>
      </c>
      <c r="M763" s="2">
        <v>0</v>
      </c>
      <c r="N763" s="2">
        <v>0</v>
      </c>
      <c r="O763" s="2">
        <v>0</v>
      </c>
      <c r="P763" s="2">
        <v>8.6800003050000001</v>
      </c>
      <c r="Q763" s="2">
        <v>0</v>
      </c>
      <c r="R763" s="2">
        <v>0</v>
      </c>
      <c r="S763" s="2">
        <v>0</v>
      </c>
      <c r="T763" s="2">
        <v>512</v>
      </c>
      <c r="U763" s="2">
        <f t="shared" si="57"/>
        <v>512</v>
      </c>
      <c r="V763" s="2">
        <v>468</v>
      </c>
      <c r="W763" s="2">
        <v>11495</v>
      </c>
      <c r="X763" s="2">
        <f t="shared" si="58"/>
        <v>11495</v>
      </c>
      <c r="Y763" s="2">
        <v>2651</v>
      </c>
      <c r="Z763" t="str" cm="1">
        <f t="array" ref="Z763">_xlfn.IFS(OR(R763&gt;66, S763&gt;38), "High Engagement", OR(AND(R763&gt;32, R763&lt;=66), AND(S763&gt;19, S763&lt;=38)), "Medium-High Engagement", OR(AND(R763&gt;4, R763&lt;=32), AND(S763&gt;6, S763&lt;=19)),"Medium Engagement", TRUE, "Low Engagement"
)</f>
        <v>Low Engagement</v>
      </c>
      <c r="AA763">
        <f t="shared" si="59"/>
        <v>0.23062200956937798</v>
      </c>
    </row>
    <row r="764" spans="1:27" x14ac:dyDescent="0.35">
      <c r="A764" s="2">
        <v>6117666160</v>
      </c>
      <c r="B764" s="2" t="s">
        <v>73</v>
      </c>
      <c r="C764" s="2">
        <f>VLOOKUP(user_activity!A680,users_details!$A$1:$G$34,5,0)</f>
        <v>49</v>
      </c>
      <c r="D764" s="2" t="str" cm="1">
        <f t="array" ref="D764">_xlfn.IFS( AND(C764&gt;=18, C764&lt;=25), "Emerging Adults",  AND(C764&gt;=26, C764&lt;=35),  "Young Adults",  AND(C764&gt;=36, C764&lt;=45),  "Midlife Adults",  AND(C764&gt;=46, C764&lt;=55), "Mature Adults", C764&gt;=56,  "Older Adults", TRUE, "Age Not Mentioned")</f>
        <v>Mature Adults</v>
      </c>
      <c r="E764" s="2" t="str">
        <f>VLOOKUP(user_activity!A680,users_details!$A$1:$G$34,6,0)</f>
        <v>Upper West Side, Manhattan</v>
      </c>
      <c r="F764" s="2" t="str">
        <f>VLOOKUP(user_activity!A680,users_details!$A$1:$G$34,7,0)</f>
        <v>Upper West Side</v>
      </c>
      <c r="G764" s="2" t="s">
        <v>71</v>
      </c>
      <c r="H764" s="7">
        <v>42484</v>
      </c>
      <c r="I764" s="9" t="str">
        <f t="shared" si="55"/>
        <v>Sunday</v>
      </c>
      <c r="J764" s="9" t="str">
        <f t="shared" si="56"/>
        <v>April</v>
      </c>
      <c r="K764" s="2">
        <v>5.7600002290000001</v>
      </c>
      <c r="L764" s="2">
        <v>5.7600002290000001</v>
      </c>
      <c r="M764" s="2">
        <v>0</v>
      </c>
      <c r="N764" s="2">
        <v>0</v>
      </c>
      <c r="O764" s="2">
        <v>0</v>
      </c>
      <c r="P764" s="2">
        <v>5.7600002290000001</v>
      </c>
      <c r="Q764" s="2">
        <v>0</v>
      </c>
      <c r="R764" s="2">
        <v>0</v>
      </c>
      <c r="S764" s="2">
        <v>0</v>
      </c>
      <c r="T764" s="2">
        <v>362</v>
      </c>
      <c r="U764" s="2">
        <f t="shared" si="57"/>
        <v>362</v>
      </c>
      <c r="V764" s="2">
        <v>711</v>
      </c>
      <c r="W764" s="2">
        <v>7623</v>
      </c>
      <c r="X764" s="2">
        <f t="shared" si="58"/>
        <v>7623</v>
      </c>
      <c r="Y764" s="2">
        <v>2305</v>
      </c>
      <c r="Z764" t="str" cm="1">
        <f t="array" ref="Z764">_xlfn.IFS(OR(R764&gt;66, S764&gt;38), "High Engagement", OR(AND(R764&gt;32, R764&lt;=66), AND(S764&gt;19, S764&lt;=38)), "Medium-High Engagement", OR(AND(R764&gt;4, R764&lt;=32), AND(S764&gt;6, S764&lt;=19)),"Medium Engagement", TRUE, "Low Engagement"
)</f>
        <v>Low Engagement</v>
      </c>
      <c r="AA764">
        <f t="shared" si="59"/>
        <v>0.3023743932834842</v>
      </c>
    </row>
    <row r="765" spans="1:27" x14ac:dyDescent="0.35">
      <c r="A765" s="2">
        <v>1844505072</v>
      </c>
      <c r="B765" s="2" t="s">
        <v>93</v>
      </c>
      <c r="C765" s="2">
        <f>VLOOKUP(user_activity!A684,users_details!$A$1:$G$34,5,0)</f>
        <v>49</v>
      </c>
      <c r="D765" s="2" t="str" cm="1">
        <f t="array" ref="D765">_xlfn.IFS( AND(C765&gt;=18, C765&lt;=25), "Emerging Adults",  AND(C765&gt;=26, C765&lt;=35),  "Young Adults",  AND(C765&gt;=36, C765&lt;=45),  "Midlife Adults",  AND(C765&gt;=46, C765&lt;=55), "Mature Adults", C765&gt;=56,  "Older Adults", TRUE, "Age Not Mentioned")</f>
        <v>Mature Adults</v>
      </c>
      <c r="E765" s="2" t="str">
        <f>VLOOKUP(user_activity!A684,users_details!$A$1:$G$34,6,0)</f>
        <v>Upper West Side, Manhattan</v>
      </c>
      <c r="F765" s="2" t="str">
        <f>VLOOKUP(user_activity!A684,users_details!$A$1:$G$34,7,0)</f>
        <v>Upper West Side</v>
      </c>
      <c r="G765" s="2" t="s">
        <v>72</v>
      </c>
      <c r="H765" s="7">
        <v>42709</v>
      </c>
      <c r="I765" s="9" t="str">
        <f t="shared" si="55"/>
        <v>Monday</v>
      </c>
      <c r="J765" s="9" t="str">
        <f t="shared" si="56"/>
        <v>December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f t="shared" si="57"/>
        <v>0</v>
      </c>
      <c r="V765" s="2">
        <v>711</v>
      </c>
      <c r="W765" s="2">
        <v>0</v>
      </c>
      <c r="X765" s="2">
        <f t="shared" si="58"/>
        <v>7405.5</v>
      </c>
      <c r="Y765" s="2">
        <v>665</v>
      </c>
      <c r="Z765" t="str" cm="1">
        <f t="array" ref="Z765">_xlfn.IFS(OR(R765&gt;66, S765&gt;38), "High Engagement", OR(AND(R765&gt;32, R765&lt;=66), AND(S765&gt;19, S765&lt;=38)), "Medium-High Engagement", OR(AND(R765&gt;4, R765&lt;=32), AND(S765&gt;6, S765&lt;=19)),"Medium Engagement", TRUE, "Low Engagement"
)</f>
        <v>Low Engagement</v>
      </c>
      <c r="AA765">
        <f t="shared" si="59"/>
        <v>0</v>
      </c>
    </row>
    <row r="766" spans="1:27" x14ac:dyDescent="0.35">
      <c r="A766" s="2">
        <v>6117666160</v>
      </c>
      <c r="B766" s="2" t="s">
        <v>73</v>
      </c>
      <c r="C766" s="2">
        <f>VLOOKUP(user_activity!A705,users_details!$A$1:$G$34,5,0)</f>
        <v>53</v>
      </c>
      <c r="D766" s="2" t="str" cm="1">
        <f t="array" ref="D766">_xlfn.IFS( AND(C766&gt;=18, C766&lt;=25), "Emerging Adults",  AND(C766&gt;=26, C766&lt;=35),  "Young Adults",  AND(C766&gt;=36, C766&lt;=45),  "Midlife Adults",  AND(C766&gt;=46, C766&lt;=55), "Mature Adults", C766&gt;=56,  "Older Adults", TRUE, "Age Not Mentioned")</f>
        <v>Mature Adults</v>
      </c>
      <c r="E766" s="2" t="str">
        <f>VLOOKUP(user_activity!A705,users_details!$A$1:$G$34,6,0)</f>
        <v>Harlem, Manhattan</v>
      </c>
      <c r="F766" s="2" t="str">
        <f>VLOOKUP(user_activity!A705,users_details!$A$1:$G$34,7,0)</f>
        <v>Harlem</v>
      </c>
      <c r="G766" s="2" t="s">
        <v>71</v>
      </c>
      <c r="H766" s="7">
        <v>42618</v>
      </c>
      <c r="I766" s="9" t="str">
        <f t="shared" si="55"/>
        <v>Monday</v>
      </c>
      <c r="J766" s="9" t="str">
        <f t="shared" si="56"/>
        <v>September</v>
      </c>
      <c r="K766" s="2">
        <v>3.380000114</v>
      </c>
      <c r="L766" s="2">
        <v>3.380000114</v>
      </c>
      <c r="M766" s="2">
        <v>0</v>
      </c>
      <c r="N766" s="2">
        <v>0</v>
      </c>
      <c r="O766" s="2">
        <v>0</v>
      </c>
      <c r="P766" s="2">
        <v>3.380000114</v>
      </c>
      <c r="Q766" s="2">
        <v>0</v>
      </c>
      <c r="R766" s="2">
        <v>0</v>
      </c>
      <c r="S766" s="2">
        <v>0</v>
      </c>
      <c r="T766" s="2">
        <v>197</v>
      </c>
      <c r="U766" s="2">
        <f t="shared" si="57"/>
        <v>197</v>
      </c>
      <c r="V766" s="2">
        <v>125</v>
      </c>
      <c r="W766" s="2">
        <v>4477</v>
      </c>
      <c r="X766" s="2">
        <f t="shared" si="58"/>
        <v>4477</v>
      </c>
      <c r="Y766" s="2">
        <v>1248</v>
      </c>
      <c r="Z766" t="str" cm="1">
        <f t="array" ref="Z766">_xlfn.IFS(OR(R766&gt;66, S766&gt;38), "High Engagement", OR(AND(R766&gt;32, R766&lt;=66), AND(S766&gt;19, S766&lt;=38)), "Medium-High Engagement", OR(AND(R766&gt;4, R766&lt;=32), AND(S766&gt;6, S766&lt;=19)),"Medium Engagement", TRUE, "Low Engagement"
)</f>
        <v>Low Engagement</v>
      </c>
      <c r="AA766">
        <f t="shared" si="59"/>
        <v>0.2787580969399151</v>
      </c>
    </row>
    <row r="767" spans="1:27" x14ac:dyDescent="0.35">
      <c r="A767" s="2">
        <v>1844505072</v>
      </c>
      <c r="B767" s="2" t="s">
        <v>93</v>
      </c>
      <c r="C767" s="2">
        <f>VLOOKUP(user_activity!A715,users_details!$A$1:$G$34,5,0)</f>
        <v>53</v>
      </c>
      <c r="D767" s="2" t="str" cm="1">
        <f t="array" ref="D767">_xlfn.IFS( AND(C767&gt;=18, C767&lt;=25), "Emerging Adults",  AND(C767&gt;=26, C767&lt;=35),  "Young Adults",  AND(C767&gt;=36, C767&lt;=45),  "Midlife Adults",  AND(C767&gt;=46, C767&lt;=55), "Mature Adults", C767&gt;=56,  "Older Adults", TRUE, "Age Not Mentioned")</f>
        <v>Mature Adults</v>
      </c>
      <c r="E767" s="2" t="str">
        <f>VLOOKUP(user_activity!A715,users_details!$A$1:$G$34,6,0)</f>
        <v>Harlem, Manhattan</v>
      </c>
      <c r="F767" s="2" t="str">
        <f>VLOOKUP(user_activity!A715,users_details!$A$1:$G$34,7,0)</f>
        <v>Harlem</v>
      </c>
      <c r="G767" s="2" t="s">
        <v>72</v>
      </c>
      <c r="H767" s="7">
        <v>42405</v>
      </c>
      <c r="I767" s="9" t="str">
        <f t="shared" si="55"/>
        <v>Friday</v>
      </c>
      <c r="J767" s="9" t="str">
        <f t="shared" si="56"/>
        <v>February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f t="shared" si="57"/>
        <v>0</v>
      </c>
      <c r="V767" s="2">
        <v>1440</v>
      </c>
      <c r="W767" s="2">
        <v>0</v>
      </c>
      <c r="X767" s="2">
        <f t="shared" si="58"/>
        <v>7405.5</v>
      </c>
      <c r="Y767" s="2">
        <v>1348</v>
      </c>
      <c r="Z767" t="str" cm="1">
        <f t="array" ref="Z767">_xlfn.IFS(OR(R767&gt;66, S767&gt;38), "High Engagement", OR(AND(R767&gt;32, R767&lt;=66), AND(S767&gt;19, S767&lt;=38)), "Medium-High Engagement", OR(AND(R767&gt;4, R767&lt;=32), AND(S767&gt;6, S767&lt;=19)),"Medium Engagement", TRUE, "Low Engagement"
)</f>
        <v>Low Engagement</v>
      </c>
      <c r="AA767">
        <f t="shared" si="59"/>
        <v>0</v>
      </c>
    </row>
    <row r="768" spans="1:27" x14ac:dyDescent="0.35">
      <c r="A768" s="2">
        <v>6117666160</v>
      </c>
      <c r="B768" s="2" t="s">
        <v>73</v>
      </c>
      <c r="C768" s="2">
        <f>VLOOKUP(user_activity!A719,users_details!$A$1:$G$34,5,0)</f>
        <v>53</v>
      </c>
      <c r="D768" s="2" t="str" cm="1">
        <f t="array" ref="D768">_xlfn.IFS( AND(C768&gt;=18, C768&lt;=25), "Emerging Adults",  AND(C768&gt;=26, C768&lt;=35),  "Young Adults",  AND(C768&gt;=36, C768&lt;=45),  "Midlife Adults",  AND(C768&gt;=46, C768&lt;=55), "Mature Adults", C768&gt;=56,  "Older Adults", TRUE, "Age Not Mentioned")</f>
        <v>Mature Adults</v>
      </c>
      <c r="E768" s="2" t="str">
        <f>VLOOKUP(user_activity!A719,users_details!$A$1:$G$34,6,0)</f>
        <v>Harlem, Manhattan</v>
      </c>
      <c r="F768" s="2" t="str">
        <f>VLOOKUP(user_activity!A719,users_details!$A$1:$G$34,7,0)</f>
        <v>Harlem</v>
      </c>
      <c r="G768" s="2" t="s">
        <v>71</v>
      </c>
      <c r="H768" s="7">
        <v>42482</v>
      </c>
      <c r="I768" s="9" t="str">
        <f t="shared" si="55"/>
        <v>Friday</v>
      </c>
      <c r="J768" s="9" t="str">
        <f t="shared" si="56"/>
        <v>April</v>
      </c>
      <c r="K768" s="2">
        <v>6.1999998090000004</v>
      </c>
      <c r="L768" s="2">
        <v>6.1999998090000004</v>
      </c>
      <c r="M768" s="2">
        <v>0</v>
      </c>
      <c r="N768" s="2">
        <v>0</v>
      </c>
      <c r="O768" s="2">
        <v>0</v>
      </c>
      <c r="P768" s="2">
        <v>6.1999998090000004</v>
      </c>
      <c r="Q768" s="2">
        <v>0</v>
      </c>
      <c r="R768" s="2">
        <v>0</v>
      </c>
      <c r="S768" s="2">
        <v>0</v>
      </c>
      <c r="T768" s="2">
        <v>402</v>
      </c>
      <c r="U768" s="2">
        <f t="shared" si="57"/>
        <v>402</v>
      </c>
      <c r="V768" s="2">
        <v>413</v>
      </c>
      <c r="W768" s="2">
        <v>8206</v>
      </c>
      <c r="X768" s="2">
        <f t="shared" si="58"/>
        <v>8206</v>
      </c>
      <c r="Y768" s="2">
        <v>2409</v>
      </c>
      <c r="Z768" t="str" cm="1">
        <f t="array" ref="Z768">_xlfn.IFS(OR(R768&gt;66, S768&gt;38), "High Engagement", OR(AND(R768&gt;32, R768&lt;=66), AND(S768&gt;19, S768&lt;=38)), "Medium-High Engagement", OR(AND(R768&gt;4, R768&lt;=32), AND(S768&gt;6, S768&lt;=19)),"Medium Engagement", TRUE, "Low Engagement"
)</f>
        <v>Low Engagement</v>
      </c>
      <c r="AA768">
        <f t="shared" si="59"/>
        <v>0.29356568364611257</v>
      </c>
    </row>
    <row r="769" spans="1:27" x14ac:dyDescent="0.35">
      <c r="A769" s="2">
        <v>4445114986</v>
      </c>
      <c r="B769" s="2" t="s">
        <v>79</v>
      </c>
      <c r="C769" s="2">
        <f>VLOOKUP(user_activity!A742,users_details!$A$1:$G$34,5,0)</f>
        <v>53</v>
      </c>
      <c r="D769" s="2" t="str" cm="1">
        <f t="array" ref="D769">_xlfn.IFS( AND(C769&gt;=18, C769&lt;=25), "Emerging Adults",  AND(C769&gt;=26, C769&lt;=35),  "Young Adults",  AND(C769&gt;=36, C769&lt;=45),  "Midlife Adults",  AND(C769&gt;=46, C769&lt;=55), "Mature Adults", C769&gt;=56,  "Older Adults", TRUE, "Age Not Mentioned")</f>
        <v>Mature Adults</v>
      </c>
      <c r="E769" s="2" t="str">
        <f>VLOOKUP(user_activity!A742,users_details!$A$1:$G$34,6,0)</f>
        <v>Harlem, Manhattan</v>
      </c>
      <c r="F769" s="2" t="str">
        <f>VLOOKUP(user_activity!A742,users_details!$A$1:$G$34,7,0)</f>
        <v>Harlem</v>
      </c>
      <c r="G769" s="2" t="s">
        <v>72</v>
      </c>
      <c r="H769" s="7">
        <v>42679</v>
      </c>
      <c r="I769" s="9" t="str">
        <f t="shared" si="55"/>
        <v>Saturday</v>
      </c>
      <c r="J769" s="9" t="str">
        <f t="shared" si="56"/>
        <v>November</v>
      </c>
      <c r="K769" s="2">
        <v>6.1100001339999999</v>
      </c>
      <c r="L769" s="2">
        <v>6.1100001339999999</v>
      </c>
      <c r="M769" s="2">
        <v>0</v>
      </c>
      <c r="N769" s="2">
        <v>2.25</v>
      </c>
      <c r="O769" s="2">
        <v>1</v>
      </c>
      <c r="P769" s="2">
        <v>2.8599998950000001</v>
      </c>
      <c r="Q769" s="2">
        <v>0</v>
      </c>
      <c r="R769" s="2">
        <v>34</v>
      </c>
      <c r="S769" s="2">
        <v>22</v>
      </c>
      <c r="T769" s="2">
        <v>232</v>
      </c>
      <c r="U769" s="2">
        <f t="shared" si="57"/>
        <v>288</v>
      </c>
      <c r="V769" s="2">
        <v>622</v>
      </c>
      <c r="W769" s="2">
        <v>9105</v>
      </c>
      <c r="X769" s="2">
        <f t="shared" si="58"/>
        <v>9105</v>
      </c>
      <c r="Y769" s="2">
        <v>2499</v>
      </c>
      <c r="Z769" t="str" cm="1">
        <f t="array" ref="Z769">_xlfn.IFS(OR(R769&gt;66, S769&gt;38), "High Engagement", OR(AND(R769&gt;32, R769&lt;=66), AND(S769&gt;19, S769&lt;=38)), "Medium-High Engagement", OR(AND(R769&gt;4, R769&lt;=32), AND(S769&gt;6, S769&lt;=19)),"Medium Engagement", TRUE, "Low Engagement"
)</f>
        <v>Medium-High Engagement</v>
      </c>
      <c r="AA769">
        <f t="shared" si="59"/>
        <v>0.27446457990115319</v>
      </c>
    </row>
    <row r="770" spans="1:27" x14ac:dyDescent="0.35">
      <c r="A770" s="2">
        <v>6117666160</v>
      </c>
      <c r="B770" s="2" t="s">
        <v>73</v>
      </c>
      <c r="C770" s="2">
        <f>VLOOKUP(user_activity!A749,users_details!$A$1:$G$34,5,0)</f>
        <v>53</v>
      </c>
      <c r="D770" s="2" t="str" cm="1">
        <f t="array" ref="D770">_xlfn.IFS( AND(C770&gt;=18, C770&lt;=25), "Emerging Adults",  AND(C770&gt;=26, C770&lt;=35),  "Young Adults",  AND(C770&gt;=36, C770&lt;=45),  "Midlife Adults",  AND(C770&gt;=46, C770&lt;=55), "Mature Adults", C770&gt;=56,  "Older Adults", TRUE, "Age Not Mentioned")</f>
        <v>Mature Adults</v>
      </c>
      <c r="E770" s="2" t="str">
        <f>VLOOKUP(user_activity!A749,users_details!$A$1:$G$34,6,0)</f>
        <v>Harlem, Manhattan</v>
      </c>
      <c r="F770" s="2" t="str">
        <f>VLOOKUP(user_activity!A749,users_details!$A$1:$G$34,7,0)</f>
        <v>Harlem</v>
      </c>
      <c r="G770" s="2" t="s">
        <v>71</v>
      </c>
      <c r="H770" s="7">
        <v>42465</v>
      </c>
      <c r="I770" s="9" t="str">
        <f t="shared" ref="I770:I833" si="60">TEXT(H770, "dddd")</f>
        <v>Tuesday</v>
      </c>
      <c r="J770" s="9" t="str">
        <f t="shared" ref="J770:J833" si="61">TEXT(H770, "mmmm")</f>
        <v>April</v>
      </c>
      <c r="K770" s="2">
        <v>2.2599999899999998</v>
      </c>
      <c r="L770" s="2">
        <v>2.2599999899999998</v>
      </c>
      <c r="M770" s="2">
        <v>0</v>
      </c>
      <c r="N770" s="2">
        <v>0</v>
      </c>
      <c r="O770" s="2">
        <v>0</v>
      </c>
      <c r="P770" s="2">
        <v>2.2599999899999998</v>
      </c>
      <c r="Q770" s="2">
        <v>0</v>
      </c>
      <c r="R770" s="2">
        <v>0</v>
      </c>
      <c r="S770" s="2">
        <v>0</v>
      </c>
      <c r="T770" s="2">
        <v>156</v>
      </c>
      <c r="U770" s="2">
        <f t="shared" ref="U770:U833" si="62">R770+S770+T770</f>
        <v>156</v>
      </c>
      <c r="V770" s="2">
        <v>1279</v>
      </c>
      <c r="W770" s="2">
        <v>2997</v>
      </c>
      <c r="X770" s="2">
        <f t="shared" ref="X770:X833" si="63">IF(W770=0,MEDIAN($W$2:$W$941),W770)</f>
        <v>2997</v>
      </c>
      <c r="Y770" s="2">
        <v>1902</v>
      </c>
      <c r="Z770" t="str" cm="1">
        <f t="array" ref="Z770">_xlfn.IFS(OR(R770&gt;66, S770&gt;38), "High Engagement", OR(AND(R770&gt;32, R770&lt;=66), AND(S770&gt;19, S770&lt;=38)), "Medium-High Engagement", OR(AND(R770&gt;4, R770&lt;=32), AND(S770&gt;6, S770&lt;=19)),"Medium Engagement", TRUE, "Low Engagement"
)</f>
        <v>Low Engagement</v>
      </c>
      <c r="AA770">
        <f t="shared" si="59"/>
        <v>0.63463463463463465</v>
      </c>
    </row>
    <row r="771" spans="1:27" x14ac:dyDescent="0.35">
      <c r="A771" s="2">
        <v>1844505072</v>
      </c>
      <c r="B771" s="2" t="s">
        <v>93</v>
      </c>
      <c r="C771" s="2">
        <f>VLOOKUP(user_activity!A770,users_details!$A$1:$G$34,5,0)</f>
        <v>53</v>
      </c>
      <c r="D771" s="2" t="str" cm="1">
        <f t="array" ref="D771">_xlfn.IFS( AND(C771&gt;=18, C771&lt;=25), "Emerging Adults",  AND(C771&gt;=26, C771&lt;=35),  "Young Adults",  AND(C771&gt;=36, C771&lt;=45),  "Midlife Adults",  AND(C771&gt;=46, C771&lt;=55), "Mature Adults", C771&gt;=56,  "Older Adults", TRUE, "Age Not Mentioned")</f>
        <v>Mature Adults</v>
      </c>
      <c r="E771" s="2" t="str">
        <f>VLOOKUP(user_activity!A770,users_details!$A$1:$G$34,6,0)</f>
        <v>Williamsburg, Brooklyn</v>
      </c>
      <c r="F771" s="2" t="str">
        <f>VLOOKUP(user_activity!A770,users_details!$A$1:$G$34,7,0)</f>
        <v>Williamsburg</v>
      </c>
      <c r="G771" s="2" t="s">
        <v>72</v>
      </c>
      <c r="H771" s="7">
        <v>42475</v>
      </c>
      <c r="I771" s="9" t="str">
        <f t="shared" si="60"/>
        <v>Friday</v>
      </c>
      <c r="J771" s="9" t="str">
        <f t="shared" si="61"/>
        <v>April</v>
      </c>
      <c r="K771" s="2">
        <v>2.539999962</v>
      </c>
      <c r="L771" s="2">
        <v>2.539999962</v>
      </c>
      <c r="M771" s="2">
        <v>0</v>
      </c>
      <c r="N771" s="2">
        <v>0</v>
      </c>
      <c r="O771" s="2">
        <v>0</v>
      </c>
      <c r="P771" s="2">
        <v>2.539999962</v>
      </c>
      <c r="Q771" s="2">
        <v>0</v>
      </c>
      <c r="R771" s="2">
        <v>0</v>
      </c>
      <c r="S771" s="2">
        <v>0</v>
      </c>
      <c r="T771" s="2">
        <v>176</v>
      </c>
      <c r="U771" s="2">
        <f t="shared" si="62"/>
        <v>176</v>
      </c>
      <c r="V771" s="2">
        <v>527</v>
      </c>
      <c r="W771" s="2">
        <v>3844</v>
      </c>
      <c r="X771" s="2">
        <f t="shared" si="63"/>
        <v>3844</v>
      </c>
      <c r="Y771" s="2">
        <v>1725</v>
      </c>
      <c r="Z771" t="str" cm="1">
        <f t="array" ref="Z771">_xlfn.IFS(OR(R771&gt;66, S771&gt;38), "High Engagement", OR(AND(R771&gt;32, R771&lt;=66), AND(S771&gt;19, S771&lt;=38)), "Medium-High Engagement", OR(AND(R771&gt;4, R771&lt;=32), AND(S771&gt;6, S771&lt;=19)),"Medium Engagement", TRUE, "Low Engagement"
)</f>
        <v>Low Engagement</v>
      </c>
      <c r="AA771">
        <f t="shared" ref="AA771:AA834" si="64">IF(W771&gt;0, Y771/W771, 0)</f>
        <v>0.44875130072840791</v>
      </c>
    </row>
    <row r="772" spans="1:27" x14ac:dyDescent="0.35">
      <c r="A772" s="2">
        <v>4445114986</v>
      </c>
      <c r="B772" s="2" t="s">
        <v>79</v>
      </c>
      <c r="C772" s="2">
        <f>VLOOKUP(user_activity!A776,users_details!$A$1:$G$34,5,0)</f>
        <v>53</v>
      </c>
      <c r="D772" s="2" t="str" cm="1">
        <f t="array" ref="D772">_xlfn.IFS( AND(C772&gt;=18, C772&lt;=25), "Emerging Adults",  AND(C772&gt;=26, C772&lt;=35),  "Young Adults",  AND(C772&gt;=36, C772&lt;=45),  "Midlife Adults",  AND(C772&gt;=46, C772&lt;=55), "Mature Adults", C772&gt;=56,  "Older Adults", TRUE, "Age Not Mentioned")</f>
        <v>Mature Adults</v>
      </c>
      <c r="E772" s="2" t="str">
        <f>VLOOKUP(user_activity!A776,users_details!$A$1:$G$34,6,0)</f>
        <v>Harlem, Manhattan</v>
      </c>
      <c r="F772" s="2" t="str">
        <f>VLOOKUP(user_activity!A776,users_details!$A$1:$G$34,7,0)</f>
        <v>Harlem</v>
      </c>
      <c r="G772" s="2" t="s">
        <v>72</v>
      </c>
      <c r="H772" s="7">
        <v>42489</v>
      </c>
      <c r="I772" s="9" t="str">
        <f t="shared" si="60"/>
        <v>Friday</v>
      </c>
      <c r="J772" s="9" t="str">
        <f t="shared" si="61"/>
        <v>April</v>
      </c>
      <c r="K772" s="2">
        <v>3.1400001049999999</v>
      </c>
      <c r="L772" s="2">
        <v>3.1400001049999999</v>
      </c>
      <c r="M772" s="2">
        <v>0</v>
      </c>
      <c r="N772" s="2">
        <v>0</v>
      </c>
      <c r="O772" s="2">
        <v>0</v>
      </c>
      <c r="P772" s="2">
        <v>3.130000114</v>
      </c>
      <c r="Q772" s="2">
        <v>0</v>
      </c>
      <c r="R772" s="2">
        <v>0</v>
      </c>
      <c r="S772" s="2">
        <v>0</v>
      </c>
      <c r="T772" s="2">
        <v>226</v>
      </c>
      <c r="U772" s="2">
        <f t="shared" si="62"/>
        <v>226</v>
      </c>
      <c r="V772" s="2">
        <v>1106</v>
      </c>
      <c r="W772" s="2">
        <v>4676</v>
      </c>
      <c r="X772" s="2">
        <f t="shared" si="63"/>
        <v>4676</v>
      </c>
      <c r="Y772" s="2">
        <v>2196</v>
      </c>
      <c r="Z772" t="str" cm="1">
        <f t="array" ref="Z772">_xlfn.IFS(OR(R772&gt;66, S772&gt;38), "High Engagement", OR(AND(R772&gt;32, R772&lt;=66), AND(S772&gt;19, S772&lt;=38)), "Medium-High Engagement", OR(AND(R772&gt;4, R772&lt;=32), AND(S772&gt;6, S772&lt;=19)),"Medium Engagement", TRUE, "Low Engagement"
)</f>
        <v>Low Engagement</v>
      </c>
      <c r="AA772">
        <f t="shared" si="64"/>
        <v>0.46963216424294268</v>
      </c>
    </row>
    <row r="773" spans="1:27" x14ac:dyDescent="0.35">
      <c r="A773" s="2">
        <v>6117666160</v>
      </c>
      <c r="B773" s="2" t="s">
        <v>73</v>
      </c>
      <c r="C773" s="2">
        <f>VLOOKUP(user_activity!A789,users_details!$A$1:$G$34,5,0)</f>
        <v>53</v>
      </c>
      <c r="D773" s="2" t="str" cm="1">
        <f t="array" ref="D773">_xlfn.IFS( AND(C773&gt;=18, C773&lt;=25), "Emerging Adults",  AND(C773&gt;=26, C773&lt;=35),  "Young Adults",  AND(C773&gt;=36, C773&lt;=45),  "Midlife Adults",  AND(C773&gt;=46, C773&lt;=55), "Mature Adults", C773&gt;=56,  "Older Adults", TRUE, "Age Not Mentioned")</f>
        <v>Mature Adults</v>
      </c>
      <c r="E773" s="2" t="str">
        <f>VLOOKUP(user_activity!A789,users_details!$A$1:$G$34,6,0)</f>
        <v>Harlem, Manhattan</v>
      </c>
      <c r="F773" s="2" t="str">
        <f>VLOOKUP(user_activity!A789,users_details!$A$1:$G$34,7,0)</f>
        <v>Harlem</v>
      </c>
      <c r="G773" s="2" t="s">
        <v>71</v>
      </c>
      <c r="H773" s="7">
        <v>42487</v>
      </c>
      <c r="I773" s="9" t="str">
        <f t="shared" si="60"/>
        <v>Wednesday</v>
      </c>
      <c r="J773" s="9" t="str">
        <f t="shared" si="61"/>
        <v>April</v>
      </c>
      <c r="K773" s="2">
        <v>7.1100001339999999</v>
      </c>
      <c r="L773" s="2">
        <v>7.1100001339999999</v>
      </c>
      <c r="M773" s="2">
        <v>0</v>
      </c>
      <c r="N773" s="2">
        <v>0</v>
      </c>
      <c r="O773" s="2">
        <v>0</v>
      </c>
      <c r="P773" s="2">
        <v>7.1100001339999999</v>
      </c>
      <c r="Q773" s="2">
        <v>0</v>
      </c>
      <c r="R773" s="2">
        <v>0</v>
      </c>
      <c r="S773" s="2">
        <v>0</v>
      </c>
      <c r="T773" s="2">
        <v>458</v>
      </c>
      <c r="U773" s="2">
        <f t="shared" si="62"/>
        <v>458</v>
      </c>
      <c r="V773" s="2">
        <v>417</v>
      </c>
      <c r="W773" s="2">
        <v>9411</v>
      </c>
      <c r="X773" s="2">
        <f t="shared" si="63"/>
        <v>9411</v>
      </c>
      <c r="Y773" s="2">
        <v>2576</v>
      </c>
      <c r="Z773" t="str" cm="1">
        <f t="array" ref="Z773">_xlfn.IFS(OR(R773&gt;66, S773&gt;38), "High Engagement", OR(AND(R773&gt;32, R773&lt;=66), AND(S773&gt;19, S773&lt;=38)), "Medium-High Engagement", OR(AND(R773&gt;4, R773&lt;=32), AND(S773&gt;6, S773&lt;=19)),"Medium Engagement", TRUE, "Low Engagement"
)</f>
        <v>Low Engagement</v>
      </c>
      <c r="AA773">
        <f t="shared" si="64"/>
        <v>0.27372223993199446</v>
      </c>
    </row>
    <row r="774" spans="1:27" x14ac:dyDescent="0.35">
      <c r="A774" s="2">
        <v>1844505072</v>
      </c>
      <c r="B774" s="2" t="s">
        <v>93</v>
      </c>
      <c r="C774" s="2">
        <f>VLOOKUP(user_activity!A794,users_details!$A$1:$G$34,5,0)</f>
        <v>54</v>
      </c>
      <c r="D774" s="2" t="str" cm="1">
        <f t="array" ref="D774">_xlfn.IFS( AND(C774&gt;=18, C774&lt;=25), "Emerging Adults",  AND(C774&gt;=26, C774&lt;=35),  "Young Adults",  AND(C774&gt;=36, C774&lt;=45),  "Midlife Adults",  AND(C774&gt;=46, C774&lt;=55), "Mature Adults", C774&gt;=56,  "Older Adults", TRUE, "Age Not Mentioned")</f>
        <v>Mature Adults</v>
      </c>
      <c r="E774" s="2" t="str">
        <f>VLOOKUP(user_activity!A794,users_details!$A$1:$G$34,6,0)</f>
        <v>Crown Heights, Brooklyn</v>
      </c>
      <c r="F774" s="2" t="str">
        <f>VLOOKUP(user_activity!A794,users_details!$A$1:$G$34,7,0)</f>
        <v>Crown Heights</v>
      </c>
      <c r="G774" s="2" t="s">
        <v>72</v>
      </c>
      <c r="H774" s="7">
        <v>42478</v>
      </c>
      <c r="I774" s="9" t="str">
        <f t="shared" si="60"/>
        <v>Monday</v>
      </c>
      <c r="J774" s="9" t="str">
        <f t="shared" si="61"/>
        <v>April</v>
      </c>
      <c r="K774" s="2">
        <v>3.039999962</v>
      </c>
      <c r="L774" s="2">
        <v>3.039999962</v>
      </c>
      <c r="M774" s="2">
        <v>0</v>
      </c>
      <c r="N774" s="2">
        <v>0</v>
      </c>
      <c r="O774" s="2">
        <v>0.47999998900000002</v>
      </c>
      <c r="P774" s="2">
        <v>2.5599999430000002</v>
      </c>
      <c r="Q774" s="2">
        <v>0</v>
      </c>
      <c r="R774" s="2">
        <v>0</v>
      </c>
      <c r="S774" s="2">
        <v>12</v>
      </c>
      <c r="T774" s="2">
        <v>217</v>
      </c>
      <c r="U774" s="2">
        <f t="shared" si="62"/>
        <v>229</v>
      </c>
      <c r="V774" s="2">
        <v>1211</v>
      </c>
      <c r="W774" s="2">
        <v>4597</v>
      </c>
      <c r="X774" s="2">
        <f t="shared" si="63"/>
        <v>4597</v>
      </c>
      <c r="Y774" s="2">
        <v>1814</v>
      </c>
      <c r="Z774" t="str" cm="1">
        <f t="array" ref="Z774">_xlfn.IFS(OR(R774&gt;66, S774&gt;38), "High Engagement", OR(AND(R774&gt;32, R774&lt;=66), AND(S774&gt;19, S774&lt;=38)), "Medium-High Engagement", OR(AND(R774&gt;4, R774&lt;=32), AND(S774&gt;6, S774&lt;=19)),"Medium Engagement", TRUE, "Low Engagement"
)</f>
        <v>Medium Engagement</v>
      </c>
      <c r="AA774">
        <f t="shared" si="64"/>
        <v>0.39460517728953665</v>
      </c>
    </row>
    <row r="775" spans="1:27" x14ac:dyDescent="0.35">
      <c r="A775" s="2">
        <v>4057192912</v>
      </c>
      <c r="B775" s="2" t="s">
        <v>99</v>
      </c>
      <c r="C775" s="2">
        <f>VLOOKUP(user_activity!A809,users_details!$A$1:$G$34,5,0)</f>
        <v>54</v>
      </c>
      <c r="D775" s="2" t="str" cm="1">
        <f t="array" ref="D775">_xlfn.IFS( AND(C775&gt;=18, C775&lt;=25), "Emerging Adults",  AND(C775&gt;=26, C775&lt;=35),  "Young Adults",  AND(C775&gt;=36, C775&lt;=45),  "Midlife Adults",  AND(C775&gt;=46, C775&lt;=55), "Mature Adults", C775&gt;=56,  "Older Adults", TRUE, "Age Not Mentioned")</f>
        <v>Mature Adults</v>
      </c>
      <c r="E775" s="2" t="str">
        <f>VLOOKUP(user_activity!A809,users_details!$A$1:$G$34,6,0)</f>
        <v>Crown Heights, Brooklyn</v>
      </c>
      <c r="F775" s="2" t="str">
        <f>VLOOKUP(user_activity!A809,users_details!$A$1:$G$34,7,0)</f>
        <v>Crown Heights</v>
      </c>
      <c r="G775" s="2" t="s">
        <v>72</v>
      </c>
      <c r="H775" s="7">
        <v>42473</v>
      </c>
      <c r="I775" s="9" t="str">
        <f t="shared" si="60"/>
        <v>Wednesday</v>
      </c>
      <c r="J775" s="9" t="str">
        <f t="shared" si="61"/>
        <v>April</v>
      </c>
      <c r="K775" s="2">
        <v>4.4699997900000001</v>
      </c>
      <c r="L775" s="2">
        <v>4.4699997900000001</v>
      </c>
      <c r="M775" s="2">
        <v>0</v>
      </c>
      <c r="N775" s="2">
        <v>0</v>
      </c>
      <c r="O775" s="2">
        <v>0</v>
      </c>
      <c r="P775" s="2">
        <v>4.3699998860000004</v>
      </c>
      <c r="Q775" s="2">
        <v>0</v>
      </c>
      <c r="R775" s="2">
        <v>0</v>
      </c>
      <c r="S775" s="2">
        <v>0</v>
      </c>
      <c r="T775" s="2">
        <v>160</v>
      </c>
      <c r="U775" s="2">
        <f t="shared" si="62"/>
        <v>160</v>
      </c>
      <c r="V775" s="2">
        <v>1280</v>
      </c>
      <c r="W775" s="2">
        <v>5974</v>
      </c>
      <c r="X775" s="2">
        <f t="shared" si="63"/>
        <v>5974</v>
      </c>
      <c r="Y775" s="2">
        <v>2306</v>
      </c>
      <c r="Z775" t="str" cm="1">
        <f t="array" ref="Z775">_xlfn.IFS(OR(R775&gt;66, S775&gt;38), "High Engagement", OR(AND(R775&gt;32, R775&lt;=66), AND(S775&gt;19, S775&lt;=38)), "Medium-High Engagement", OR(AND(R775&gt;4, R775&lt;=32), AND(S775&gt;6, S775&lt;=19)),"Medium Engagement", TRUE, "Low Engagement"
)</f>
        <v>Low Engagement</v>
      </c>
      <c r="AA775">
        <f t="shared" si="64"/>
        <v>0.38600602611315704</v>
      </c>
    </row>
    <row r="776" spans="1:27" x14ac:dyDescent="0.35">
      <c r="A776" s="2">
        <v>4445114986</v>
      </c>
      <c r="B776" s="2" t="s">
        <v>79</v>
      </c>
      <c r="C776" s="2">
        <f>VLOOKUP(user_activity!A818,users_details!$A$1:$G$34,5,0)</f>
        <v>54</v>
      </c>
      <c r="D776" s="2" t="str" cm="1">
        <f t="array" ref="D776">_xlfn.IFS( AND(C776&gt;=18, C776&lt;=25), "Emerging Adults",  AND(C776&gt;=26, C776&lt;=35),  "Young Adults",  AND(C776&gt;=36, C776&lt;=45),  "Midlife Adults",  AND(C776&gt;=46, C776&lt;=55), "Mature Adults", C776&gt;=56,  "Older Adults", TRUE, "Age Not Mentioned")</f>
        <v>Mature Adults</v>
      </c>
      <c r="E776" s="2" t="str">
        <f>VLOOKUP(user_activity!A818,users_details!$A$1:$G$34,6,0)</f>
        <v>Crown Heights, Brooklyn</v>
      </c>
      <c r="F776" s="2" t="str">
        <f>VLOOKUP(user_activity!A818,users_details!$A$1:$G$34,7,0)</f>
        <v>Crown Heights</v>
      </c>
      <c r="G776" s="2" t="s">
        <v>72</v>
      </c>
      <c r="H776" s="7">
        <v>42648</v>
      </c>
      <c r="I776" s="9" t="str">
        <f t="shared" si="60"/>
        <v>Wednesday</v>
      </c>
      <c r="J776" s="9" t="str">
        <f t="shared" si="61"/>
        <v>October</v>
      </c>
      <c r="K776" s="2">
        <v>2.630000114</v>
      </c>
      <c r="L776" s="2">
        <v>2.630000114</v>
      </c>
      <c r="M776" s="2">
        <v>0</v>
      </c>
      <c r="N776" s="2">
        <v>0</v>
      </c>
      <c r="O776" s="2">
        <v>0</v>
      </c>
      <c r="P776" s="2">
        <v>2.630000114</v>
      </c>
      <c r="Q776" s="2">
        <v>0</v>
      </c>
      <c r="R776" s="2">
        <v>0</v>
      </c>
      <c r="S776" s="2">
        <v>0</v>
      </c>
      <c r="T776" s="2">
        <v>231</v>
      </c>
      <c r="U776" s="2">
        <f t="shared" si="62"/>
        <v>231</v>
      </c>
      <c r="V776" s="2">
        <v>783</v>
      </c>
      <c r="W776" s="2">
        <v>3915</v>
      </c>
      <c r="X776" s="2">
        <f t="shared" si="63"/>
        <v>3915</v>
      </c>
      <c r="Y776" s="2">
        <v>2181</v>
      </c>
      <c r="Z776" t="str" cm="1">
        <f t="array" ref="Z776">_xlfn.IFS(OR(R776&gt;66, S776&gt;38), "High Engagement", OR(AND(R776&gt;32, R776&lt;=66), AND(S776&gt;19, S776&lt;=38)), "Medium-High Engagement", OR(AND(R776&gt;4, R776&lt;=32), AND(S776&gt;6, S776&lt;=19)),"Medium Engagement", TRUE, "Low Engagement"
)</f>
        <v>Low Engagement</v>
      </c>
      <c r="AA776">
        <f t="shared" si="64"/>
        <v>0.557088122605364</v>
      </c>
    </row>
    <row r="777" spans="1:27" x14ac:dyDescent="0.35">
      <c r="A777" s="2">
        <v>4057192912</v>
      </c>
      <c r="B777" s="2" t="s">
        <v>99</v>
      </c>
      <c r="C777" s="2">
        <f>VLOOKUP(user_activity!A829,users_details!$A$1:$G$34,5,0)</f>
        <v>56</v>
      </c>
      <c r="D777" s="2" t="str" cm="1">
        <f t="array" ref="D777">_xlfn.IFS( AND(C777&gt;=18, C777&lt;=25), "Emerging Adults",  AND(C777&gt;=26, C777&lt;=35),  "Young Adults",  AND(C777&gt;=36, C777&lt;=45),  "Midlife Adults",  AND(C777&gt;=46, C777&lt;=55), "Mature Adults", C777&gt;=56,  "Older Adults", TRUE, "Age Not Mentioned")</f>
        <v>Older Adults</v>
      </c>
      <c r="E777" s="2" t="str">
        <f>VLOOKUP(user_activity!A829,users_details!$A$1:$G$34,6,0)</f>
        <v>Flatbush, Brooklyn</v>
      </c>
      <c r="F777" s="2" t="str">
        <f>VLOOKUP(user_activity!A829,users_details!$A$1:$G$34,7,0)</f>
        <v>Flatbush</v>
      </c>
      <c r="G777" s="2" t="s">
        <v>72</v>
      </c>
      <c r="H777" s="7">
        <v>42474</v>
      </c>
      <c r="I777" s="9" t="str">
        <f t="shared" si="60"/>
        <v>Thursday</v>
      </c>
      <c r="J777" s="9" t="str">
        <f t="shared" si="61"/>
        <v>April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f t="shared" si="62"/>
        <v>0</v>
      </c>
      <c r="V777" s="2">
        <v>1440</v>
      </c>
      <c r="W777" s="2">
        <v>0</v>
      </c>
      <c r="X777" s="2">
        <f t="shared" si="63"/>
        <v>7405.5</v>
      </c>
      <c r="Y777" s="2">
        <v>1776</v>
      </c>
      <c r="Z777" t="str" cm="1">
        <f t="array" ref="Z777">_xlfn.IFS(OR(R777&gt;66, S777&gt;38), "High Engagement", OR(AND(R777&gt;32, R777&lt;=66), AND(S777&gt;19, S777&lt;=38)), "Medium-High Engagement", OR(AND(R777&gt;4, R777&lt;=32), AND(S777&gt;6, S777&lt;=19)),"Medium Engagement", TRUE, "Low Engagement"
)</f>
        <v>Low Engagement</v>
      </c>
      <c r="AA777">
        <f t="shared" si="64"/>
        <v>0</v>
      </c>
    </row>
    <row r="778" spans="1:27" x14ac:dyDescent="0.35">
      <c r="A778" s="2">
        <v>4445114986</v>
      </c>
      <c r="B778" s="2" t="s">
        <v>79</v>
      </c>
      <c r="C778" s="2">
        <f>VLOOKUP(user_activity!A843,users_details!$A$1:$G$34,5,0)</f>
        <v>56</v>
      </c>
      <c r="D778" s="2" t="str" cm="1">
        <f t="array" ref="D778">_xlfn.IFS( AND(C778&gt;=18, C778&lt;=25), "Emerging Adults",  AND(C778&gt;=26, C778&lt;=35),  "Young Adults",  AND(C778&gt;=36, C778&lt;=45),  "Midlife Adults",  AND(C778&gt;=46, C778&lt;=55), "Mature Adults", C778&gt;=56,  "Older Adults", TRUE, "Age Not Mentioned")</f>
        <v>Older Adults</v>
      </c>
      <c r="E778" s="2" t="str">
        <f>VLOOKUP(user_activity!A843,users_details!$A$1:$G$34,6,0)</f>
        <v>Flatbush, Brooklyn</v>
      </c>
      <c r="F778" s="2" t="str">
        <f>VLOOKUP(user_activity!A843,users_details!$A$1:$G$34,7,0)</f>
        <v>Flatbush</v>
      </c>
      <c r="G778" s="2" t="s">
        <v>72</v>
      </c>
      <c r="H778" s="7">
        <v>42490</v>
      </c>
      <c r="I778" s="9" t="str">
        <f t="shared" si="60"/>
        <v>Saturday</v>
      </c>
      <c r="J778" s="9" t="str">
        <f t="shared" si="61"/>
        <v>April</v>
      </c>
      <c r="K778" s="2">
        <v>4.1799998279999997</v>
      </c>
      <c r="L778" s="2">
        <v>4.1799998279999997</v>
      </c>
      <c r="M778" s="2">
        <v>0</v>
      </c>
      <c r="N778" s="2">
        <v>0</v>
      </c>
      <c r="O778" s="2">
        <v>0</v>
      </c>
      <c r="P778" s="2">
        <v>4.1799998279999997</v>
      </c>
      <c r="Q778" s="2">
        <v>0</v>
      </c>
      <c r="R778" s="2">
        <v>0</v>
      </c>
      <c r="S778" s="2">
        <v>0</v>
      </c>
      <c r="T778" s="2">
        <v>290</v>
      </c>
      <c r="U778" s="2">
        <f t="shared" si="62"/>
        <v>290</v>
      </c>
      <c r="V778" s="2">
        <v>797</v>
      </c>
      <c r="W778" s="2">
        <v>6222</v>
      </c>
      <c r="X778" s="2">
        <f t="shared" si="63"/>
        <v>6222</v>
      </c>
      <c r="Y778" s="2">
        <v>2363</v>
      </c>
      <c r="Z778" t="str" cm="1">
        <f t="array" ref="Z778">_xlfn.IFS(OR(R778&gt;66, S778&gt;38), "High Engagement", OR(AND(R778&gt;32, R778&lt;=66), AND(S778&gt;19, S778&lt;=38)), "Medium-High Engagement", OR(AND(R778&gt;4, R778&lt;=32), AND(S778&gt;6, S778&lt;=19)),"Medium Engagement", TRUE, "Low Engagement"
)</f>
        <v>Low Engagement</v>
      </c>
      <c r="AA778">
        <f t="shared" si="64"/>
        <v>0.3797814207650273</v>
      </c>
    </row>
    <row r="779" spans="1:27" x14ac:dyDescent="0.35">
      <c r="A779" s="2">
        <v>4445114986</v>
      </c>
      <c r="B779" s="2" t="s">
        <v>79</v>
      </c>
      <c r="C779" s="2">
        <f>VLOOKUP(user_activity!A844,users_details!$A$1:$G$34,5,0)</f>
        <v>56</v>
      </c>
      <c r="D779" s="2" t="str" cm="1">
        <f t="array" ref="D779">_xlfn.IFS( AND(C779&gt;=18, C779&lt;=25), "Emerging Adults",  AND(C779&gt;=26, C779&lt;=35),  "Young Adults",  AND(C779&gt;=36, C779&lt;=45),  "Midlife Adults",  AND(C779&gt;=46, C779&lt;=55), "Mature Adults", C779&gt;=56,  "Older Adults", TRUE, "Age Not Mentioned")</f>
        <v>Older Adults</v>
      </c>
      <c r="E779" s="2" t="str">
        <f>VLOOKUP(user_activity!A844,users_details!$A$1:$G$34,6,0)</f>
        <v>Flatbush, Brooklyn</v>
      </c>
      <c r="F779" s="2" t="str">
        <f>VLOOKUP(user_activity!A844,users_details!$A$1:$G$34,7,0)</f>
        <v>Flatbush</v>
      </c>
      <c r="G779" s="2" t="s">
        <v>72</v>
      </c>
      <c r="H779" s="7">
        <v>42484</v>
      </c>
      <c r="I779" s="9" t="str">
        <f t="shared" si="60"/>
        <v>Sunday</v>
      </c>
      <c r="J779" s="9" t="str">
        <f t="shared" si="61"/>
        <v>April</v>
      </c>
      <c r="K779" s="2">
        <v>3.3599998950000001</v>
      </c>
      <c r="L779" s="2">
        <v>3.3599998950000001</v>
      </c>
      <c r="M779" s="2">
        <v>0</v>
      </c>
      <c r="N779" s="2">
        <v>0</v>
      </c>
      <c r="O779" s="2">
        <v>0</v>
      </c>
      <c r="P779" s="2">
        <v>3.3599998950000001</v>
      </c>
      <c r="Q779" s="2">
        <v>0</v>
      </c>
      <c r="R779" s="2">
        <v>0</v>
      </c>
      <c r="S779" s="2">
        <v>0</v>
      </c>
      <c r="T779" s="2">
        <v>244</v>
      </c>
      <c r="U779" s="2">
        <f t="shared" si="62"/>
        <v>244</v>
      </c>
      <c r="V779" s="2">
        <v>1196</v>
      </c>
      <c r="W779" s="2">
        <v>5002</v>
      </c>
      <c r="X779" s="2">
        <f t="shared" si="63"/>
        <v>5002</v>
      </c>
      <c r="Y779" s="2">
        <v>2247</v>
      </c>
      <c r="Z779" t="str" cm="1">
        <f t="array" ref="Z779">_xlfn.IFS(OR(R779&gt;66, S779&gt;38), "High Engagement", OR(AND(R779&gt;32, R779&lt;=66), AND(S779&gt;19, S779&lt;=38)), "Medium-High Engagement", OR(AND(R779&gt;4, R779&lt;=32), AND(S779&gt;6, S779&lt;=19)),"Medium Engagement", TRUE, "Low Engagement"
)</f>
        <v>Low Engagement</v>
      </c>
      <c r="AA779">
        <f t="shared" si="64"/>
        <v>0.44922031187524991</v>
      </c>
    </row>
    <row r="780" spans="1:27" x14ac:dyDescent="0.35">
      <c r="A780" s="2">
        <v>1844505072</v>
      </c>
      <c r="B780" s="2" t="s">
        <v>93</v>
      </c>
      <c r="C780" s="2">
        <f>VLOOKUP(user_activity!A857,users_details!$A$1:$G$34,5,0)</f>
        <v>58</v>
      </c>
      <c r="D780" s="2" t="str" cm="1">
        <f t="array" ref="D780">_xlfn.IFS( AND(C780&gt;=18, C780&lt;=25), "Emerging Adults",  AND(C780&gt;=26, C780&lt;=35),  "Young Adults",  AND(C780&gt;=36, C780&lt;=45),  "Midlife Adults",  AND(C780&gt;=46, C780&lt;=55), "Mature Adults", C780&gt;=56,  "Older Adults", TRUE, "Age Not Mentioned")</f>
        <v>Older Adults</v>
      </c>
      <c r="E780" s="2" t="str">
        <f>VLOOKUP(user_activity!A857,users_details!$A$1:$G$34,6,0)</f>
        <v>East Village, Manhattan</v>
      </c>
      <c r="F780" s="2" t="str">
        <f>VLOOKUP(user_activity!A857,users_details!$A$1:$G$34,7,0)</f>
        <v>East Village</v>
      </c>
      <c r="G780" s="2" t="s">
        <v>72</v>
      </c>
      <c r="H780" s="7">
        <v>42485</v>
      </c>
      <c r="I780" s="9" t="str">
        <f t="shared" si="60"/>
        <v>Monday</v>
      </c>
      <c r="J780" s="9" t="str">
        <f t="shared" si="61"/>
        <v>April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f t="shared" si="62"/>
        <v>0</v>
      </c>
      <c r="V780" s="2">
        <v>1440</v>
      </c>
      <c r="W780" s="2">
        <v>0</v>
      </c>
      <c r="X780" s="2">
        <f t="shared" si="63"/>
        <v>7405.5</v>
      </c>
      <c r="Y780" s="2">
        <v>1347</v>
      </c>
      <c r="Z780" t="str" cm="1">
        <f t="array" ref="Z780">_xlfn.IFS(OR(R780&gt;66, S780&gt;38), "High Engagement", OR(AND(R780&gt;32, R780&lt;=66), AND(S780&gt;19, S780&lt;=38)), "Medium-High Engagement", OR(AND(R780&gt;4, R780&lt;=32), AND(S780&gt;6, S780&lt;=19)),"Medium Engagement", TRUE, "Low Engagement"
)</f>
        <v>Low Engagement</v>
      </c>
      <c r="AA780">
        <f t="shared" si="64"/>
        <v>0</v>
      </c>
    </row>
    <row r="781" spans="1:27" x14ac:dyDescent="0.35">
      <c r="A781" s="2">
        <v>4445114986</v>
      </c>
      <c r="B781" s="2" t="s">
        <v>79</v>
      </c>
      <c r="C781" s="2">
        <f>VLOOKUP(user_activity!A869,users_details!$A$1:$G$34,5,0)</f>
        <v>58</v>
      </c>
      <c r="D781" s="2" t="str" cm="1">
        <f t="array" ref="D781">_xlfn.IFS( AND(C781&gt;=18, C781&lt;=25), "Emerging Adults",  AND(C781&gt;=26, C781&lt;=35),  "Young Adults",  AND(C781&gt;=36, C781&lt;=45),  "Midlife Adults",  AND(C781&gt;=46, C781&lt;=55), "Mature Adults", C781&gt;=56,  "Older Adults", TRUE, "Age Not Mentioned")</f>
        <v>Older Adults</v>
      </c>
      <c r="E781" s="2" t="str">
        <f>VLOOKUP(user_activity!A869,users_details!$A$1:$G$34,6,0)</f>
        <v>East Village, Manhattan</v>
      </c>
      <c r="F781" s="2" t="str">
        <f>VLOOKUP(user_activity!A869,users_details!$A$1:$G$34,7,0)</f>
        <v>East Village</v>
      </c>
      <c r="G781" s="2" t="s">
        <v>72</v>
      </c>
      <c r="H781" s="7">
        <v>42483</v>
      </c>
      <c r="I781" s="9" t="str">
        <f t="shared" si="60"/>
        <v>Saturday</v>
      </c>
      <c r="J781" s="9" t="str">
        <f t="shared" si="61"/>
        <v>April</v>
      </c>
      <c r="K781" s="2">
        <v>2.9300000669999999</v>
      </c>
      <c r="L781" s="2">
        <v>2.9300000669999999</v>
      </c>
      <c r="M781" s="2">
        <v>0</v>
      </c>
      <c r="N781" s="2">
        <v>0</v>
      </c>
      <c r="O781" s="2">
        <v>0</v>
      </c>
      <c r="P781" s="2">
        <v>2.9300000669999999</v>
      </c>
      <c r="Q781" s="2">
        <v>0</v>
      </c>
      <c r="R781" s="2">
        <v>0</v>
      </c>
      <c r="S781" s="2">
        <v>0</v>
      </c>
      <c r="T781" s="2">
        <v>201</v>
      </c>
      <c r="U781" s="2">
        <f t="shared" si="62"/>
        <v>201</v>
      </c>
      <c r="V781" s="2">
        <v>1239</v>
      </c>
      <c r="W781" s="2">
        <v>4363</v>
      </c>
      <c r="X781" s="2">
        <f t="shared" si="63"/>
        <v>4363</v>
      </c>
      <c r="Y781" s="2">
        <v>2149</v>
      </c>
      <c r="Z781" t="str" cm="1">
        <f t="array" ref="Z781">_xlfn.IFS(OR(R781&gt;66, S781&gt;38), "High Engagement", OR(AND(R781&gt;32, R781&lt;=66), AND(S781&gt;19, S781&lt;=38)), "Medium-High Engagement", OR(AND(R781&gt;4, R781&lt;=32), AND(S781&gt;6, S781&lt;=19)),"Medium Engagement", TRUE, "Low Engagement"
)</f>
        <v>Low Engagement</v>
      </c>
      <c r="AA781">
        <f t="shared" si="64"/>
        <v>0.49255099702039878</v>
      </c>
    </row>
    <row r="782" spans="1:27" x14ac:dyDescent="0.35">
      <c r="A782" s="2">
        <v>6117666160</v>
      </c>
      <c r="B782" s="2" t="s">
        <v>73</v>
      </c>
      <c r="C782" s="2">
        <f>VLOOKUP(user_activity!A879,users_details!$A$1:$G$34,5,0)</f>
        <v>58</v>
      </c>
      <c r="D782" s="2" t="str" cm="1">
        <f t="array" ref="D782">_xlfn.IFS( AND(C782&gt;=18, C782&lt;=25), "Emerging Adults",  AND(C782&gt;=26, C782&lt;=35),  "Young Adults",  AND(C782&gt;=36, C782&lt;=45),  "Midlife Adults",  AND(C782&gt;=46, C782&lt;=55), "Mature Adults", C782&gt;=56,  "Older Adults", TRUE, "Age Not Mentioned")</f>
        <v>Older Adults</v>
      </c>
      <c r="E782" s="2" t="str">
        <f>VLOOKUP(user_activity!A879,users_details!$A$1:$G$34,6,0)</f>
        <v>East Village, Manhattan</v>
      </c>
      <c r="F782" s="2" t="str">
        <f>VLOOKUP(user_activity!A879,users_details!$A$1:$G$34,7,0)</f>
        <v>East Village</v>
      </c>
      <c r="G782" s="2" t="s">
        <v>71</v>
      </c>
      <c r="H782" s="7">
        <v>42475</v>
      </c>
      <c r="I782" s="9" t="str">
        <f t="shared" si="60"/>
        <v>Friday</v>
      </c>
      <c r="J782" s="9" t="str">
        <f t="shared" si="61"/>
        <v>April</v>
      </c>
      <c r="K782" s="2">
        <v>10.59000015</v>
      </c>
      <c r="L782" s="2">
        <v>10.59000015</v>
      </c>
      <c r="M782" s="2">
        <v>0</v>
      </c>
      <c r="N782" s="2">
        <v>0</v>
      </c>
      <c r="O782" s="2">
        <v>0.280000001</v>
      </c>
      <c r="P782" s="2">
        <v>10.30000019</v>
      </c>
      <c r="Q782" s="2">
        <v>0</v>
      </c>
      <c r="R782" s="2">
        <v>0</v>
      </c>
      <c r="S782" s="2">
        <v>6</v>
      </c>
      <c r="T782" s="2">
        <v>513</v>
      </c>
      <c r="U782" s="2">
        <f t="shared" si="62"/>
        <v>519</v>
      </c>
      <c r="V782" s="2">
        <v>921</v>
      </c>
      <c r="W782" s="2">
        <v>14019</v>
      </c>
      <c r="X782" s="2">
        <f t="shared" si="63"/>
        <v>14019</v>
      </c>
      <c r="Y782" s="2">
        <v>2865</v>
      </c>
      <c r="Z782" t="str" cm="1">
        <f t="array" ref="Z782">_xlfn.IFS(OR(R782&gt;66, S782&gt;38), "High Engagement", OR(AND(R782&gt;32, R782&lt;=66), AND(S782&gt;19, S782&lt;=38)), "Medium-High Engagement", OR(AND(R782&gt;4, R782&lt;=32), AND(S782&gt;6, S782&lt;=19)),"Medium Engagement", TRUE, "Low Engagement"
)</f>
        <v>Low Engagement</v>
      </c>
      <c r="AA782">
        <f t="shared" si="64"/>
        <v>0.2043655039589129</v>
      </c>
    </row>
    <row r="783" spans="1:27" x14ac:dyDescent="0.35">
      <c r="A783" s="2">
        <v>4445114986</v>
      </c>
      <c r="B783" s="2" t="s">
        <v>79</v>
      </c>
      <c r="C783" s="2">
        <f>VLOOKUP(user_activity!A910,users_details!$A$1:$G$34,5,0)</f>
        <v>59</v>
      </c>
      <c r="D783" s="2" t="str" cm="1">
        <f t="array" ref="D783">_xlfn.IFS( AND(C783&gt;=18, C783&lt;=25), "Emerging Adults",  AND(C783&gt;=26, C783&lt;=35),  "Young Adults",  AND(C783&gt;=36, C783&lt;=45),  "Midlife Adults",  AND(C783&gt;=46, C783&lt;=55), "Mature Adults", C783&gt;=56,  "Older Adults", TRUE, "Age Not Mentioned")</f>
        <v>Older Adults</v>
      </c>
      <c r="E783" s="2" t="str">
        <f>VLOOKUP(user_activity!A910,users_details!$A$1:$G$34,6,0)</f>
        <v>Upper West Side, Manhattan</v>
      </c>
      <c r="F783" s="2" t="str">
        <f>VLOOKUP(user_activity!A910,users_details!$A$1:$G$34,7,0)</f>
        <v>Upper West Side</v>
      </c>
      <c r="G783" s="2" t="s">
        <v>72</v>
      </c>
      <c r="H783" s="7">
        <v>42488</v>
      </c>
      <c r="I783" s="9" t="str">
        <f t="shared" si="60"/>
        <v>Thursday</v>
      </c>
      <c r="J783" s="9" t="str">
        <f t="shared" si="61"/>
        <v>April</v>
      </c>
      <c r="K783" s="2">
        <v>3.0099999899999998</v>
      </c>
      <c r="L783" s="2">
        <v>3.0099999899999998</v>
      </c>
      <c r="M783" s="2">
        <v>0</v>
      </c>
      <c r="N783" s="2">
        <v>0</v>
      </c>
      <c r="O783" s="2">
        <v>0</v>
      </c>
      <c r="P783" s="2">
        <v>3.0099999899999998</v>
      </c>
      <c r="Q783" s="2">
        <v>0</v>
      </c>
      <c r="R783" s="2">
        <v>0</v>
      </c>
      <c r="S783" s="2">
        <v>0</v>
      </c>
      <c r="T783" s="2">
        <v>236</v>
      </c>
      <c r="U783" s="2">
        <f t="shared" si="62"/>
        <v>236</v>
      </c>
      <c r="V783" s="2">
        <v>762</v>
      </c>
      <c r="W783" s="2">
        <v>4493</v>
      </c>
      <c r="X783" s="2">
        <f t="shared" si="63"/>
        <v>4493</v>
      </c>
      <c r="Y783" s="2">
        <v>2203</v>
      </c>
      <c r="Z783" t="str" cm="1">
        <f t="array" ref="Z783">_xlfn.IFS(OR(R783&gt;66, S783&gt;38), "High Engagement", OR(AND(R783&gt;32, R783&lt;=66), AND(S783&gt;19, S783&lt;=38)), "Medium-High Engagement", OR(AND(R783&gt;4, R783&lt;=32), AND(S783&gt;6, S783&lt;=19)),"Medium Engagement", TRUE, "Low Engagement"
)</f>
        <v>Low Engagement</v>
      </c>
      <c r="AA783">
        <f t="shared" si="64"/>
        <v>0.49031827286890717</v>
      </c>
    </row>
    <row r="784" spans="1:27" x14ac:dyDescent="0.35">
      <c r="A784" s="2">
        <v>1844505072</v>
      </c>
      <c r="B784" s="2" t="s">
        <v>93</v>
      </c>
      <c r="C784" s="2">
        <f>VLOOKUP(user_activity!A925,users_details!$A$1:$G$34,5,0)</f>
        <v>60</v>
      </c>
      <c r="D784" s="2" t="str" cm="1">
        <f t="array" ref="D784">_xlfn.IFS( AND(C784&gt;=18, C784&lt;=25), "Emerging Adults",  AND(C784&gt;=26, C784&lt;=35),  "Young Adults",  AND(C784&gt;=36, C784&lt;=45),  "Midlife Adults",  AND(C784&gt;=46, C784&lt;=55), "Mature Adults", C784&gt;=56,  "Older Adults", TRUE, "Age Not Mentioned")</f>
        <v>Older Adults</v>
      </c>
      <c r="E784" s="2" t="str">
        <f>VLOOKUP(user_activity!A925,users_details!$A$1:$G$34,6,0)</f>
        <v>East Village, Manhattan</v>
      </c>
      <c r="F784" s="2" t="str">
        <f>VLOOKUP(user_activity!A925,users_details!$A$1:$G$34,7,0)</f>
        <v>East Village</v>
      </c>
      <c r="G784" s="2" t="s">
        <v>72</v>
      </c>
      <c r="H784" s="7">
        <v>42479</v>
      </c>
      <c r="I784" s="9" t="str">
        <f t="shared" si="60"/>
        <v>Tuesday</v>
      </c>
      <c r="J784" s="9" t="str">
        <f t="shared" si="61"/>
        <v>April</v>
      </c>
      <c r="K784" s="2">
        <v>0.12999999500000001</v>
      </c>
      <c r="L784" s="2">
        <v>0.12999999500000001</v>
      </c>
      <c r="M784" s="2">
        <v>0</v>
      </c>
      <c r="N784" s="2">
        <v>0</v>
      </c>
      <c r="O784" s="2">
        <v>0</v>
      </c>
      <c r="P784" s="2">
        <v>0.12999999500000001</v>
      </c>
      <c r="Q784" s="2">
        <v>0</v>
      </c>
      <c r="R784" s="2">
        <v>0</v>
      </c>
      <c r="S784" s="2">
        <v>0</v>
      </c>
      <c r="T784" s="2">
        <v>10</v>
      </c>
      <c r="U784" s="2">
        <f t="shared" si="62"/>
        <v>10</v>
      </c>
      <c r="V784" s="2">
        <v>1430</v>
      </c>
      <c r="W784" s="2">
        <v>197</v>
      </c>
      <c r="X784" s="2">
        <f t="shared" si="63"/>
        <v>197</v>
      </c>
      <c r="Y784" s="2">
        <v>1366</v>
      </c>
      <c r="Z784" t="str" cm="1">
        <f t="array" ref="Z784">_xlfn.IFS(OR(R784&gt;66, S784&gt;38), "High Engagement", OR(AND(R784&gt;32, R784&lt;=66), AND(S784&gt;19, S784&lt;=38)), "Medium-High Engagement", OR(AND(R784&gt;4, R784&lt;=32), AND(S784&gt;6, S784&lt;=19)),"Medium Engagement", TRUE, "Low Engagement"
)</f>
        <v>Low Engagement</v>
      </c>
      <c r="AA784">
        <f t="shared" si="64"/>
        <v>6.9340101522842641</v>
      </c>
    </row>
    <row r="785" spans="1:27" x14ac:dyDescent="0.35">
      <c r="A785" s="2">
        <v>4445114986</v>
      </c>
      <c r="B785" s="2" t="s">
        <v>79</v>
      </c>
      <c r="C785" s="2">
        <f>VLOOKUP(user_activity!A928,users_details!$A$1:$G$34,5,0)</f>
        <v>60</v>
      </c>
      <c r="D785" s="2" t="str" cm="1">
        <f t="array" ref="D785">_xlfn.IFS( AND(C785&gt;=18, C785&lt;=25), "Emerging Adults",  AND(C785&gt;=26, C785&lt;=35),  "Young Adults",  AND(C785&gt;=36, C785&lt;=45),  "Midlife Adults",  AND(C785&gt;=46, C785&lt;=55), "Mature Adults", C785&gt;=56,  "Older Adults", TRUE, "Age Not Mentioned")</f>
        <v>Older Adults</v>
      </c>
      <c r="E785" s="2" t="str">
        <f>VLOOKUP(user_activity!A928,users_details!$A$1:$G$34,6,0)</f>
        <v>East Village, Manhattan</v>
      </c>
      <c r="F785" s="2" t="str">
        <f>VLOOKUP(user_activity!A928,users_details!$A$1:$G$34,7,0)</f>
        <v>East Village</v>
      </c>
      <c r="G785" s="2" t="s">
        <v>72</v>
      </c>
      <c r="H785" s="7">
        <v>42487</v>
      </c>
      <c r="I785" s="9" t="str">
        <f t="shared" si="60"/>
        <v>Wednesday</v>
      </c>
      <c r="J785" s="9" t="str">
        <f t="shared" si="61"/>
        <v>April</v>
      </c>
      <c r="K785" s="2">
        <v>5.0300002099999999</v>
      </c>
      <c r="L785" s="2">
        <v>5.0300002099999999</v>
      </c>
      <c r="M785" s="2">
        <v>0</v>
      </c>
      <c r="N785" s="2">
        <v>2.619999886</v>
      </c>
      <c r="O785" s="2">
        <v>2.9999998999999999E-2</v>
      </c>
      <c r="P785" s="2">
        <v>2.380000114</v>
      </c>
      <c r="Q785" s="2">
        <v>0</v>
      </c>
      <c r="R785" s="2">
        <v>32</v>
      </c>
      <c r="S785" s="2">
        <v>1</v>
      </c>
      <c r="T785" s="2">
        <v>194</v>
      </c>
      <c r="U785" s="2">
        <f t="shared" si="62"/>
        <v>227</v>
      </c>
      <c r="V785" s="2">
        <v>839</v>
      </c>
      <c r="W785" s="2">
        <v>7243</v>
      </c>
      <c r="X785" s="2">
        <f t="shared" si="63"/>
        <v>7243</v>
      </c>
      <c r="Y785" s="2">
        <v>2361</v>
      </c>
      <c r="Z785" t="str" cm="1">
        <f t="array" ref="Z785">_xlfn.IFS(OR(R785&gt;66, S785&gt;38), "High Engagement", OR(AND(R785&gt;32, R785&lt;=66), AND(S785&gt;19, S785&lt;=38)), "Medium-High Engagement", OR(AND(R785&gt;4, R785&lt;=32), AND(S785&gt;6, S785&lt;=19)),"Medium Engagement", TRUE, "Low Engagement"
)</f>
        <v>Medium Engagement</v>
      </c>
      <c r="AA785">
        <f t="shared" si="64"/>
        <v>0.32596990197432002</v>
      </c>
    </row>
    <row r="786" spans="1:27" x14ac:dyDescent="0.35">
      <c r="A786" s="2">
        <v>4445114986</v>
      </c>
      <c r="B786" s="2" t="s">
        <v>79</v>
      </c>
      <c r="C786" s="2">
        <f>VLOOKUP(user_activity!A931,users_details!$A$1:$G$34,5,0)</f>
        <v>60</v>
      </c>
      <c r="D786" s="2" t="str" cm="1">
        <f t="array" ref="D786">_xlfn.IFS( AND(C786&gt;=18, C786&lt;=25), "Emerging Adults",  AND(C786&gt;=26, C786&lt;=35),  "Young Adults",  AND(C786&gt;=36, C786&lt;=45),  "Midlife Adults",  AND(C786&gt;=46, C786&lt;=55), "Mature Adults", C786&gt;=56,  "Older Adults", TRUE, "Age Not Mentioned")</f>
        <v>Older Adults</v>
      </c>
      <c r="E786" s="2" t="str">
        <f>VLOOKUP(user_activity!A931,users_details!$A$1:$G$34,6,0)</f>
        <v>East Village, Manhattan</v>
      </c>
      <c r="F786" s="2" t="str">
        <f>VLOOKUP(user_activity!A931,users_details!$A$1:$G$34,7,0)</f>
        <v>East Village</v>
      </c>
      <c r="G786" s="2" t="s">
        <v>72</v>
      </c>
      <c r="H786" s="7">
        <v>42495</v>
      </c>
      <c r="I786" s="9" t="str">
        <f t="shared" si="60"/>
        <v>Thursday</v>
      </c>
      <c r="J786" s="9" t="str">
        <f t="shared" si="61"/>
        <v>May</v>
      </c>
      <c r="K786" s="2">
        <v>2.5499999519999998</v>
      </c>
      <c r="L786" s="2">
        <v>2.5499999519999998</v>
      </c>
      <c r="M786" s="2">
        <v>0</v>
      </c>
      <c r="N786" s="2">
        <v>0.119999997</v>
      </c>
      <c r="O786" s="2">
        <v>0.23999999499999999</v>
      </c>
      <c r="P786" s="2">
        <v>2.1800000669999999</v>
      </c>
      <c r="Q786" s="2">
        <v>0</v>
      </c>
      <c r="R786" s="2">
        <v>2</v>
      </c>
      <c r="S786" s="2">
        <v>6</v>
      </c>
      <c r="T786" s="2">
        <v>185</v>
      </c>
      <c r="U786" s="2">
        <f t="shared" si="62"/>
        <v>193</v>
      </c>
      <c r="V786" s="2">
        <v>734</v>
      </c>
      <c r="W786" s="2">
        <v>3800</v>
      </c>
      <c r="X786" s="2">
        <f t="shared" si="63"/>
        <v>3800</v>
      </c>
      <c r="Y786" s="2">
        <v>2120</v>
      </c>
      <c r="Z786" t="str" cm="1">
        <f t="array" ref="Z786">_xlfn.IFS(OR(R786&gt;66, S786&gt;38), "High Engagement", OR(AND(R786&gt;32, R786&lt;=66), AND(S786&gt;19, S786&lt;=38)), "Medium-High Engagement", OR(AND(R786&gt;4, R786&lt;=32), AND(S786&gt;6, S786&lt;=19)),"Medium Engagement", TRUE, "Low Engagement"
)</f>
        <v>Low Engagement</v>
      </c>
      <c r="AA786">
        <f t="shared" si="64"/>
        <v>0.55789473684210522</v>
      </c>
    </row>
    <row r="787" spans="1:27" x14ac:dyDescent="0.35">
      <c r="A787" s="2">
        <v>1844505072</v>
      </c>
      <c r="B787" s="2" t="s">
        <v>93</v>
      </c>
      <c r="C787" s="2">
        <f>VLOOKUP(user_activity!A932,users_details!$A$1:$G$34,5,0)</f>
        <v>60</v>
      </c>
      <c r="D787" s="2" t="str" cm="1">
        <f t="array" ref="D787">_xlfn.IFS( AND(C787&gt;=18, C787&lt;=25), "Emerging Adults",  AND(C787&gt;=26, C787&lt;=35),  "Young Adults",  AND(C787&gt;=36, C787&lt;=45),  "Midlife Adults",  AND(C787&gt;=46, C787&lt;=55), "Mature Adults", C787&gt;=56,  "Older Adults", TRUE, "Age Not Mentioned")</f>
        <v>Older Adults</v>
      </c>
      <c r="E787" s="2" t="str">
        <f>VLOOKUP(user_activity!A932,users_details!$A$1:$G$34,6,0)</f>
        <v>East Village, Manhattan</v>
      </c>
      <c r="F787" s="2" t="str">
        <f>VLOOKUP(user_activity!A932,users_details!$A$1:$G$34,7,0)</f>
        <v>East Village</v>
      </c>
      <c r="G787" s="2" t="s">
        <v>72</v>
      </c>
      <c r="H787" s="7">
        <v>42679</v>
      </c>
      <c r="I787" s="9" t="str">
        <f t="shared" si="60"/>
        <v>Saturday</v>
      </c>
      <c r="J787" s="9" t="str">
        <f t="shared" si="61"/>
        <v>November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f t="shared" si="62"/>
        <v>0</v>
      </c>
      <c r="V787" s="2">
        <v>1440</v>
      </c>
      <c r="W787" s="2">
        <v>0</v>
      </c>
      <c r="X787" s="2">
        <f t="shared" si="63"/>
        <v>7405.5</v>
      </c>
      <c r="Y787" s="2">
        <v>1347</v>
      </c>
      <c r="Z787" t="str" cm="1">
        <f t="array" ref="Z787">_xlfn.IFS(OR(R787&gt;66, S787&gt;38), "High Engagement", OR(AND(R787&gt;32, R787&lt;=66), AND(S787&gt;19, S787&lt;=38)), "Medium-High Engagement", OR(AND(R787&gt;4, R787&lt;=32), AND(S787&gt;6, S787&lt;=19)),"Medium Engagement", TRUE, "Low Engagement"
)</f>
        <v>Low Engagement</v>
      </c>
      <c r="AA787">
        <f t="shared" si="64"/>
        <v>0</v>
      </c>
    </row>
    <row r="788" spans="1:27" x14ac:dyDescent="0.35">
      <c r="A788" s="2">
        <v>6117666160</v>
      </c>
      <c r="B788" s="2" t="s">
        <v>73</v>
      </c>
      <c r="C788" s="2">
        <f>VLOOKUP(user_activity!A933,users_details!$A$1:$G$34,5,0)</f>
        <v>60</v>
      </c>
      <c r="D788" s="2" t="str" cm="1">
        <f t="array" ref="D788">_xlfn.IFS( AND(C788&gt;=18, C788&lt;=25), "Emerging Adults",  AND(C788&gt;=26, C788&lt;=35),  "Young Adults",  AND(C788&gt;=36, C788&lt;=45),  "Midlife Adults",  AND(C788&gt;=46, C788&lt;=55), "Mature Adults", C788&gt;=56,  "Older Adults", TRUE, "Age Not Mentioned")</f>
        <v>Older Adults</v>
      </c>
      <c r="E788" s="2" t="str">
        <f>VLOOKUP(user_activity!A933,users_details!$A$1:$G$34,6,0)</f>
        <v>East Village, Manhattan</v>
      </c>
      <c r="F788" s="2" t="str">
        <f>VLOOKUP(user_activity!A933,users_details!$A$1:$G$34,7,0)</f>
        <v>East Village</v>
      </c>
      <c r="G788" s="2" t="s">
        <v>71</v>
      </c>
      <c r="H788" s="7">
        <v>42489</v>
      </c>
      <c r="I788" s="9" t="str">
        <f t="shared" si="60"/>
        <v>Friday</v>
      </c>
      <c r="J788" s="9" t="str">
        <f t="shared" si="61"/>
        <v>April</v>
      </c>
      <c r="K788" s="2">
        <v>7.2399997709999999</v>
      </c>
      <c r="L788" s="2">
        <v>7.2399997709999999</v>
      </c>
      <c r="M788" s="2">
        <v>0</v>
      </c>
      <c r="N788" s="2">
        <v>0</v>
      </c>
      <c r="O788" s="2">
        <v>0</v>
      </c>
      <c r="P788" s="2">
        <v>7.2399997709999999</v>
      </c>
      <c r="Q788" s="2">
        <v>0</v>
      </c>
      <c r="R788" s="2">
        <v>0</v>
      </c>
      <c r="S788" s="2">
        <v>0</v>
      </c>
      <c r="T788" s="2">
        <v>461</v>
      </c>
      <c r="U788" s="2">
        <f t="shared" si="62"/>
        <v>461</v>
      </c>
      <c r="V788" s="2">
        <v>479</v>
      </c>
      <c r="W788" s="2">
        <v>9592</v>
      </c>
      <c r="X788" s="2">
        <f t="shared" si="63"/>
        <v>9592</v>
      </c>
      <c r="Y788" s="2">
        <v>2560</v>
      </c>
      <c r="Z788" t="str" cm="1">
        <f t="array" ref="Z788">_xlfn.IFS(OR(R788&gt;66, S788&gt;38), "High Engagement", OR(AND(R788&gt;32, R788&lt;=66), AND(S788&gt;19, S788&lt;=38)), "Medium-High Engagement", OR(AND(R788&gt;4, R788&lt;=32), AND(S788&gt;6, S788&lt;=19)),"Medium Engagement", TRUE, "Low Engagement"
)</f>
        <v>Low Engagement</v>
      </c>
      <c r="AA788">
        <f t="shared" si="64"/>
        <v>0.26688907422852376</v>
      </c>
    </row>
    <row r="789" spans="1:27" x14ac:dyDescent="0.35">
      <c r="A789" s="2">
        <v>1844505072</v>
      </c>
      <c r="B789" s="2" t="s">
        <v>93</v>
      </c>
      <c r="C789" s="2">
        <f>VLOOKUP(user_activity!A937,users_details!$A$1:$G$34,5,0)</f>
        <v>60</v>
      </c>
      <c r="D789" s="2" t="str" cm="1">
        <f t="array" ref="D789">_xlfn.IFS( AND(C789&gt;=18, C789&lt;=25), "Emerging Adults",  AND(C789&gt;=26, C789&lt;=35),  "Young Adults",  AND(C789&gt;=36, C789&lt;=45),  "Midlife Adults",  AND(C789&gt;=46, C789&lt;=55), "Mature Adults", C789&gt;=56,  "Older Adults", TRUE, "Age Not Mentioned")</f>
        <v>Older Adults</v>
      </c>
      <c r="E789" s="2" t="str">
        <f>VLOOKUP(user_activity!A937,users_details!$A$1:$G$34,6,0)</f>
        <v>East Village, Manhattan</v>
      </c>
      <c r="F789" s="2" t="str">
        <f>VLOOKUP(user_activity!A937,users_details!$A$1:$G$34,7,0)</f>
        <v>East Village</v>
      </c>
      <c r="G789" s="2" t="s">
        <v>72</v>
      </c>
      <c r="H789" s="7">
        <v>42486</v>
      </c>
      <c r="I789" s="9" t="str">
        <f t="shared" si="60"/>
        <v>Tuesday</v>
      </c>
      <c r="J789" s="9" t="str">
        <f t="shared" si="61"/>
        <v>April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f t="shared" si="62"/>
        <v>0</v>
      </c>
      <c r="V789" s="2">
        <v>1440</v>
      </c>
      <c r="W789" s="2">
        <v>0</v>
      </c>
      <c r="X789" s="2">
        <f t="shared" si="63"/>
        <v>7405.5</v>
      </c>
      <c r="Y789" s="2">
        <v>1347</v>
      </c>
      <c r="Z789" t="str" cm="1">
        <f t="array" ref="Z789">_xlfn.IFS(OR(R789&gt;66, S789&gt;38), "High Engagement", OR(AND(R789&gt;32, R789&lt;=66), AND(S789&gt;19, S789&lt;=38)), "Medium-High Engagement", OR(AND(R789&gt;4, R789&lt;=32), AND(S789&gt;6, S789&lt;=19)),"Medium Engagement", TRUE, "Low Engagement"
)</f>
        <v>Low Engagement</v>
      </c>
      <c r="AA789">
        <f t="shared" si="64"/>
        <v>0</v>
      </c>
    </row>
    <row r="790" spans="1:27" x14ac:dyDescent="0.35">
      <c r="A790" s="2">
        <v>1844505072</v>
      </c>
      <c r="B790" s="2" t="s">
        <v>93</v>
      </c>
      <c r="C790" s="2">
        <f>VLOOKUP(user_activity!A941,users_details!$A$1:$G$34,5,0)</f>
        <v>60</v>
      </c>
      <c r="D790" s="2" t="str" cm="1">
        <f t="array" ref="D790">_xlfn.IFS( AND(C790&gt;=18, C790&lt;=25), "Emerging Adults",  AND(C790&gt;=26, C790&lt;=35),  "Young Adults",  AND(C790&gt;=36, C790&lt;=45),  "Midlife Adults",  AND(C790&gt;=46, C790&lt;=55), "Mature Adults", C790&gt;=56,  "Older Adults", TRUE, "Age Not Mentioned")</f>
        <v>Older Adults</v>
      </c>
      <c r="E790" s="2" t="str">
        <f>VLOOKUP(user_activity!A941,users_details!$A$1:$G$34,6,0)</f>
        <v>East Village, Manhattan</v>
      </c>
      <c r="F790" s="2" t="str">
        <f>VLOOKUP(user_activity!A941,users_details!$A$1:$G$34,7,0)</f>
        <v>East Village</v>
      </c>
      <c r="G790" s="2" t="s">
        <v>72</v>
      </c>
      <c r="H790" s="7">
        <v>42482</v>
      </c>
      <c r="I790" s="9" t="str">
        <f t="shared" si="60"/>
        <v>Friday</v>
      </c>
      <c r="J790" s="9" t="str">
        <f t="shared" si="61"/>
        <v>April</v>
      </c>
      <c r="K790" s="2">
        <v>3.5499999519999998</v>
      </c>
      <c r="L790" s="2">
        <v>3.5499999519999998</v>
      </c>
      <c r="M790" s="2">
        <v>0</v>
      </c>
      <c r="N790" s="2">
        <v>0</v>
      </c>
      <c r="O790" s="2">
        <v>0</v>
      </c>
      <c r="P790" s="2">
        <v>3.5499999519999998</v>
      </c>
      <c r="Q790" s="2">
        <v>0</v>
      </c>
      <c r="R790" s="2">
        <v>0</v>
      </c>
      <c r="S790" s="2">
        <v>0</v>
      </c>
      <c r="T790" s="2">
        <v>220</v>
      </c>
      <c r="U790" s="2">
        <f t="shared" si="62"/>
        <v>220</v>
      </c>
      <c r="V790" s="2">
        <v>1220</v>
      </c>
      <c r="W790" s="2">
        <v>5372</v>
      </c>
      <c r="X790" s="2">
        <f t="shared" si="63"/>
        <v>5372</v>
      </c>
      <c r="Y790" s="2">
        <v>1827</v>
      </c>
      <c r="Z790" t="str" cm="1">
        <f t="array" ref="Z790">_xlfn.IFS(OR(R790&gt;66, S790&gt;38), "High Engagement", OR(AND(R790&gt;32, R790&lt;=66), AND(S790&gt;19, S790&lt;=38)), "Medium-High Engagement", OR(AND(R790&gt;4, R790&lt;=32), AND(S790&gt;6, S790&lt;=19)),"Medium Engagement", TRUE, "Low Engagement"
)</f>
        <v>Low Engagement</v>
      </c>
      <c r="AA790">
        <f t="shared" si="64"/>
        <v>0.34009679821295608</v>
      </c>
    </row>
    <row r="791" spans="1:27" x14ac:dyDescent="0.35">
      <c r="A791" s="2">
        <v>4020332650</v>
      </c>
      <c r="B791" s="2" t="s">
        <v>88</v>
      </c>
      <c r="C791" s="2">
        <f>VLOOKUP(user_activity!A27,users_details!$A$1:$G$34,5,0)</f>
        <v>18</v>
      </c>
      <c r="D791" s="2" t="str" cm="1">
        <f t="array" ref="D791">_xlfn.IFS( AND(C791&gt;=18, C791&lt;=25), "Emerging Adults",  AND(C791&gt;=26, C791&lt;=35),  "Young Adults",  AND(C791&gt;=36, C791&lt;=45),  "Midlife Adults",  AND(C791&gt;=46, C791&lt;=55), "Mature Adults", C791&gt;=56,  "Older Adults", TRUE, "Age Not Mentioned")</f>
        <v>Emerging Adults</v>
      </c>
      <c r="E791" s="2" t="str">
        <f>VLOOKUP(user_activity!A27,users_details!$A$1:$G$34,6,0)</f>
        <v>Hell's Kitchen, Manhattan</v>
      </c>
      <c r="F791" s="2" t="str">
        <f>VLOOKUP(user_activity!A27,users_details!$A$1:$G$34,7,0)</f>
        <v>Hell's Kitchen</v>
      </c>
      <c r="G791" s="2" t="s">
        <v>71</v>
      </c>
      <c r="H791" s="7">
        <v>42434</v>
      </c>
      <c r="I791" s="9" t="str">
        <f t="shared" si="60"/>
        <v>Saturday</v>
      </c>
      <c r="J791" s="9" t="str">
        <f t="shared" si="61"/>
        <v>March</v>
      </c>
      <c r="K791" s="2">
        <v>3.2200000289999999</v>
      </c>
      <c r="L791" s="2">
        <v>3.2200000289999999</v>
      </c>
      <c r="M791" s="2">
        <v>0</v>
      </c>
      <c r="N791" s="2">
        <v>0</v>
      </c>
      <c r="O791" s="2">
        <v>0</v>
      </c>
      <c r="P791" s="2">
        <v>3.1500000950000002</v>
      </c>
      <c r="Q791" s="2">
        <v>5.0000001000000002E-2</v>
      </c>
      <c r="R791" s="2">
        <v>0</v>
      </c>
      <c r="S791" s="2">
        <v>0</v>
      </c>
      <c r="T791" s="2">
        <v>174</v>
      </c>
      <c r="U791" s="2">
        <f t="shared" si="62"/>
        <v>174</v>
      </c>
      <c r="V791" s="2">
        <v>950</v>
      </c>
      <c r="W791" s="2">
        <v>4496</v>
      </c>
      <c r="X791" s="2">
        <f t="shared" si="63"/>
        <v>4496</v>
      </c>
      <c r="Y791" s="2">
        <v>2828</v>
      </c>
      <c r="Z791" t="str" cm="1">
        <f t="array" ref="Z791">_xlfn.IFS(OR(R791&gt;66, S791&gt;38), "High Engagement", OR(AND(R791&gt;32, R791&lt;=66), AND(S791&gt;19, S791&lt;=38)), "Medium-High Engagement", OR(AND(R791&gt;4, R791&lt;=32), AND(S791&gt;6, S791&lt;=19)),"Medium Engagement", TRUE, "Low Engagement"
)</f>
        <v>Low Engagement</v>
      </c>
      <c r="AA791">
        <f t="shared" si="64"/>
        <v>0.62900355871886116</v>
      </c>
    </row>
    <row r="792" spans="1:27" x14ac:dyDescent="0.35">
      <c r="A792" s="2">
        <v>4020332650</v>
      </c>
      <c r="B792" s="2" t="s">
        <v>88</v>
      </c>
      <c r="C792" s="2">
        <f>VLOOKUP(user_activity!A36,users_details!$A$1:$G$34,5,0)</f>
        <v>18</v>
      </c>
      <c r="D792" s="2" t="str" cm="1">
        <f t="array" ref="D792">_xlfn.IFS( AND(C792&gt;=18, C792&lt;=25), "Emerging Adults",  AND(C792&gt;=26, C792&lt;=35),  "Young Adults",  AND(C792&gt;=36, C792&lt;=45),  "Midlife Adults",  AND(C792&gt;=46, C792&lt;=55), "Mature Adults", C792&gt;=56,  "Older Adults", TRUE, "Age Not Mentioned")</f>
        <v>Emerging Adults</v>
      </c>
      <c r="E792" s="2" t="str">
        <f>VLOOKUP(user_activity!A36,users_details!$A$1:$G$34,6,0)</f>
        <v>Hell's Kitchen, Manhattan</v>
      </c>
      <c r="F792" s="2" t="str">
        <f>VLOOKUP(user_activity!A36,users_details!$A$1:$G$34,7,0)</f>
        <v>Hell's Kitchen</v>
      </c>
      <c r="G792" s="2" t="s">
        <v>71</v>
      </c>
      <c r="H792" s="7">
        <v>42478</v>
      </c>
      <c r="I792" s="9" t="str">
        <f t="shared" si="60"/>
        <v>Monday</v>
      </c>
      <c r="J792" s="9" t="str">
        <f t="shared" si="61"/>
        <v>April</v>
      </c>
      <c r="K792" s="2">
        <v>3.9999999000000001E-2</v>
      </c>
      <c r="L792" s="2">
        <v>3.9999999000000001E-2</v>
      </c>
      <c r="M792" s="2">
        <v>0</v>
      </c>
      <c r="N792" s="2">
        <v>0</v>
      </c>
      <c r="O792" s="2">
        <v>0</v>
      </c>
      <c r="P792" s="2">
        <v>3.9999999000000001E-2</v>
      </c>
      <c r="Q792" s="2">
        <v>0</v>
      </c>
      <c r="R792" s="2">
        <v>0</v>
      </c>
      <c r="S792" s="2">
        <v>0</v>
      </c>
      <c r="T792" s="2">
        <v>2</v>
      </c>
      <c r="U792" s="2">
        <f t="shared" si="62"/>
        <v>2</v>
      </c>
      <c r="V792" s="2">
        <v>1438</v>
      </c>
      <c r="W792" s="2">
        <v>62</v>
      </c>
      <c r="X792" s="2">
        <f t="shared" si="63"/>
        <v>62</v>
      </c>
      <c r="Y792" s="2">
        <v>1995</v>
      </c>
      <c r="Z792" t="str" cm="1">
        <f t="array" ref="Z792">_xlfn.IFS(OR(R792&gt;66, S792&gt;38), "High Engagement", OR(AND(R792&gt;32, R792&lt;=66), AND(S792&gt;19, S792&lt;=38)), "Medium-High Engagement", OR(AND(R792&gt;4, R792&lt;=32), AND(S792&gt;6, S792&lt;=19)),"Medium Engagement", TRUE, "Low Engagement"
)</f>
        <v>Low Engagement</v>
      </c>
      <c r="AA792">
        <f t="shared" si="64"/>
        <v>32.177419354838712</v>
      </c>
    </row>
    <row r="793" spans="1:27" x14ac:dyDescent="0.35">
      <c r="A793" s="2">
        <v>4020332650</v>
      </c>
      <c r="B793" s="2" t="s">
        <v>88</v>
      </c>
      <c r="C793" s="2">
        <f>VLOOKUP(user_activity!A81,users_details!$A$1:$G$34,5,0)</f>
        <v>21</v>
      </c>
      <c r="D793" s="2" t="str" cm="1">
        <f t="array" ref="D793">_xlfn.IFS( AND(C793&gt;=18, C793&lt;=25), "Emerging Adults",  AND(C793&gt;=26, C793&lt;=35),  "Young Adults",  AND(C793&gt;=36, C793&lt;=45),  "Midlife Adults",  AND(C793&gt;=46, C793&lt;=55), "Mature Adults", C793&gt;=56,  "Older Adults", TRUE, "Age Not Mentioned")</f>
        <v>Emerging Adults</v>
      </c>
      <c r="E793" s="2" t="str">
        <f>VLOOKUP(user_activity!A81,users_details!$A$1:$G$34,6,0)</f>
        <v>Bushwick, Brooklyn</v>
      </c>
      <c r="F793" s="2" t="str">
        <f>VLOOKUP(user_activity!A81,users_details!$A$1:$G$34,7,0)</f>
        <v>Bushwick</v>
      </c>
      <c r="G793" s="2" t="s">
        <v>71</v>
      </c>
      <c r="H793" s="7">
        <v>42481</v>
      </c>
      <c r="I793" s="9" t="str">
        <f t="shared" si="60"/>
        <v>Thursday</v>
      </c>
      <c r="J793" s="9" t="str">
        <f t="shared" si="61"/>
        <v>April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f t="shared" si="62"/>
        <v>0</v>
      </c>
      <c r="V793" s="2">
        <v>1440</v>
      </c>
      <c r="W793" s="2">
        <v>0</v>
      </c>
      <c r="X793" s="2">
        <f t="shared" si="63"/>
        <v>7405.5</v>
      </c>
      <c r="Y793" s="2">
        <v>1980</v>
      </c>
      <c r="Z793" t="str" cm="1">
        <f t="array" ref="Z793">_xlfn.IFS(OR(R793&gt;66, S793&gt;38), "High Engagement", OR(AND(R793&gt;32, R793&lt;=66), AND(S793&gt;19, S793&lt;=38)), "Medium-High Engagement", OR(AND(R793&gt;4, R793&lt;=32), AND(S793&gt;6, S793&lt;=19)),"Medium Engagement", TRUE, "Low Engagement"
)</f>
        <v>Low Engagement</v>
      </c>
      <c r="AA793">
        <f t="shared" si="64"/>
        <v>0</v>
      </c>
    </row>
    <row r="794" spans="1:27" x14ac:dyDescent="0.35">
      <c r="A794" s="2">
        <v>4020332650</v>
      </c>
      <c r="B794" s="2" t="s">
        <v>88</v>
      </c>
      <c r="C794" s="2">
        <f>VLOOKUP(user_activity!A94,users_details!$A$1:$G$34,5,0)</f>
        <v>21</v>
      </c>
      <c r="D794" s="2" t="str" cm="1">
        <f t="array" ref="D794">_xlfn.IFS( AND(C794&gt;=18, C794&lt;=25), "Emerging Adults",  AND(C794&gt;=26, C794&lt;=35),  "Young Adults",  AND(C794&gt;=36, C794&lt;=45),  "Midlife Adults",  AND(C794&gt;=46, C794&lt;=55), "Mature Adults", C794&gt;=56,  "Older Adults", TRUE, "Age Not Mentioned")</f>
        <v>Emerging Adults</v>
      </c>
      <c r="E794" s="2" t="str">
        <f>VLOOKUP(user_activity!A94,users_details!$A$1:$G$34,6,0)</f>
        <v>Bushwick, Brooklyn</v>
      </c>
      <c r="F794" s="2" t="str">
        <f>VLOOKUP(user_activity!A94,users_details!$A$1:$G$34,7,0)</f>
        <v>Bushwick</v>
      </c>
      <c r="G794" s="2" t="s">
        <v>71</v>
      </c>
      <c r="H794" s="7">
        <v>42526</v>
      </c>
      <c r="I794" s="9" t="str">
        <f t="shared" si="60"/>
        <v>Sunday</v>
      </c>
      <c r="J794" s="9" t="str">
        <f t="shared" si="61"/>
        <v>June</v>
      </c>
      <c r="K794" s="2">
        <v>3.130000114</v>
      </c>
      <c r="L794" s="2">
        <v>3.130000114</v>
      </c>
      <c r="M794" s="2">
        <v>0</v>
      </c>
      <c r="N794" s="2">
        <v>0</v>
      </c>
      <c r="O794" s="2">
        <v>0</v>
      </c>
      <c r="P794" s="2">
        <v>3.0999999049999998</v>
      </c>
      <c r="Q794" s="2">
        <v>0.01</v>
      </c>
      <c r="R794" s="2">
        <v>0</v>
      </c>
      <c r="S794" s="2">
        <v>0</v>
      </c>
      <c r="T794" s="2">
        <v>177</v>
      </c>
      <c r="U794" s="2">
        <f t="shared" si="62"/>
        <v>177</v>
      </c>
      <c r="V794" s="2">
        <v>855</v>
      </c>
      <c r="W794" s="2">
        <v>4369</v>
      </c>
      <c r="X794" s="2">
        <f t="shared" si="63"/>
        <v>4369</v>
      </c>
      <c r="Y794" s="2">
        <v>2704</v>
      </c>
      <c r="Z794" t="str" cm="1">
        <f t="array" ref="Z794">_xlfn.IFS(OR(R794&gt;66, S794&gt;38), "High Engagement", OR(AND(R794&gt;32, R794&lt;=66), AND(S794&gt;19, S794&lt;=38)), "Medium-High Engagement", OR(AND(R794&gt;4, R794&lt;=32), AND(S794&gt;6, S794&lt;=19)),"Medium Engagement", TRUE, "Low Engagement"
)</f>
        <v>Low Engagement</v>
      </c>
      <c r="AA794">
        <f t="shared" si="64"/>
        <v>0.61890592813000689</v>
      </c>
    </row>
    <row r="795" spans="1:27" x14ac:dyDescent="0.35">
      <c r="A795" s="2">
        <v>4020332650</v>
      </c>
      <c r="B795" s="2" t="s">
        <v>88</v>
      </c>
      <c r="C795" s="2">
        <f>VLOOKUP(user_activity!A135,users_details!$A$1:$G$34,5,0)</f>
        <v>22</v>
      </c>
      <c r="D795" s="2" t="str" cm="1">
        <f t="array" ref="D795">_xlfn.IFS( AND(C795&gt;=18, C795&lt;=25), "Emerging Adults",  AND(C795&gt;=26, C795&lt;=35),  "Young Adults",  AND(C795&gt;=36, C795&lt;=45),  "Midlife Adults",  AND(C795&gt;=46, C795&lt;=55), "Mature Adults", C795&gt;=56,  "Older Adults", TRUE, "Age Not Mentioned")</f>
        <v>Emerging Adults</v>
      </c>
      <c r="E795" s="2" t="str">
        <f>VLOOKUP(user_activity!A135,users_details!$A$1:$G$34,6,0)</f>
        <v>Upper East Side, Manhattan</v>
      </c>
      <c r="F795" s="2" t="str">
        <f>VLOOKUP(user_activity!A135,users_details!$A$1:$G$34,7,0)</f>
        <v>Upper East Side</v>
      </c>
      <c r="G795" s="2" t="s">
        <v>71</v>
      </c>
      <c r="H795" s="7">
        <v>42476</v>
      </c>
      <c r="I795" s="9" t="str">
        <f t="shared" si="60"/>
        <v>Saturday</v>
      </c>
      <c r="J795" s="9" t="str">
        <f t="shared" si="61"/>
        <v>April</v>
      </c>
      <c r="K795" s="2">
        <v>1.4199999569999999</v>
      </c>
      <c r="L795" s="2">
        <v>1.4199999569999999</v>
      </c>
      <c r="M795" s="2">
        <v>0</v>
      </c>
      <c r="N795" s="2">
        <v>0.44999998800000002</v>
      </c>
      <c r="O795" s="2">
        <v>0.37000000500000002</v>
      </c>
      <c r="P795" s="2">
        <v>0.58999997400000004</v>
      </c>
      <c r="Q795" s="2">
        <v>0</v>
      </c>
      <c r="R795" s="2">
        <v>65</v>
      </c>
      <c r="S795" s="2">
        <v>21</v>
      </c>
      <c r="T795" s="2">
        <v>55</v>
      </c>
      <c r="U795" s="2">
        <f t="shared" si="62"/>
        <v>141</v>
      </c>
      <c r="V795" s="2">
        <v>1222</v>
      </c>
      <c r="W795" s="2">
        <v>1982</v>
      </c>
      <c r="X795" s="2">
        <f t="shared" si="63"/>
        <v>1982</v>
      </c>
      <c r="Y795" s="2">
        <v>3051</v>
      </c>
      <c r="Z795" t="str" cm="1">
        <f t="array" ref="Z795">_xlfn.IFS(OR(R795&gt;66, S795&gt;38), "High Engagement", OR(AND(R795&gt;32, R795&lt;=66), AND(S795&gt;19, S795&lt;=38)), "Medium-High Engagement", OR(AND(R795&gt;4, R795&lt;=32), AND(S795&gt;6, S795&lt;=19)),"Medium Engagement", TRUE, "Low Engagement"
)</f>
        <v>Medium-High Engagement</v>
      </c>
      <c r="AA795">
        <f t="shared" si="64"/>
        <v>1.5393541876892027</v>
      </c>
    </row>
    <row r="796" spans="1:27" x14ac:dyDescent="0.35">
      <c r="A796" s="2">
        <v>4020332650</v>
      </c>
      <c r="B796" s="2" t="s">
        <v>88</v>
      </c>
      <c r="C796" s="2">
        <f>VLOOKUP(user_activity!A160,users_details!$A$1:$G$34,5,0)</f>
        <v>23</v>
      </c>
      <c r="D796" s="2" t="str" cm="1">
        <f t="array" ref="D796">_xlfn.IFS( AND(C796&gt;=18, C796&lt;=25), "Emerging Adults",  AND(C796&gt;=26, C796&lt;=35),  "Young Adults",  AND(C796&gt;=36, C796&lt;=45),  "Midlife Adults",  AND(C796&gt;=46, C796&lt;=55), "Mature Adults", C796&gt;=56,  "Older Adults", TRUE, "Age Not Mentioned")</f>
        <v>Emerging Adults</v>
      </c>
      <c r="E796" s="2" t="str">
        <f>VLOOKUP(user_activity!A160,users_details!$A$1:$G$34,6,0)</f>
        <v>Washington Heights, Manhattan</v>
      </c>
      <c r="F796" s="2" t="str">
        <f>VLOOKUP(user_activity!A160,users_details!$A$1:$G$34,7,0)</f>
        <v>Washington Heights</v>
      </c>
      <c r="G796" s="2" t="s">
        <v>71</v>
      </c>
      <c r="H796" s="7">
        <v>42489</v>
      </c>
      <c r="I796" s="9" t="str">
        <f t="shared" si="60"/>
        <v>Friday</v>
      </c>
      <c r="J796" s="9" t="str">
        <f t="shared" si="61"/>
        <v>April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f t="shared" si="62"/>
        <v>0</v>
      </c>
      <c r="V796" s="2">
        <v>1440</v>
      </c>
      <c r="W796" s="2">
        <v>0</v>
      </c>
      <c r="X796" s="2">
        <f t="shared" si="63"/>
        <v>7405.5</v>
      </c>
      <c r="Y796" s="2">
        <v>1980</v>
      </c>
      <c r="Z796" t="str" cm="1">
        <f t="array" ref="Z796">_xlfn.IFS(OR(R796&gt;66, S796&gt;38), "High Engagement", OR(AND(R796&gt;32, R796&lt;=66), AND(S796&gt;19, S796&lt;=38)), "Medium-High Engagement", OR(AND(R796&gt;4, R796&lt;=32), AND(S796&gt;6, S796&lt;=19)),"Medium Engagement", TRUE, "Low Engagement"
)</f>
        <v>Low Engagement</v>
      </c>
      <c r="AA796">
        <f t="shared" si="64"/>
        <v>0</v>
      </c>
    </row>
    <row r="797" spans="1:27" x14ac:dyDescent="0.35">
      <c r="A797" s="2">
        <v>4020332650</v>
      </c>
      <c r="B797" s="2" t="s">
        <v>88</v>
      </c>
      <c r="C797" s="2">
        <f>VLOOKUP(user_activity!A161,users_details!$A$1:$G$34,5,0)</f>
        <v>23</v>
      </c>
      <c r="D797" s="2" t="str" cm="1">
        <f t="array" ref="D797">_xlfn.IFS( AND(C797&gt;=18, C797&lt;=25), "Emerging Adults",  AND(C797&gt;=26, C797&lt;=35),  "Young Adults",  AND(C797&gt;=36, C797&lt;=45),  "Midlife Adults",  AND(C797&gt;=46, C797&lt;=55), "Mature Adults", C797&gt;=56,  "Older Adults", TRUE, "Age Not Mentioned")</f>
        <v>Emerging Adults</v>
      </c>
      <c r="E797" s="2" t="str">
        <f>VLOOKUP(user_activity!A161,users_details!$A$1:$G$34,6,0)</f>
        <v>Crown Heights, Brooklyn</v>
      </c>
      <c r="F797" s="2" t="str">
        <f>VLOOKUP(user_activity!A161,users_details!$A$1:$G$34,7,0)</f>
        <v>Crown Heights</v>
      </c>
      <c r="G797" s="2" t="s">
        <v>71</v>
      </c>
      <c r="H797" s="7">
        <v>42708</v>
      </c>
      <c r="I797" s="9" t="str">
        <f t="shared" si="60"/>
        <v>Sunday</v>
      </c>
      <c r="J797" s="9" t="str">
        <f t="shared" si="61"/>
        <v>December</v>
      </c>
      <c r="K797" s="2">
        <v>6.1199998860000004</v>
      </c>
      <c r="L797" s="2">
        <v>6.1199998860000004</v>
      </c>
      <c r="M797" s="2">
        <v>0</v>
      </c>
      <c r="N797" s="2">
        <v>0.15000000599999999</v>
      </c>
      <c r="O797" s="2">
        <v>0.23999999499999999</v>
      </c>
      <c r="P797" s="2">
        <v>5.6799998279999997</v>
      </c>
      <c r="Q797" s="2">
        <v>0</v>
      </c>
      <c r="R797" s="2">
        <v>4</v>
      </c>
      <c r="S797" s="2">
        <v>15</v>
      </c>
      <c r="T797" s="2">
        <v>331</v>
      </c>
      <c r="U797" s="2">
        <f t="shared" si="62"/>
        <v>350</v>
      </c>
      <c r="V797" s="2">
        <v>712</v>
      </c>
      <c r="W797" s="2">
        <v>8539</v>
      </c>
      <c r="X797" s="2">
        <f t="shared" si="63"/>
        <v>8539</v>
      </c>
      <c r="Y797" s="2">
        <v>3654</v>
      </c>
      <c r="Z797" t="str" cm="1">
        <f t="array" ref="Z797">_xlfn.IFS(OR(R797&gt;66, S797&gt;38), "High Engagement", OR(AND(R797&gt;32, R797&lt;=66), AND(S797&gt;19, S797&lt;=38)), "Medium-High Engagement", OR(AND(R797&gt;4, R797&lt;=32), AND(S797&gt;6, S797&lt;=19)),"Medium Engagement", TRUE, "Low Engagement"
)</f>
        <v>Medium Engagement</v>
      </c>
      <c r="AA797">
        <f t="shared" si="64"/>
        <v>0.42791896006558144</v>
      </c>
    </row>
    <row r="798" spans="1:27" x14ac:dyDescent="0.35">
      <c r="A798" s="2">
        <v>4020332650</v>
      </c>
      <c r="B798" s="2" t="s">
        <v>88</v>
      </c>
      <c r="C798" s="2">
        <f>VLOOKUP(user_activity!A167,users_details!$A$1:$G$34,5,0)</f>
        <v>23</v>
      </c>
      <c r="D798" s="2" t="str" cm="1">
        <f t="array" ref="D798">_xlfn.IFS( AND(C798&gt;=18, C798&lt;=25), "Emerging Adults",  AND(C798&gt;=26, C798&lt;=35),  "Young Adults",  AND(C798&gt;=36, C798&lt;=45),  "Midlife Adults",  AND(C798&gt;=46, C798&lt;=55), "Mature Adults", C798&gt;=56,  "Older Adults", TRUE, "Age Not Mentioned")</f>
        <v>Emerging Adults</v>
      </c>
      <c r="E798" s="2" t="str">
        <f>VLOOKUP(user_activity!A167,users_details!$A$1:$G$34,6,0)</f>
        <v>Washington Heights, Manhattan</v>
      </c>
      <c r="F798" s="2" t="str">
        <f>VLOOKUP(user_activity!A167,users_details!$A$1:$G$34,7,0)</f>
        <v>Washington Heights</v>
      </c>
      <c r="G798" s="2" t="s">
        <v>71</v>
      </c>
      <c r="H798" s="7">
        <v>42483</v>
      </c>
      <c r="I798" s="9" t="str">
        <f t="shared" si="60"/>
        <v>Saturday</v>
      </c>
      <c r="J798" s="9" t="str">
        <f t="shared" si="61"/>
        <v>April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f t="shared" si="62"/>
        <v>0</v>
      </c>
      <c r="V798" s="2">
        <v>1440</v>
      </c>
      <c r="W798" s="2">
        <v>0</v>
      </c>
      <c r="X798" s="2">
        <f t="shared" si="63"/>
        <v>7405.5</v>
      </c>
      <c r="Y798" s="2">
        <v>1980</v>
      </c>
      <c r="Z798" t="str" cm="1">
        <f t="array" ref="Z798">_xlfn.IFS(OR(R798&gt;66, S798&gt;38), "High Engagement", OR(AND(R798&gt;32, R798&lt;=66), AND(S798&gt;19, S798&lt;=38)), "Medium-High Engagement", OR(AND(R798&gt;4, R798&lt;=32), AND(S798&gt;6, S798&lt;=19)),"Medium Engagement", TRUE, "Low Engagement"
)</f>
        <v>Low Engagement</v>
      </c>
      <c r="AA798">
        <f t="shared" si="64"/>
        <v>0</v>
      </c>
    </row>
    <row r="799" spans="1:27" x14ac:dyDescent="0.35">
      <c r="A799" s="2">
        <v>4020332650</v>
      </c>
      <c r="B799" s="2" t="s">
        <v>88</v>
      </c>
      <c r="C799" s="2">
        <f>VLOOKUP(user_activity!A217,users_details!$A$1:$G$34,5,0)</f>
        <v>24</v>
      </c>
      <c r="D799" s="2" t="str" cm="1">
        <f t="array" ref="D799">_xlfn.IFS( AND(C799&gt;=18, C799&lt;=25), "Emerging Adults",  AND(C799&gt;=26, C799&lt;=35),  "Young Adults",  AND(C799&gt;=36, C799&lt;=45),  "Midlife Adults",  AND(C799&gt;=46, C799&lt;=55), "Mature Adults", C799&gt;=56,  "Older Adults", TRUE, "Age Not Mentioned")</f>
        <v>Emerging Adults</v>
      </c>
      <c r="E799" s="2" t="str">
        <f>VLOOKUP(user_activity!A217,users_details!$A$1:$G$34,6,0)</f>
        <v>East Village, Manhattan</v>
      </c>
      <c r="F799" s="2" t="str">
        <f>VLOOKUP(user_activity!A217,users_details!$A$1:$G$34,7,0)</f>
        <v>East Village</v>
      </c>
      <c r="G799" s="2" t="s">
        <v>71</v>
      </c>
      <c r="H799" s="7">
        <v>42487</v>
      </c>
      <c r="I799" s="9" t="str">
        <f t="shared" si="60"/>
        <v>Wednesday</v>
      </c>
      <c r="J799" s="9" t="str">
        <f t="shared" si="61"/>
        <v>April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f t="shared" si="62"/>
        <v>0</v>
      </c>
      <c r="V799" s="2">
        <v>1440</v>
      </c>
      <c r="W799" s="2">
        <v>0</v>
      </c>
      <c r="X799" s="2">
        <f t="shared" si="63"/>
        <v>7405.5</v>
      </c>
      <c r="Y799" s="2">
        <v>1980</v>
      </c>
      <c r="Z799" t="str" cm="1">
        <f t="array" ref="Z799">_xlfn.IFS(OR(R799&gt;66, S799&gt;38), "High Engagement", OR(AND(R799&gt;32, R799&lt;=66), AND(S799&gt;19, S799&lt;=38)), "Medium-High Engagement", OR(AND(R799&gt;4, R799&lt;=32), AND(S799&gt;6, S799&lt;=19)),"Medium Engagement", TRUE, "Low Engagement"
)</f>
        <v>Low Engagement</v>
      </c>
      <c r="AA799">
        <f t="shared" si="64"/>
        <v>0</v>
      </c>
    </row>
    <row r="800" spans="1:27" x14ac:dyDescent="0.35">
      <c r="A800" s="2">
        <v>4020332650</v>
      </c>
      <c r="B800" s="2" t="s">
        <v>88</v>
      </c>
      <c r="C800" s="2">
        <f>VLOOKUP(user_activity!A270,users_details!$A$1:$G$34,5,0)</f>
        <v>29</v>
      </c>
      <c r="D800" s="2" t="str" cm="1">
        <f t="array" ref="D800">_xlfn.IFS( AND(C800&gt;=18, C800&lt;=25), "Emerging Adults",  AND(C800&gt;=26, C800&lt;=35),  "Young Adults",  AND(C800&gt;=36, C800&lt;=45),  "Midlife Adults",  AND(C800&gt;=46, C800&lt;=55), "Mature Adults", C800&gt;=56,  "Older Adults", TRUE, "Age Not Mentioned")</f>
        <v>Young Adults</v>
      </c>
      <c r="E800" s="2" t="str">
        <f>VLOOKUP(user_activity!A270,users_details!$A$1:$G$34,6,0)</f>
        <v>Crown Heights, Brooklyn</v>
      </c>
      <c r="F800" s="2" t="str">
        <f>VLOOKUP(user_activity!A270,users_details!$A$1:$G$34,7,0)</f>
        <v>Crown Heights</v>
      </c>
      <c r="G800" s="2" t="s">
        <v>71</v>
      </c>
      <c r="H800" s="7">
        <v>42485</v>
      </c>
      <c r="I800" s="9" t="str">
        <f t="shared" si="60"/>
        <v>Monday</v>
      </c>
      <c r="J800" s="9" t="str">
        <f t="shared" si="61"/>
        <v>April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f t="shared" si="62"/>
        <v>0</v>
      </c>
      <c r="V800" s="2">
        <v>1440</v>
      </c>
      <c r="W800" s="2">
        <v>0</v>
      </c>
      <c r="X800" s="2">
        <f t="shared" si="63"/>
        <v>7405.5</v>
      </c>
      <c r="Y800" s="2">
        <v>1980</v>
      </c>
      <c r="Z800" t="str" cm="1">
        <f t="array" ref="Z800">_xlfn.IFS(OR(R800&gt;66, S800&gt;38), "High Engagement", OR(AND(R800&gt;32, R800&lt;=66), AND(S800&gt;19, S800&lt;=38)), "Medium-High Engagement", OR(AND(R800&gt;4, R800&lt;=32), AND(S800&gt;6, S800&lt;=19)),"Medium Engagement", TRUE, "Low Engagement"
)</f>
        <v>Low Engagement</v>
      </c>
      <c r="AA800">
        <f t="shared" si="64"/>
        <v>0</v>
      </c>
    </row>
    <row r="801" spans="1:27" x14ac:dyDescent="0.35">
      <c r="A801" s="2">
        <v>4020332650</v>
      </c>
      <c r="B801" s="2" t="s">
        <v>88</v>
      </c>
      <c r="C801" s="2">
        <f>VLOOKUP(user_activity!A301,users_details!$A$1:$G$34,5,0)</f>
        <v>30</v>
      </c>
      <c r="D801" s="2" t="str" cm="1">
        <f t="array" ref="D801">_xlfn.IFS( AND(C801&gt;=18, C801&lt;=25), "Emerging Adults",  AND(C801&gt;=26, C801&lt;=35),  "Young Adults",  AND(C801&gt;=36, C801&lt;=45),  "Midlife Adults",  AND(C801&gt;=46, C801&lt;=55), "Mature Adults", C801&gt;=56,  "Older Adults", TRUE, "Age Not Mentioned")</f>
        <v>Young Adults</v>
      </c>
      <c r="E801" s="2" t="str">
        <f>VLOOKUP(user_activity!A301,users_details!$A$1:$G$34,6,0)</f>
        <v>Clinton Hill, Brooklyn</v>
      </c>
      <c r="F801" s="2" t="str">
        <f>VLOOKUP(user_activity!A301,users_details!$A$1:$G$34,7,0)</f>
        <v>Clinton Hill</v>
      </c>
      <c r="G801" s="2" t="s">
        <v>71</v>
      </c>
      <c r="H801" s="7">
        <v>42488</v>
      </c>
      <c r="I801" s="9" t="str">
        <f t="shared" si="60"/>
        <v>Thursday</v>
      </c>
      <c r="J801" s="9" t="str">
        <f t="shared" si="61"/>
        <v>April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f t="shared" si="62"/>
        <v>0</v>
      </c>
      <c r="V801" s="2">
        <v>1440</v>
      </c>
      <c r="W801" s="2">
        <v>0</v>
      </c>
      <c r="X801" s="2">
        <f t="shared" si="63"/>
        <v>7405.5</v>
      </c>
      <c r="Y801" s="2">
        <v>1980</v>
      </c>
      <c r="Z801" t="str" cm="1">
        <f t="array" ref="Z801">_xlfn.IFS(OR(R801&gt;66, S801&gt;38), "High Engagement", OR(AND(R801&gt;32, R801&lt;=66), AND(S801&gt;19, S801&lt;=38)), "Medium-High Engagement", OR(AND(R801&gt;4, R801&lt;=32), AND(S801&gt;6, S801&lt;=19)),"Medium Engagement", TRUE, "Low Engagement"
)</f>
        <v>Low Engagement</v>
      </c>
      <c r="AA801">
        <f t="shared" si="64"/>
        <v>0</v>
      </c>
    </row>
    <row r="802" spans="1:27" x14ac:dyDescent="0.35">
      <c r="A802" s="2">
        <v>4020332650</v>
      </c>
      <c r="B802" s="2" t="s">
        <v>88</v>
      </c>
      <c r="C802" s="2">
        <f>VLOOKUP(user_activity!A312,users_details!$A$1:$G$34,5,0)</f>
        <v>30</v>
      </c>
      <c r="D802" s="2" t="str" cm="1">
        <f t="array" ref="D802">_xlfn.IFS( AND(C802&gt;=18, C802&lt;=25), "Emerging Adults",  AND(C802&gt;=26, C802&lt;=35),  "Young Adults",  AND(C802&gt;=36, C802&lt;=45),  "Midlife Adults",  AND(C802&gt;=46, C802&lt;=55), "Mature Adults", C802&gt;=56,  "Older Adults", TRUE, "Age Not Mentioned")</f>
        <v>Young Adults</v>
      </c>
      <c r="E802" s="2" t="str">
        <f>VLOOKUP(user_activity!A312,users_details!$A$1:$G$34,6,0)</f>
        <v>Midtown, Manhattan</v>
      </c>
      <c r="F802" s="2" t="str">
        <f>VLOOKUP(user_activity!A312,users_details!$A$1:$G$34,7,0)</f>
        <v>Midtown</v>
      </c>
      <c r="G802" s="2" t="s">
        <v>71</v>
      </c>
      <c r="H802" s="7">
        <v>42374</v>
      </c>
      <c r="I802" s="9" t="str">
        <f t="shared" si="60"/>
        <v>Tuesday</v>
      </c>
      <c r="J802" s="9" t="str">
        <f t="shared" si="61"/>
        <v>January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f t="shared" si="62"/>
        <v>0</v>
      </c>
      <c r="V802" s="2">
        <v>1440</v>
      </c>
      <c r="W802" s="2">
        <v>0</v>
      </c>
      <c r="X802" s="2">
        <f t="shared" si="63"/>
        <v>7405.5</v>
      </c>
      <c r="Y802" s="2">
        <v>1980</v>
      </c>
      <c r="Z802" t="str" cm="1">
        <f t="array" ref="Z802">_xlfn.IFS(OR(R802&gt;66, S802&gt;38), "High Engagement", OR(AND(R802&gt;32, R802&lt;=66), AND(S802&gt;19, S802&lt;=38)), "Medium-High Engagement", OR(AND(R802&gt;4, R802&lt;=32), AND(S802&gt;6, S802&lt;=19)),"Medium Engagement", TRUE, "Low Engagement"
)</f>
        <v>Low Engagement</v>
      </c>
      <c r="AA802">
        <f t="shared" si="64"/>
        <v>0</v>
      </c>
    </row>
    <row r="803" spans="1:27" x14ac:dyDescent="0.35">
      <c r="A803" s="2">
        <v>4020332650</v>
      </c>
      <c r="B803" s="2" t="s">
        <v>88</v>
      </c>
      <c r="C803" s="2">
        <f>VLOOKUP(user_activity!A340,users_details!$A$1:$G$34,5,0)</f>
        <v>30</v>
      </c>
      <c r="D803" s="2" t="str" cm="1">
        <f t="array" ref="D803">_xlfn.IFS( AND(C803&gt;=18, C803&lt;=25), "Emerging Adults",  AND(C803&gt;=26, C803&lt;=35),  "Young Adults",  AND(C803&gt;=36, C803&lt;=45),  "Midlife Adults",  AND(C803&gt;=46, C803&lt;=55), "Mature Adults", C803&gt;=56,  "Older Adults", TRUE, "Age Not Mentioned")</f>
        <v>Young Adults</v>
      </c>
      <c r="E803" s="2" t="str">
        <f>VLOOKUP(user_activity!A340,users_details!$A$1:$G$34,6,0)</f>
        <v>Midtown, Manhattan</v>
      </c>
      <c r="F803" s="2" t="str">
        <f>VLOOKUP(user_activity!A340,users_details!$A$1:$G$34,7,0)</f>
        <v>Midtown</v>
      </c>
      <c r="G803" s="2" t="s">
        <v>71</v>
      </c>
      <c r="H803" s="7">
        <v>42556</v>
      </c>
      <c r="I803" s="9" t="str">
        <f t="shared" si="60"/>
        <v>Tuesday</v>
      </c>
      <c r="J803" s="9" t="str">
        <f t="shared" si="61"/>
        <v>July</v>
      </c>
      <c r="K803" s="2">
        <v>4.4000000950000002</v>
      </c>
      <c r="L803" s="2">
        <v>4.4000000950000002</v>
      </c>
      <c r="M803" s="2">
        <v>0</v>
      </c>
      <c r="N803" s="2">
        <v>0</v>
      </c>
      <c r="O803" s="2">
        <v>0</v>
      </c>
      <c r="P803" s="2">
        <v>3.579999924</v>
      </c>
      <c r="Q803" s="2">
        <v>0</v>
      </c>
      <c r="R803" s="2">
        <v>0</v>
      </c>
      <c r="S803" s="2">
        <v>0</v>
      </c>
      <c r="T803" s="2">
        <v>184</v>
      </c>
      <c r="U803" s="2">
        <f t="shared" si="62"/>
        <v>184</v>
      </c>
      <c r="V803" s="2">
        <v>1256</v>
      </c>
      <c r="W803" s="2">
        <v>6132</v>
      </c>
      <c r="X803" s="2">
        <f t="shared" si="63"/>
        <v>6132</v>
      </c>
      <c r="Y803" s="2">
        <v>2975</v>
      </c>
      <c r="Z803" t="str" cm="1">
        <f t="array" ref="Z803">_xlfn.IFS(OR(R803&gt;66, S803&gt;38), "High Engagement", OR(AND(R803&gt;32, R803&lt;=66), AND(S803&gt;19, S803&lt;=38)), "Medium-High Engagement", OR(AND(R803&gt;4, R803&lt;=32), AND(S803&gt;6, S803&lt;=19)),"Medium Engagement", TRUE, "Low Engagement"
)</f>
        <v>Low Engagement</v>
      </c>
      <c r="AA803">
        <f t="shared" si="64"/>
        <v>0.48515981735159819</v>
      </c>
    </row>
    <row r="804" spans="1:27" x14ac:dyDescent="0.35">
      <c r="A804" s="2">
        <v>4020332650</v>
      </c>
      <c r="B804" s="2" t="s">
        <v>88</v>
      </c>
      <c r="C804" s="2">
        <f>VLOOKUP(user_activity!A347,users_details!$A$1:$G$34,5,0)</f>
        <v>31</v>
      </c>
      <c r="D804" s="2" t="str" cm="1">
        <f t="array" ref="D804">_xlfn.IFS( AND(C804&gt;=18, C804&lt;=25), "Emerging Adults",  AND(C804&gt;=26, C804&lt;=35),  "Young Adults",  AND(C804&gt;=36, C804&lt;=45),  "Midlife Adults",  AND(C804&gt;=46, C804&lt;=55), "Mature Adults", C804&gt;=56,  "Older Adults", TRUE, "Age Not Mentioned")</f>
        <v>Young Adults</v>
      </c>
      <c r="E804" s="2" t="str">
        <f>VLOOKUP(user_activity!A347,users_details!$A$1:$G$34,6,0)</f>
        <v>Midtown, Manhattan</v>
      </c>
      <c r="F804" s="2" t="str">
        <f>VLOOKUP(user_activity!A347,users_details!$A$1:$G$34,7,0)</f>
        <v>Midtown</v>
      </c>
      <c r="G804" s="2" t="s">
        <v>71</v>
      </c>
      <c r="H804" s="7">
        <v>42477</v>
      </c>
      <c r="I804" s="9" t="str">
        <f t="shared" si="60"/>
        <v>Sunday</v>
      </c>
      <c r="J804" s="9" t="str">
        <f t="shared" si="61"/>
        <v>April</v>
      </c>
      <c r="K804" s="2">
        <v>0.01</v>
      </c>
      <c r="L804" s="2">
        <v>0.01</v>
      </c>
      <c r="M804" s="2">
        <v>0</v>
      </c>
      <c r="N804" s="2">
        <v>0</v>
      </c>
      <c r="O804" s="2">
        <v>0</v>
      </c>
      <c r="P804" s="2">
        <v>0.01</v>
      </c>
      <c r="Q804" s="2">
        <v>0</v>
      </c>
      <c r="R804" s="2">
        <v>0</v>
      </c>
      <c r="S804" s="2">
        <v>0</v>
      </c>
      <c r="T804" s="2">
        <v>2</v>
      </c>
      <c r="U804" s="2">
        <f t="shared" si="62"/>
        <v>2</v>
      </c>
      <c r="V804" s="2">
        <v>1438</v>
      </c>
      <c r="W804" s="2">
        <v>16</v>
      </c>
      <c r="X804" s="2">
        <f t="shared" si="63"/>
        <v>16</v>
      </c>
      <c r="Y804" s="2">
        <v>1990</v>
      </c>
      <c r="Z804" t="str" cm="1">
        <f t="array" ref="Z804">_xlfn.IFS(OR(R804&gt;66, S804&gt;38), "High Engagement", OR(AND(R804&gt;32, R804&lt;=66), AND(S804&gt;19, S804&lt;=38)), "Medium-High Engagement", OR(AND(R804&gt;4, R804&lt;=32), AND(S804&gt;6, S804&lt;=19)),"Medium Engagement", TRUE, "Low Engagement"
)</f>
        <v>Low Engagement</v>
      </c>
      <c r="AA804">
        <f t="shared" si="64"/>
        <v>124.375</v>
      </c>
    </row>
    <row r="805" spans="1:27" x14ac:dyDescent="0.35">
      <c r="A805" s="2">
        <v>4020332650</v>
      </c>
      <c r="B805" s="2" t="s">
        <v>88</v>
      </c>
      <c r="C805" s="2">
        <f>VLOOKUP(user_activity!A372,users_details!$A$1:$G$34,5,0)</f>
        <v>31</v>
      </c>
      <c r="D805" s="2" t="str" cm="1">
        <f t="array" ref="D805">_xlfn.IFS( AND(C805&gt;=18, C805&lt;=25), "Emerging Adults",  AND(C805&gt;=26, C805&lt;=35),  "Young Adults",  AND(C805&gt;=36, C805&lt;=45),  "Midlife Adults",  AND(C805&gt;=46, C805&lt;=55), "Mature Adults", C805&gt;=56,  "Older Adults", TRUE, "Age Not Mentioned")</f>
        <v>Young Adults</v>
      </c>
      <c r="E805" s="2" t="str">
        <f>VLOOKUP(user_activity!A372,users_details!$A$1:$G$34,6,0)</f>
        <v>Midtown, Manhattan</v>
      </c>
      <c r="F805" s="2" t="str">
        <f>VLOOKUP(user_activity!A372,users_details!$A$1:$G$34,7,0)</f>
        <v>Midtown</v>
      </c>
      <c r="G805" s="2" t="s">
        <v>71</v>
      </c>
      <c r="H805" s="7">
        <v>42486</v>
      </c>
      <c r="I805" s="9" t="str">
        <f t="shared" si="60"/>
        <v>Tuesday</v>
      </c>
      <c r="J805" s="9" t="str">
        <f t="shared" si="61"/>
        <v>April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f t="shared" si="62"/>
        <v>0</v>
      </c>
      <c r="V805" s="2">
        <v>1440</v>
      </c>
      <c r="W805" s="2">
        <v>0</v>
      </c>
      <c r="X805" s="2">
        <f t="shared" si="63"/>
        <v>7405.5</v>
      </c>
      <c r="Y805" s="2">
        <v>1980</v>
      </c>
      <c r="Z805" t="str" cm="1">
        <f t="array" ref="Z805">_xlfn.IFS(OR(R805&gt;66, S805&gt;38), "High Engagement", OR(AND(R805&gt;32, R805&lt;=66), AND(S805&gt;19, S805&lt;=38)), "Medium-High Engagement", OR(AND(R805&gt;4, R805&lt;=32), AND(S805&gt;6, S805&lt;=19)),"Medium Engagement", TRUE, "Low Engagement"
)</f>
        <v>Low Engagement</v>
      </c>
      <c r="AA805">
        <f t="shared" si="64"/>
        <v>0</v>
      </c>
    </row>
    <row r="806" spans="1:27" x14ac:dyDescent="0.35">
      <c r="A806" s="2">
        <v>4020332650</v>
      </c>
      <c r="B806" s="2" t="s">
        <v>88</v>
      </c>
      <c r="C806" s="2">
        <f>VLOOKUP(user_activity!A373,users_details!$A$1:$G$34,5,0)</f>
        <v>31</v>
      </c>
      <c r="D806" s="2" t="str" cm="1">
        <f t="array" ref="D806">_xlfn.IFS( AND(C806&gt;=18, C806&lt;=25), "Emerging Adults",  AND(C806&gt;=26, C806&lt;=35),  "Young Adults",  AND(C806&gt;=36, C806&lt;=45),  "Midlife Adults",  AND(C806&gt;=46, C806&lt;=55), "Mature Adults", C806&gt;=56,  "Older Adults", TRUE, "Age Not Mentioned")</f>
        <v>Young Adults</v>
      </c>
      <c r="E806" s="2" t="str">
        <f>VLOOKUP(user_activity!A373,users_details!$A$1:$G$34,6,0)</f>
        <v>Midtown, Manhattan</v>
      </c>
      <c r="F806" s="2" t="str">
        <f>VLOOKUP(user_activity!A373,users_details!$A$1:$G$34,7,0)</f>
        <v>Midtown</v>
      </c>
      <c r="G806" s="2" t="s">
        <v>71</v>
      </c>
      <c r="H806" s="7">
        <v>42480</v>
      </c>
      <c r="I806" s="9" t="str">
        <f t="shared" si="60"/>
        <v>Wednesday</v>
      </c>
      <c r="J806" s="9" t="str">
        <f t="shared" si="61"/>
        <v>April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f t="shared" si="62"/>
        <v>0</v>
      </c>
      <c r="V806" s="2">
        <v>1440</v>
      </c>
      <c r="W806" s="2">
        <v>0</v>
      </c>
      <c r="X806" s="2">
        <f t="shared" si="63"/>
        <v>7405.5</v>
      </c>
      <c r="Y806" s="2">
        <v>1980</v>
      </c>
      <c r="Z806" t="str" cm="1">
        <f t="array" ref="Z806">_xlfn.IFS(OR(R806&gt;66, S806&gt;38), "High Engagement", OR(AND(R806&gt;32, R806&lt;=66), AND(S806&gt;19, S806&lt;=38)), "Medium-High Engagement", OR(AND(R806&gt;4, R806&lt;=32), AND(S806&gt;6, S806&lt;=19)),"Medium Engagement", TRUE, "Low Engagement"
)</f>
        <v>Low Engagement</v>
      </c>
      <c r="AA806">
        <f t="shared" si="64"/>
        <v>0</v>
      </c>
    </row>
    <row r="807" spans="1:27" x14ac:dyDescent="0.35">
      <c r="A807" s="2">
        <v>4020332650</v>
      </c>
      <c r="B807" s="2" t="s">
        <v>88</v>
      </c>
      <c r="C807" s="2">
        <f>VLOOKUP(user_activity!A378,users_details!$A$1:$G$34,5,0)</f>
        <v>32</v>
      </c>
      <c r="D807" s="2" t="str" cm="1">
        <f t="array" ref="D807">_xlfn.IFS( AND(C807&gt;=18, C807&lt;=25), "Emerging Adults",  AND(C807&gt;=26, C807&lt;=35),  "Young Adults",  AND(C807&gt;=36, C807&lt;=45),  "Midlife Adults",  AND(C807&gt;=46, C807&lt;=55), "Mature Adults", C807&gt;=56,  "Older Adults", TRUE, "Age Not Mentioned")</f>
        <v>Young Adults</v>
      </c>
      <c r="E807" s="2" t="str">
        <f>VLOOKUP(user_activity!A378,users_details!$A$1:$G$34,6,0)</f>
        <v>Greenpoint, Brooklyn</v>
      </c>
      <c r="F807" s="2" t="str">
        <f>VLOOKUP(user_activity!A378,users_details!$A$1:$G$34,7,0)</f>
        <v>Greenpoint</v>
      </c>
      <c r="G807" s="2" t="s">
        <v>71</v>
      </c>
      <c r="H807" s="7">
        <v>42465</v>
      </c>
      <c r="I807" s="9" t="str">
        <f t="shared" si="60"/>
        <v>Tuesday</v>
      </c>
      <c r="J807" s="9" t="str">
        <f t="shared" si="61"/>
        <v>April</v>
      </c>
      <c r="K807" s="2">
        <v>7.3499999049999998</v>
      </c>
      <c r="L807" s="2">
        <v>7.3499999049999998</v>
      </c>
      <c r="M807" s="2">
        <v>0</v>
      </c>
      <c r="N807" s="2">
        <v>0.670000017</v>
      </c>
      <c r="O807" s="2">
        <v>1.039999962</v>
      </c>
      <c r="P807" s="2">
        <v>5.579999924</v>
      </c>
      <c r="Q807" s="2">
        <v>0</v>
      </c>
      <c r="R807" s="2">
        <v>13</v>
      </c>
      <c r="S807" s="2">
        <v>46</v>
      </c>
      <c r="T807" s="2">
        <v>346</v>
      </c>
      <c r="U807" s="2">
        <f t="shared" si="62"/>
        <v>405</v>
      </c>
      <c r="V807" s="2">
        <v>531</v>
      </c>
      <c r="W807" s="2">
        <v>10252</v>
      </c>
      <c r="X807" s="2">
        <f t="shared" si="63"/>
        <v>10252</v>
      </c>
      <c r="Y807" s="2">
        <v>3879</v>
      </c>
      <c r="Z807" t="str" cm="1">
        <f t="array" ref="Z807">_xlfn.IFS(OR(R807&gt;66, S807&gt;38), "High Engagement", OR(AND(R807&gt;32, R807&lt;=66), AND(S807&gt;19, S807&lt;=38)), "Medium-High Engagement", OR(AND(R807&gt;4, R807&lt;=32), AND(S807&gt;6, S807&lt;=19)),"Medium Engagement", TRUE, "Low Engagement"
)</f>
        <v>High Engagement</v>
      </c>
      <c r="AA807">
        <f t="shared" si="64"/>
        <v>0.37836519703472493</v>
      </c>
    </row>
    <row r="808" spans="1:27" x14ac:dyDescent="0.35">
      <c r="A808" s="2">
        <v>4020332650</v>
      </c>
      <c r="B808" s="2" t="s">
        <v>88</v>
      </c>
      <c r="C808" s="2">
        <f>VLOOKUP(user_activity!A396,users_details!$A$1:$G$34,5,0)</f>
        <v>32</v>
      </c>
      <c r="D808" s="2" t="str" cm="1">
        <f t="array" ref="D808">_xlfn.IFS( AND(C808&gt;=18, C808&lt;=25), "Emerging Adults",  AND(C808&gt;=26, C808&lt;=35),  "Young Adults",  AND(C808&gt;=36, C808&lt;=45),  "Midlife Adults",  AND(C808&gt;=46, C808&lt;=55), "Mature Adults", C808&gt;=56,  "Older Adults", TRUE, "Age Not Mentioned")</f>
        <v>Young Adults</v>
      </c>
      <c r="E808" s="2" t="str">
        <f>VLOOKUP(user_activity!A396,users_details!$A$1:$G$34,6,0)</f>
        <v>East Harlem, Manhattan</v>
      </c>
      <c r="F808" s="2" t="str">
        <f>VLOOKUP(user_activity!A396,users_details!$A$1:$G$34,7,0)</f>
        <v>East Harlem</v>
      </c>
      <c r="G808" s="2" t="s">
        <v>71</v>
      </c>
      <c r="H808" s="7">
        <v>42679</v>
      </c>
      <c r="I808" s="9" t="str">
        <f t="shared" si="60"/>
        <v>Saturday</v>
      </c>
      <c r="J808" s="9" t="str">
        <f t="shared" si="61"/>
        <v>November</v>
      </c>
      <c r="K808" s="2">
        <v>2.6500000950000002</v>
      </c>
      <c r="L808" s="2">
        <v>2.6500000950000002</v>
      </c>
      <c r="M808" s="2">
        <v>0</v>
      </c>
      <c r="N808" s="2">
        <v>0.109999999</v>
      </c>
      <c r="O808" s="2">
        <v>0.17000000200000001</v>
      </c>
      <c r="P808" s="2">
        <v>2.329999924</v>
      </c>
      <c r="Q808" s="2">
        <v>0</v>
      </c>
      <c r="R808" s="2">
        <v>2</v>
      </c>
      <c r="S808" s="2">
        <v>8</v>
      </c>
      <c r="T808" s="2">
        <v>134</v>
      </c>
      <c r="U808" s="2">
        <f t="shared" si="62"/>
        <v>144</v>
      </c>
      <c r="V808" s="2">
        <v>1296</v>
      </c>
      <c r="W808" s="2">
        <v>3689</v>
      </c>
      <c r="X808" s="2">
        <f t="shared" si="63"/>
        <v>3689</v>
      </c>
      <c r="Y808" s="2">
        <v>2645</v>
      </c>
      <c r="Z808" t="str" cm="1">
        <f t="array" ref="Z808">_xlfn.IFS(OR(R808&gt;66, S808&gt;38), "High Engagement", OR(AND(R808&gt;32, R808&lt;=66), AND(S808&gt;19, S808&lt;=38)), "Medium-High Engagement", OR(AND(R808&gt;4, R808&lt;=32), AND(S808&gt;6, S808&lt;=19)),"Medium Engagement", TRUE, "Low Engagement"
)</f>
        <v>Medium Engagement</v>
      </c>
      <c r="AA808">
        <f t="shared" si="64"/>
        <v>0.71699647600975869</v>
      </c>
    </row>
    <row r="809" spans="1:27" x14ac:dyDescent="0.35">
      <c r="A809" s="2">
        <v>4020332650</v>
      </c>
      <c r="B809" s="2" t="s">
        <v>88</v>
      </c>
      <c r="C809" s="2">
        <f>VLOOKUP(user_activity!A461,users_details!$A$1:$G$34,5,0)</f>
        <v>33</v>
      </c>
      <c r="D809" s="2" t="str" cm="1">
        <f t="array" ref="D809">_xlfn.IFS( AND(C809&gt;=18, C809&lt;=25), "Emerging Adults",  AND(C809&gt;=26, C809&lt;=35),  "Young Adults",  AND(C809&gt;=36, C809&lt;=45),  "Midlife Adults",  AND(C809&gt;=46, C809&lt;=55), "Mature Adults", C809&gt;=56,  "Older Adults", TRUE, "Age Not Mentioned")</f>
        <v>Young Adults</v>
      </c>
      <c r="E809" s="2" t="str">
        <f>VLOOKUP(user_activity!A461,users_details!$A$1:$G$34,6,0)</f>
        <v>Harlem, Manhattan</v>
      </c>
      <c r="F809" s="2" t="str">
        <f>VLOOKUP(user_activity!A461,users_details!$A$1:$G$34,7,0)</f>
        <v>Harlem</v>
      </c>
      <c r="G809" s="2" t="s">
        <v>71</v>
      </c>
      <c r="H809" s="7">
        <v>42482</v>
      </c>
      <c r="I809" s="9" t="str">
        <f t="shared" si="60"/>
        <v>Friday</v>
      </c>
      <c r="J809" s="9" t="str">
        <f t="shared" si="61"/>
        <v>April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f t="shared" si="62"/>
        <v>0</v>
      </c>
      <c r="V809" s="2">
        <v>1440</v>
      </c>
      <c r="W809" s="2">
        <v>0</v>
      </c>
      <c r="X809" s="2">
        <f t="shared" si="63"/>
        <v>7405.5</v>
      </c>
      <c r="Y809" s="2">
        <v>1980</v>
      </c>
      <c r="Z809" t="str" cm="1">
        <f t="array" ref="Z809">_xlfn.IFS(OR(R809&gt;66, S809&gt;38), "High Engagement", OR(AND(R809&gt;32, R809&lt;=66), AND(S809&gt;19, S809&lt;=38)), "Medium-High Engagement", OR(AND(R809&gt;4, R809&lt;=32), AND(S809&gt;6, S809&lt;=19)),"Medium Engagement", TRUE, "Low Engagement"
)</f>
        <v>Low Engagement</v>
      </c>
      <c r="AA809">
        <f t="shared" si="64"/>
        <v>0</v>
      </c>
    </row>
    <row r="810" spans="1:27" x14ac:dyDescent="0.35">
      <c r="A810" s="2">
        <v>4020332650</v>
      </c>
      <c r="B810" s="2" t="s">
        <v>88</v>
      </c>
      <c r="C810" s="2">
        <f>VLOOKUP(user_activity!A522,users_details!$A$1:$G$34,5,0)</f>
        <v>36</v>
      </c>
      <c r="D810" s="2" t="str" cm="1">
        <f t="array" ref="D810">_xlfn.IFS( AND(C810&gt;=18, C810&lt;=25), "Emerging Adults",  AND(C810&gt;=26, C810&lt;=35),  "Young Adults",  AND(C810&gt;=36, C810&lt;=45),  "Midlife Adults",  AND(C810&gt;=46, C810&lt;=55), "Mature Adults", C810&gt;=56,  "Older Adults", TRUE, "Age Not Mentioned")</f>
        <v>Midlife Adults</v>
      </c>
      <c r="E810" s="2" t="str">
        <f>VLOOKUP(user_activity!A522,users_details!$A$1:$G$34,6,0)</f>
        <v>Williamsburg, Brooklyn</v>
      </c>
      <c r="F810" s="2" t="str">
        <f>VLOOKUP(user_activity!A522,users_details!$A$1:$G$34,7,0)</f>
        <v>Williamsburg</v>
      </c>
      <c r="G810" s="2" t="s">
        <v>71</v>
      </c>
      <c r="H810" s="7">
        <v>42495</v>
      </c>
      <c r="I810" s="9" t="str">
        <f t="shared" si="60"/>
        <v>Thursday</v>
      </c>
      <c r="J810" s="9" t="str">
        <f t="shared" si="61"/>
        <v>May</v>
      </c>
      <c r="K810" s="2">
        <v>8.4300003050000001</v>
      </c>
      <c r="L810" s="2">
        <v>8.4300003050000001</v>
      </c>
      <c r="M810" s="2">
        <v>0</v>
      </c>
      <c r="N810" s="2">
        <v>2.619999886</v>
      </c>
      <c r="O810" s="2">
        <v>1.6799999480000001</v>
      </c>
      <c r="P810" s="2">
        <v>4.0399999619999996</v>
      </c>
      <c r="Q810" s="2">
        <v>7.0000000000000007E-2</v>
      </c>
      <c r="R810" s="2">
        <v>38</v>
      </c>
      <c r="S810" s="2">
        <v>42</v>
      </c>
      <c r="T810" s="2">
        <v>196</v>
      </c>
      <c r="U810" s="2">
        <f t="shared" si="62"/>
        <v>276</v>
      </c>
      <c r="V810" s="2">
        <v>916</v>
      </c>
      <c r="W810" s="2">
        <v>11728</v>
      </c>
      <c r="X810" s="2">
        <f t="shared" si="63"/>
        <v>11728</v>
      </c>
      <c r="Y810" s="2">
        <v>3429</v>
      </c>
      <c r="Z810" t="str" cm="1">
        <f t="array" ref="Z810">_xlfn.IFS(OR(R810&gt;66, S810&gt;38), "High Engagement", OR(AND(R810&gt;32, R810&lt;=66), AND(S810&gt;19, S810&lt;=38)), "Medium-High Engagement", OR(AND(R810&gt;4, R810&lt;=32), AND(S810&gt;6, S810&lt;=19)),"Medium Engagement", TRUE, "Low Engagement"
)</f>
        <v>High Engagement</v>
      </c>
      <c r="AA810">
        <f t="shared" si="64"/>
        <v>0.29237721691678037</v>
      </c>
    </row>
    <row r="811" spans="1:27" x14ac:dyDescent="0.35">
      <c r="A811" s="2">
        <v>4020332650</v>
      </c>
      <c r="B811" s="2" t="s">
        <v>88</v>
      </c>
      <c r="C811" s="2">
        <f>VLOOKUP(user_activity!A525,users_details!$A$1:$G$34,5,0)</f>
        <v>36</v>
      </c>
      <c r="D811" s="2" t="str" cm="1">
        <f t="array" ref="D811">_xlfn.IFS( AND(C811&gt;=18, C811&lt;=25), "Emerging Adults",  AND(C811&gt;=26, C811&lt;=35),  "Young Adults",  AND(C811&gt;=36, C811&lt;=45),  "Midlife Adults",  AND(C811&gt;=46, C811&lt;=55), "Mature Adults", C811&gt;=56,  "Older Adults", TRUE, "Age Not Mentioned")</f>
        <v>Midlife Adults</v>
      </c>
      <c r="E811" s="2" t="str">
        <f>VLOOKUP(user_activity!A525,users_details!$A$1:$G$34,6,0)</f>
        <v>Williamsburg, Brooklyn</v>
      </c>
      <c r="F811" s="2" t="str">
        <f>VLOOKUP(user_activity!A525,users_details!$A$1:$G$34,7,0)</f>
        <v>Williamsburg</v>
      </c>
      <c r="G811" s="2" t="s">
        <v>71</v>
      </c>
      <c r="H811" s="7">
        <v>42475</v>
      </c>
      <c r="I811" s="9" t="str">
        <f t="shared" si="60"/>
        <v>Friday</v>
      </c>
      <c r="J811" s="9" t="str">
        <f t="shared" si="61"/>
        <v>April</v>
      </c>
      <c r="K811" s="2">
        <v>1.3500000240000001</v>
      </c>
      <c r="L811" s="2">
        <v>1.3500000240000001</v>
      </c>
      <c r="M811" s="2">
        <v>0</v>
      </c>
      <c r="N811" s="2">
        <v>0.209999993</v>
      </c>
      <c r="O811" s="2">
        <v>0.36000001399999998</v>
      </c>
      <c r="P811" s="2">
        <v>0.769999981</v>
      </c>
      <c r="Q811" s="2">
        <v>0</v>
      </c>
      <c r="R811" s="2">
        <v>36</v>
      </c>
      <c r="S811" s="2">
        <v>18</v>
      </c>
      <c r="T811" s="2">
        <v>87</v>
      </c>
      <c r="U811" s="2">
        <f t="shared" si="62"/>
        <v>141</v>
      </c>
      <c r="V811" s="2">
        <v>1299</v>
      </c>
      <c r="W811" s="2">
        <v>1882</v>
      </c>
      <c r="X811" s="2">
        <f t="shared" si="63"/>
        <v>1882</v>
      </c>
      <c r="Y811" s="2">
        <v>2951</v>
      </c>
      <c r="Z811" t="str" cm="1">
        <f t="array" ref="Z811">_xlfn.IFS(OR(R811&gt;66, S811&gt;38), "High Engagement", OR(AND(R811&gt;32, R811&lt;=66), AND(S811&gt;19, S811&lt;=38)), "Medium-High Engagement", OR(AND(R811&gt;4, R811&lt;=32), AND(S811&gt;6, S811&lt;=19)),"Medium Engagement", TRUE, "Low Engagement"
)</f>
        <v>Medium-High Engagement</v>
      </c>
      <c r="AA811">
        <f t="shared" si="64"/>
        <v>1.5680127523910734</v>
      </c>
    </row>
    <row r="812" spans="1:27" x14ac:dyDescent="0.35">
      <c r="A812" s="2">
        <v>4020332650</v>
      </c>
      <c r="B812" s="2" t="s">
        <v>88</v>
      </c>
      <c r="C812" s="2">
        <f>VLOOKUP(user_activity!A540,users_details!$A$1:$G$34,5,0)</f>
        <v>38</v>
      </c>
      <c r="D812" s="2" t="str" cm="1">
        <f t="array" ref="D812">_xlfn.IFS( AND(C812&gt;=18, C812&lt;=25), "Emerging Adults",  AND(C812&gt;=26, C812&lt;=35),  "Young Adults",  AND(C812&gt;=36, C812&lt;=45),  "Midlife Adults",  AND(C812&gt;=46, C812&lt;=55), "Mature Adults", C812&gt;=56,  "Older Adults", TRUE, "Age Not Mentioned")</f>
        <v>Midlife Adults</v>
      </c>
      <c r="E812" s="2" t="str">
        <f>VLOOKUP(user_activity!A540,users_details!$A$1:$G$34,6,0)</f>
        <v>East Harlem, Manhattan</v>
      </c>
      <c r="F812" s="2" t="str">
        <f>VLOOKUP(user_activity!A540,users_details!$A$1:$G$34,7,0)</f>
        <v>East Harlem</v>
      </c>
      <c r="G812" s="2" t="s">
        <v>71</v>
      </c>
      <c r="H812" s="7">
        <v>42479</v>
      </c>
      <c r="I812" s="9" t="str">
        <f t="shared" si="60"/>
        <v>Tuesday</v>
      </c>
      <c r="J812" s="9" t="str">
        <f t="shared" si="61"/>
        <v>April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f t="shared" si="62"/>
        <v>0</v>
      </c>
      <c r="V812" s="2">
        <v>1440</v>
      </c>
      <c r="W812" s="2">
        <v>0</v>
      </c>
      <c r="X812" s="2">
        <f t="shared" si="63"/>
        <v>7405.5</v>
      </c>
      <c r="Y812" s="2">
        <v>1980</v>
      </c>
      <c r="Z812" t="str" cm="1">
        <f t="array" ref="Z812">_xlfn.IFS(OR(R812&gt;66, S812&gt;38), "High Engagement", OR(AND(R812&gt;32, R812&lt;=66), AND(S812&gt;19, S812&lt;=38)), "Medium-High Engagement", OR(AND(R812&gt;4, R812&lt;=32), AND(S812&gt;6, S812&lt;=19)),"Medium Engagement", TRUE, "Low Engagement"
)</f>
        <v>Low Engagement</v>
      </c>
      <c r="AA812">
        <f t="shared" si="64"/>
        <v>0</v>
      </c>
    </row>
    <row r="813" spans="1:27" x14ac:dyDescent="0.35">
      <c r="A813" s="2">
        <v>4020332650</v>
      </c>
      <c r="B813" s="2" t="s">
        <v>88</v>
      </c>
      <c r="C813" s="2">
        <f>VLOOKUP(user_activity!A602,users_details!$A$1:$G$34,5,0)</f>
        <v>39</v>
      </c>
      <c r="D813" s="2" t="str" cm="1">
        <f t="array" ref="D813">_xlfn.IFS( AND(C813&gt;=18, C813&lt;=25), "Emerging Adults",  AND(C813&gt;=26, C813&lt;=35),  "Young Adults",  AND(C813&gt;=36, C813&lt;=45),  "Midlife Adults",  AND(C813&gt;=46, C813&lt;=55), "Mature Adults", C813&gt;=56,  "Older Adults", TRUE, "Age Not Mentioned")</f>
        <v>Midlife Adults</v>
      </c>
      <c r="E813" s="2" t="str">
        <f>VLOOKUP(user_activity!A602,users_details!$A$1:$G$34,6,0)</f>
        <v>East Village, Manhattan</v>
      </c>
      <c r="F813" s="2" t="str">
        <f>VLOOKUP(user_activity!A602,users_details!$A$1:$G$34,7,0)</f>
        <v>East Village</v>
      </c>
      <c r="G813" s="2" t="s">
        <v>71</v>
      </c>
      <c r="H813" s="7">
        <v>42490</v>
      </c>
      <c r="I813" s="9" t="str">
        <f t="shared" si="60"/>
        <v>Saturday</v>
      </c>
      <c r="J813" s="9" t="str">
        <f t="shared" si="61"/>
        <v>April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f t="shared" si="62"/>
        <v>0</v>
      </c>
      <c r="V813" s="2">
        <v>1440</v>
      </c>
      <c r="W813" s="2">
        <v>0</v>
      </c>
      <c r="X813" s="2">
        <f t="shared" si="63"/>
        <v>7405.5</v>
      </c>
      <c r="Y813" s="2">
        <v>1980</v>
      </c>
      <c r="Z813" t="str" cm="1">
        <f t="array" ref="Z813">_xlfn.IFS(OR(R813&gt;66, S813&gt;38), "High Engagement", OR(AND(R813&gt;32, R813&lt;=66), AND(S813&gt;19, S813&lt;=38)), "Medium-High Engagement", OR(AND(R813&gt;4, R813&lt;=32), AND(S813&gt;6, S813&lt;=19)),"Medium Engagement", TRUE, "Low Engagement"
)</f>
        <v>Low Engagement</v>
      </c>
      <c r="AA813">
        <f t="shared" si="64"/>
        <v>0</v>
      </c>
    </row>
    <row r="814" spans="1:27" x14ac:dyDescent="0.35">
      <c r="A814" s="2">
        <v>4020332650</v>
      </c>
      <c r="B814" s="2" t="s">
        <v>88</v>
      </c>
      <c r="C814" s="2">
        <f>VLOOKUP(user_activity!A606,users_details!$A$1:$G$34,5,0)</f>
        <v>39</v>
      </c>
      <c r="D814" s="2" t="str" cm="1">
        <f t="array" ref="D814">_xlfn.IFS( AND(C814&gt;=18, C814&lt;=25), "Emerging Adults",  AND(C814&gt;=26, C814&lt;=35),  "Young Adults",  AND(C814&gt;=36, C814&lt;=45),  "Midlife Adults",  AND(C814&gt;=46, C814&lt;=55), "Mature Adults", C814&gt;=56,  "Older Adults", TRUE, "Age Not Mentioned")</f>
        <v>Midlife Adults</v>
      </c>
      <c r="E814" s="2" t="str">
        <f>VLOOKUP(user_activity!A606,users_details!$A$1:$G$34,6,0)</f>
        <v>East Village, Manhattan</v>
      </c>
      <c r="F814" s="2" t="str">
        <f>VLOOKUP(user_activity!A606,users_details!$A$1:$G$34,7,0)</f>
        <v>East Village</v>
      </c>
      <c r="G814" s="2" t="s">
        <v>71</v>
      </c>
      <c r="H814" s="7">
        <v>42648</v>
      </c>
      <c r="I814" s="9" t="str">
        <f t="shared" si="60"/>
        <v>Wednesday</v>
      </c>
      <c r="J814" s="9" t="str">
        <f t="shared" si="61"/>
        <v>October</v>
      </c>
      <c r="K814" s="2">
        <v>3.9800000190000002</v>
      </c>
      <c r="L814" s="2">
        <v>3.9800000190000002</v>
      </c>
      <c r="M814" s="2">
        <v>0</v>
      </c>
      <c r="N814" s="2">
        <v>0</v>
      </c>
      <c r="O814" s="2">
        <v>0</v>
      </c>
      <c r="P814" s="2">
        <v>3.869999886</v>
      </c>
      <c r="Q814" s="2">
        <v>3.9999999000000001E-2</v>
      </c>
      <c r="R814" s="2">
        <v>0</v>
      </c>
      <c r="S814" s="2">
        <v>0</v>
      </c>
      <c r="T814" s="2">
        <v>206</v>
      </c>
      <c r="U814" s="2">
        <f t="shared" si="62"/>
        <v>206</v>
      </c>
      <c r="V814" s="2">
        <v>774</v>
      </c>
      <c r="W814" s="2">
        <v>5546</v>
      </c>
      <c r="X814" s="2">
        <f t="shared" si="63"/>
        <v>5546</v>
      </c>
      <c r="Y814" s="2">
        <v>2926</v>
      </c>
      <c r="Z814" t="str" cm="1">
        <f t="array" ref="Z814">_xlfn.IFS(OR(R814&gt;66, S814&gt;38), "High Engagement", OR(AND(R814&gt;32, R814&lt;=66), AND(S814&gt;19, S814&lt;=38)), "Medium-High Engagement", OR(AND(R814&gt;4, R814&lt;=32), AND(S814&gt;6, S814&lt;=19)),"Medium Engagement", TRUE, "Low Engagement"
)</f>
        <v>Low Engagement</v>
      </c>
      <c r="AA814">
        <f t="shared" si="64"/>
        <v>0.52758745041471333</v>
      </c>
    </row>
    <row r="815" spans="1:27" x14ac:dyDescent="0.35">
      <c r="A815" s="2">
        <v>4020332650</v>
      </c>
      <c r="B815" s="2" t="s">
        <v>88</v>
      </c>
      <c r="C815" s="2">
        <f>VLOOKUP(user_activity!A670,users_details!$A$1:$G$34,5,0)</f>
        <v>49</v>
      </c>
      <c r="D815" s="2" t="str" cm="1">
        <f t="array" ref="D815">_xlfn.IFS( AND(C815&gt;=18, C815&lt;=25), "Emerging Adults",  AND(C815&gt;=26, C815&lt;=35),  "Young Adults",  AND(C815&gt;=36, C815&lt;=45),  "Midlife Adults",  AND(C815&gt;=46, C815&lt;=55), "Mature Adults", C815&gt;=56,  "Older Adults", TRUE, "Age Not Mentioned")</f>
        <v>Mature Adults</v>
      </c>
      <c r="E815" s="2" t="str">
        <f>VLOOKUP(user_activity!A670,users_details!$A$1:$G$34,6,0)</f>
        <v>Upper West Side, Manhattan</v>
      </c>
      <c r="F815" s="2" t="str">
        <f>VLOOKUP(user_activity!A670,users_details!$A$1:$G$34,7,0)</f>
        <v>Upper West Side</v>
      </c>
      <c r="G815" s="2" t="s">
        <v>71</v>
      </c>
      <c r="H815" s="7">
        <v>42474</v>
      </c>
      <c r="I815" s="9" t="str">
        <f t="shared" si="60"/>
        <v>Thursday</v>
      </c>
      <c r="J815" s="9" t="str">
        <f t="shared" si="61"/>
        <v>April</v>
      </c>
      <c r="K815" s="2">
        <v>7.9999998000000003E-2</v>
      </c>
      <c r="L815" s="2">
        <v>7.9999998000000003E-2</v>
      </c>
      <c r="M815" s="2">
        <v>0</v>
      </c>
      <c r="N815" s="2">
        <v>0</v>
      </c>
      <c r="O815" s="2">
        <v>0</v>
      </c>
      <c r="P815" s="2">
        <v>2.9999998999999999E-2</v>
      </c>
      <c r="Q815" s="2">
        <v>0</v>
      </c>
      <c r="R815" s="2">
        <v>0</v>
      </c>
      <c r="S815" s="2">
        <v>0</v>
      </c>
      <c r="T815" s="2">
        <v>3</v>
      </c>
      <c r="U815" s="2">
        <f t="shared" si="62"/>
        <v>3</v>
      </c>
      <c r="V815" s="2">
        <v>1437</v>
      </c>
      <c r="W815" s="2">
        <v>108</v>
      </c>
      <c r="X815" s="2">
        <f t="shared" si="63"/>
        <v>108</v>
      </c>
      <c r="Y815" s="2">
        <v>2011</v>
      </c>
      <c r="Z815" t="str" cm="1">
        <f t="array" ref="Z815">_xlfn.IFS(OR(R815&gt;66, S815&gt;38), "High Engagement", OR(AND(R815&gt;32, R815&lt;=66), AND(S815&gt;19, S815&lt;=38)), "Medium-High Engagement", OR(AND(R815&gt;4, R815&lt;=32), AND(S815&gt;6, S815&lt;=19)),"Medium Engagement", TRUE, "Low Engagement"
)</f>
        <v>Low Engagement</v>
      </c>
      <c r="AA815">
        <f t="shared" si="64"/>
        <v>18.62037037037037</v>
      </c>
    </row>
    <row r="816" spans="1:27" x14ac:dyDescent="0.35">
      <c r="A816" s="2">
        <v>4020332650</v>
      </c>
      <c r="B816" s="2" t="s">
        <v>88</v>
      </c>
      <c r="C816" s="2">
        <f>VLOOKUP(user_activity!A721,users_details!$A$1:$G$34,5,0)</f>
        <v>53</v>
      </c>
      <c r="D816" s="2" t="str" cm="1">
        <f t="array" ref="D816">_xlfn.IFS( AND(C816&gt;=18, C816&lt;=25), "Emerging Adults",  AND(C816&gt;=26, C816&lt;=35),  "Young Adults",  AND(C816&gt;=36, C816&lt;=45),  "Midlife Adults",  AND(C816&gt;=46, C816&lt;=55), "Mature Adults", C816&gt;=56,  "Older Adults", TRUE, "Age Not Mentioned")</f>
        <v>Mature Adults</v>
      </c>
      <c r="E816" s="2" t="str">
        <f>VLOOKUP(user_activity!A721,users_details!$A$1:$G$34,6,0)</f>
        <v>Harlem, Manhattan</v>
      </c>
      <c r="F816" s="2" t="str">
        <f>VLOOKUP(user_activity!A721,users_details!$A$1:$G$34,7,0)</f>
        <v>Harlem</v>
      </c>
      <c r="G816" s="2" t="s">
        <v>71</v>
      </c>
      <c r="H816" s="7">
        <v>42618</v>
      </c>
      <c r="I816" s="9" t="str">
        <f t="shared" si="60"/>
        <v>Monday</v>
      </c>
      <c r="J816" s="9" t="str">
        <f t="shared" si="61"/>
        <v>September</v>
      </c>
      <c r="K816" s="2">
        <v>3.2699999809999998</v>
      </c>
      <c r="L816" s="2">
        <v>3.2699999809999998</v>
      </c>
      <c r="M816" s="2">
        <v>0</v>
      </c>
      <c r="N816" s="2">
        <v>0.20000000300000001</v>
      </c>
      <c r="O816" s="2">
        <v>0.119999997</v>
      </c>
      <c r="P816" s="2">
        <v>2.9400000569999998</v>
      </c>
      <c r="Q816" s="2">
        <v>0</v>
      </c>
      <c r="R816" s="2">
        <v>3</v>
      </c>
      <c r="S816" s="2">
        <v>5</v>
      </c>
      <c r="T816" s="2">
        <v>173</v>
      </c>
      <c r="U816" s="2">
        <f t="shared" si="62"/>
        <v>181</v>
      </c>
      <c r="V816" s="2">
        <v>1225</v>
      </c>
      <c r="W816" s="2">
        <v>4556</v>
      </c>
      <c r="X816" s="2">
        <f t="shared" si="63"/>
        <v>4556</v>
      </c>
      <c r="Y816" s="2">
        <v>2785</v>
      </c>
      <c r="Z816" t="str" cm="1">
        <f t="array" ref="Z816">_xlfn.IFS(OR(R816&gt;66, S816&gt;38), "High Engagement", OR(AND(R816&gt;32, R816&lt;=66), AND(S816&gt;19, S816&lt;=38)), "Medium-High Engagement", OR(AND(R816&gt;4, R816&lt;=32), AND(S816&gt;6, S816&lt;=19)),"Medium Engagement", TRUE, "Low Engagement"
)</f>
        <v>Low Engagement</v>
      </c>
      <c r="AA816">
        <f t="shared" si="64"/>
        <v>0.61128182616330118</v>
      </c>
    </row>
    <row r="817" spans="1:27" x14ac:dyDescent="0.35">
      <c r="A817" s="2">
        <v>4020332650</v>
      </c>
      <c r="B817" s="2" t="s">
        <v>88</v>
      </c>
      <c r="C817" s="2">
        <f>VLOOKUP(user_activity!A732,users_details!$A$1:$G$34,5,0)</f>
        <v>53</v>
      </c>
      <c r="D817" s="2" t="str" cm="1">
        <f t="array" ref="D817">_xlfn.IFS( AND(C817&gt;=18, C817&lt;=25), "Emerging Adults",  AND(C817&gt;=26, C817&lt;=35),  "Young Adults",  AND(C817&gt;=36, C817&lt;=45),  "Midlife Adults",  AND(C817&gt;=46, C817&lt;=55), "Mature Adults", C817&gt;=56,  "Older Adults", TRUE, "Age Not Mentioned")</f>
        <v>Mature Adults</v>
      </c>
      <c r="E817" s="2" t="str">
        <f>VLOOKUP(user_activity!A732,users_details!$A$1:$G$34,6,0)</f>
        <v>Williamsburg, Brooklyn</v>
      </c>
      <c r="F817" s="2" t="str">
        <f>VLOOKUP(user_activity!A732,users_details!$A$1:$G$34,7,0)</f>
        <v>Williamsburg</v>
      </c>
      <c r="G817" s="2" t="s">
        <v>71</v>
      </c>
      <c r="H817" s="7">
        <v>42484</v>
      </c>
      <c r="I817" s="9" t="str">
        <f t="shared" si="60"/>
        <v>Sunday</v>
      </c>
      <c r="J817" s="9" t="str">
        <f t="shared" si="61"/>
        <v>April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f t="shared" si="62"/>
        <v>0</v>
      </c>
      <c r="V817" s="2">
        <v>1440</v>
      </c>
      <c r="W817" s="2">
        <v>0</v>
      </c>
      <c r="X817" s="2">
        <f t="shared" si="63"/>
        <v>7405.5</v>
      </c>
      <c r="Y817" s="2">
        <v>1980</v>
      </c>
      <c r="Z817" t="str" cm="1">
        <f t="array" ref="Z817">_xlfn.IFS(OR(R817&gt;66, S817&gt;38), "High Engagement", OR(AND(R817&gt;32, R817&lt;=66), AND(S817&gt;19, S817&lt;=38)), "Medium-High Engagement", OR(AND(R817&gt;4, R817&lt;=32), AND(S817&gt;6, S817&lt;=19)),"Medium Engagement", TRUE, "Low Engagement"
)</f>
        <v>Low Engagement</v>
      </c>
      <c r="AA817">
        <f t="shared" si="64"/>
        <v>0</v>
      </c>
    </row>
    <row r="818" spans="1:27" x14ac:dyDescent="0.35">
      <c r="A818" s="2">
        <v>4020332650</v>
      </c>
      <c r="B818" s="2" t="s">
        <v>88</v>
      </c>
      <c r="C818" s="2">
        <f>VLOOKUP(user_activity!A737,users_details!$A$1:$G$34,5,0)</f>
        <v>53</v>
      </c>
      <c r="D818" s="2" t="str" cm="1">
        <f t="array" ref="D818">_xlfn.IFS( AND(C818&gt;=18, C818&lt;=25), "Emerging Adults",  AND(C818&gt;=26, C818&lt;=35),  "Young Adults",  AND(C818&gt;=36, C818&lt;=45),  "Midlife Adults",  AND(C818&gt;=46, C818&lt;=55), "Mature Adults", C818&gt;=56,  "Older Adults", TRUE, "Age Not Mentioned")</f>
        <v>Mature Adults</v>
      </c>
      <c r="E818" s="2" t="str">
        <f>VLOOKUP(user_activity!A737,users_details!$A$1:$G$34,6,0)</f>
        <v>Harlem, Manhattan</v>
      </c>
      <c r="F818" s="2" t="str">
        <f>VLOOKUP(user_activity!A737,users_details!$A$1:$G$34,7,0)</f>
        <v>Harlem</v>
      </c>
      <c r="G818" s="2" t="s">
        <v>71</v>
      </c>
      <c r="H818" s="7">
        <v>42709</v>
      </c>
      <c r="I818" s="9" t="str">
        <f t="shared" si="60"/>
        <v>Monday</v>
      </c>
      <c r="J818" s="9" t="str">
        <f t="shared" si="61"/>
        <v>December</v>
      </c>
      <c r="K818" s="2">
        <v>0.41999998700000002</v>
      </c>
      <c r="L818" s="2">
        <v>0.41999998700000002</v>
      </c>
      <c r="M818" s="2">
        <v>0</v>
      </c>
      <c r="N818" s="2">
        <v>0</v>
      </c>
      <c r="O818" s="2">
        <v>0</v>
      </c>
      <c r="P818" s="2">
        <v>0.40999999599999998</v>
      </c>
      <c r="Q818" s="2">
        <v>0</v>
      </c>
      <c r="R818" s="2">
        <v>0</v>
      </c>
      <c r="S818" s="2">
        <v>0</v>
      </c>
      <c r="T818" s="2">
        <v>21</v>
      </c>
      <c r="U818" s="2">
        <f t="shared" si="62"/>
        <v>21</v>
      </c>
      <c r="V818" s="2">
        <v>721</v>
      </c>
      <c r="W818" s="2">
        <v>590</v>
      </c>
      <c r="X818" s="2">
        <f t="shared" si="63"/>
        <v>590</v>
      </c>
      <c r="Y818" s="2">
        <v>1120</v>
      </c>
      <c r="Z818" t="str" cm="1">
        <f t="array" ref="Z818">_xlfn.IFS(OR(R818&gt;66, S818&gt;38), "High Engagement", OR(AND(R818&gt;32, R818&lt;=66), AND(S818&gt;19, S818&lt;=38)), "Medium-High Engagement", OR(AND(R818&gt;4, R818&lt;=32), AND(S818&gt;6, S818&lt;=19)),"Medium Engagement", TRUE, "Low Engagement"
)</f>
        <v>Low Engagement</v>
      </c>
      <c r="AA818">
        <f t="shared" si="64"/>
        <v>1.8983050847457628</v>
      </c>
    </row>
    <row r="819" spans="1:27" x14ac:dyDescent="0.35">
      <c r="A819" s="2">
        <v>4020332650</v>
      </c>
      <c r="B819" s="2" t="s">
        <v>88</v>
      </c>
      <c r="C819" s="2">
        <f>VLOOKUP(user_activity!A743,users_details!$A$1:$G$34,5,0)</f>
        <v>53</v>
      </c>
      <c r="D819" s="2" t="str" cm="1">
        <f t="array" ref="D819">_xlfn.IFS( AND(C819&gt;=18, C819&lt;=25), "Emerging Adults",  AND(C819&gt;=26, C819&lt;=35),  "Young Adults",  AND(C819&gt;=36, C819&lt;=45),  "Midlife Adults",  AND(C819&gt;=46, C819&lt;=55), "Mature Adults", C819&gt;=56,  "Older Adults", TRUE, "Age Not Mentioned")</f>
        <v>Mature Adults</v>
      </c>
      <c r="E819" s="2" t="str">
        <f>VLOOKUP(user_activity!A743,users_details!$A$1:$G$34,6,0)</f>
        <v>Harlem, Manhattan</v>
      </c>
      <c r="F819" s="2" t="str">
        <f>VLOOKUP(user_activity!A743,users_details!$A$1:$G$34,7,0)</f>
        <v>Harlem</v>
      </c>
      <c r="G819" s="2" t="s">
        <v>71</v>
      </c>
      <c r="H819" s="7">
        <v>42473</v>
      </c>
      <c r="I819" s="9" t="str">
        <f t="shared" si="60"/>
        <v>Wednesday</v>
      </c>
      <c r="J819" s="9" t="str">
        <f t="shared" si="61"/>
        <v>April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f t="shared" si="62"/>
        <v>0</v>
      </c>
      <c r="V819" s="2">
        <v>1440</v>
      </c>
      <c r="W819" s="2">
        <v>0</v>
      </c>
      <c r="X819" s="2">
        <f t="shared" si="63"/>
        <v>7405.5</v>
      </c>
      <c r="Y819" s="2">
        <v>1981</v>
      </c>
      <c r="Z819" t="str" cm="1">
        <f t="array" ref="Z819">_xlfn.IFS(OR(R819&gt;66, S819&gt;38), "High Engagement", OR(AND(R819&gt;32, R819&lt;=66), AND(S819&gt;19, S819&lt;=38)), "Medium-High Engagement", OR(AND(R819&gt;4, R819&lt;=32), AND(S819&gt;6, S819&lt;=19)),"Medium Engagement", TRUE, "Low Engagement"
)</f>
        <v>Low Engagement</v>
      </c>
      <c r="AA819">
        <f t="shared" si="64"/>
        <v>0</v>
      </c>
    </row>
    <row r="820" spans="1:27" x14ac:dyDescent="0.35">
      <c r="A820" s="2">
        <v>4020332650</v>
      </c>
      <c r="B820" s="2" t="s">
        <v>88</v>
      </c>
      <c r="C820" s="2">
        <f>VLOOKUP(user_activity!A870,users_details!$A$1:$G$34,5,0)</f>
        <v>58</v>
      </c>
      <c r="D820" s="2" t="str" cm="1">
        <f t="array" ref="D820">_xlfn.IFS( AND(C820&gt;=18, C820&lt;=25), "Emerging Adults",  AND(C820&gt;=26, C820&lt;=35),  "Young Adults",  AND(C820&gt;=36, C820&lt;=45),  "Midlife Adults",  AND(C820&gt;=46, C820&lt;=55), "Mature Adults", C820&gt;=56,  "Older Adults", TRUE, "Age Not Mentioned")</f>
        <v>Older Adults</v>
      </c>
      <c r="E820" s="2" t="str">
        <f>VLOOKUP(user_activity!A870,users_details!$A$1:$G$34,6,0)</f>
        <v>East Village, Manhattan</v>
      </c>
      <c r="F820" s="2" t="str">
        <f>VLOOKUP(user_activity!A870,users_details!$A$1:$G$34,7,0)</f>
        <v>East Village</v>
      </c>
      <c r="G820" s="2" t="s">
        <v>71</v>
      </c>
      <c r="H820" s="7">
        <v>42405</v>
      </c>
      <c r="I820" s="9" t="str">
        <f t="shared" si="60"/>
        <v>Friday</v>
      </c>
      <c r="J820" s="9" t="str">
        <f t="shared" si="61"/>
        <v>February</v>
      </c>
      <c r="K820" s="2">
        <v>0.34000000400000002</v>
      </c>
      <c r="L820" s="2">
        <v>0.34000000400000002</v>
      </c>
      <c r="M820" s="2">
        <v>0</v>
      </c>
      <c r="N820" s="2">
        <v>0</v>
      </c>
      <c r="O820" s="2">
        <v>3.9999999000000001E-2</v>
      </c>
      <c r="P820" s="2">
        <v>0.28999999199999998</v>
      </c>
      <c r="Q820" s="2">
        <v>0</v>
      </c>
      <c r="R820" s="2">
        <v>0</v>
      </c>
      <c r="S820" s="2">
        <v>11</v>
      </c>
      <c r="T820" s="2">
        <v>31</v>
      </c>
      <c r="U820" s="2">
        <f t="shared" si="62"/>
        <v>42</v>
      </c>
      <c r="V820" s="2">
        <v>1350</v>
      </c>
      <c r="W820" s="2">
        <v>475</v>
      </c>
      <c r="X820" s="2">
        <f t="shared" si="63"/>
        <v>475</v>
      </c>
      <c r="Y820" s="2">
        <v>2207</v>
      </c>
      <c r="Z820" t="str" cm="1">
        <f t="array" ref="Z820">_xlfn.IFS(OR(R820&gt;66, S820&gt;38), "High Engagement", OR(AND(R820&gt;32, R820&lt;=66), AND(S820&gt;19, S820&lt;=38)), "Medium-High Engagement", OR(AND(R820&gt;4, R820&lt;=32), AND(S820&gt;6, S820&lt;=19)),"Medium Engagement", TRUE, "Low Engagement"
)</f>
        <v>Medium Engagement</v>
      </c>
      <c r="AA820">
        <f t="shared" si="64"/>
        <v>4.6463157894736842</v>
      </c>
    </row>
    <row r="821" spans="1:27" x14ac:dyDescent="0.35">
      <c r="A821" s="2">
        <v>4020332650</v>
      </c>
      <c r="B821" s="2" t="s">
        <v>88</v>
      </c>
      <c r="C821" s="2">
        <f>VLOOKUP(user_activity!A926,users_details!$A$1:$G$34,5,0)</f>
        <v>60</v>
      </c>
      <c r="D821" s="2" t="str" cm="1">
        <f t="array" ref="D821">_xlfn.IFS( AND(C821&gt;=18, C821&lt;=25), "Emerging Adults",  AND(C821&gt;=26, C821&lt;=35),  "Young Adults",  AND(C821&gt;=36, C821&lt;=45),  "Midlife Adults",  AND(C821&gt;=46, C821&lt;=55), "Mature Adults", C821&gt;=56,  "Older Adults", TRUE, "Age Not Mentioned")</f>
        <v>Older Adults</v>
      </c>
      <c r="E821" s="2" t="str">
        <f>VLOOKUP(user_activity!A926,users_details!$A$1:$G$34,6,0)</f>
        <v>East Village, Manhattan</v>
      </c>
      <c r="F821" s="2" t="str">
        <f>VLOOKUP(user_activity!A926,users_details!$A$1:$G$34,7,0)</f>
        <v>East Village</v>
      </c>
      <c r="G821" s="2" t="s">
        <v>71</v>
      </c>
      <c r="H821" s="7">
        <v>42587</v>
      </c>
      <c r="I821" s="9" t="str">
        <f t="shared" si="60"/>
        <v>Friday</v>
      </c>
      <c r="J821" s="9" t="str">
        <f t="shared" si="61"/>
        <v>August</v>
      </c>
      <c r="K821" s="2">
        <v>4.1999998090000004</v>
      </c>
      <c r="L821" s="2">
        <v>4.1999998090000004</v>
      </c>
      <c r="M821" s="2">
        <v>0</v>
      </c>
      <c r="N821" s="2">
        <v>0</v>
      </c>
      <c r="O821" s="2">
        <v>0</v>
      </c>
      <c r="P821" s="2">
        <v>4.1500000950000002</v>
      </c>
      <c r="Q821" s="2">
        <v>0</v>
      </c>
      <c r="R821" s="2">
        <v>0</v>
      </c>
      <c r="S821" s="2">
        <v>0</v>
      </c>
      <c r="T821" s="2">
        <v>263</v>
      </c>
      <c r="U821" s="2">
        <f t="shared" si="62"/>
        <v>263</v>
      </c>
      <c r="V821" s="2">
        <v>775</v>
      </c>
      <c r="W821" s="2">
        <v>5862</v>
      </c>
      <c r="X821" s="2">
        <f t="shared" si="63"/>
        <v>5862</v>
      </c>
      <c r="Y821" s="2">
        <v>3089</v>
      </c>
      <c r="Z821" t="str" cm="1">
        <f t="array" ref="Z821">_xlfn.IFS(OR(R821&gt;66, S821&gt;38), "High Engagement", OR(AND(R821&gt;32, R821&lt;=66), AND(S821&gt;19, S821&lt;=38)), "Medium-High Engagement", OR(AND(R821&gt;4, R821&lt;=32), AND(S821&gt;6, S821&lt;=19)),"Medium Engagement", TRUE, "Low Engagement"
)</f>
        <v>Low Engagement</v>
      </c>
      <c r="AA821">
        <f t="shared" si="64"/>
        <v>0.52695325827362671</v>
      </c>
    </row>
    <row r="822" spans="1:27" x14ac:dyDescent="0.35">
      <c r="A822" s="2">
        <v>1644430081</v>
      </c>
      <c r="B822" s="2" t="s">
        <v>74</v>
      </c>
      <c r="C822" s="2">
        <f>VLOOKUP(user_activity!A3,users_details!$A$1:$G$34,5,0)</f>
        <v>18</v>
      </c>
      <c r="D822" s="2" t="str" cm="1">
        <f t="array" ref="D822">_xlfn.IFS( AND(C822&gt;=18, C822&lt;=25), "Emerging Adults",  AND(C822&gt;=26, C822&lt;=35),  "Young Adults",  AND(C822&gt;=36, C822&lt;=45),  "Midlife Adults",  AND(C822&gt;=46, C822&lt;=55), "Mature Adults", C822&gt;=56,  "Older Adults", TRUE, "Age Not Mentioned")</f>
        <v>Emerging Adults</v>
      </c>
      <c r="E822" s="2" t="str">
        <f>VLOOKUP(user_activity!A3,users_details!$A$1:$G$34,6,0)</f>
        <v>Hell's Kitchen, Manhattan</v>
      </c>
      <c r="F822" s="2" t="str">
        <f>VLOOKUP(user_activity!A3,users_details!$A$1:$G$34,7,0)</f>
        <v>Hell's Kitchen</v>
      </c>
      <c r="G822" s="2" t="s">
        <v>71</v>
      </c>
      <c r="H822" s="7">
        <v>42473</v>
      </c>
      <c r="I822" s="9" t="str">
        <f t="shared" si="60"/>
        <v>Wednesday</v>
      </c>
      <c r="J822" s="9" t="str">
        <f t="shared" si="61"/>
        <v>April</v>
      </c>
      <c r="K822" s="2">
        <v>5.8200001720000003</v>
      </c>
      <c r="L822" s="2">
        <v>5.8200001720000003</v>
      </c>
      <c r="M822" s="2">
        <v>0</v>
      </c>
      <c r="N822" s="2">
        <v>2.2799999710000001</v>
      </c>
      <c r="O822" s="2">
        <v>0.89999997600000003</v>
      </c>
      <c r="P822" s="2">
        <v>2.6400001049999999</v>
      </c>
      <c r="Q822" s="2">
        <v>0</v>
      </c>
      <c r="R822" s="2">
        <v>30</v>
      </c>
      <c r="S822" s="2">
        <v>16</v>
      </c>
      <c r="T822" s="2">
        <v>135</v>
      </c>
      <c r="U822" s="2">
        <f t="shared" si="62"/>
        <v>181</v>
      </c>
      <c r="V822" s="2">
        <v>1259</v>
      </c>
      <c r="W822" s="2">
        <v>8001</v>
      </c>
      <c r="X822" s="2">
        <f t="shared" si="63"/>
        <v>8001</v>
      </c>
      <c r="Y822" s="2">
        <v>2902</v>
      </c>
      <c r="Z822" t="str" cm="1">
        <f t="array" ref="Z822">_xlfn.IFS(OR(R822&gt;66, S822&gt;38), "High Engagement", OR(AND(R822&gt;32, R822&lt;=66), AND(S822&gt;19, S822&lt;=38)), "Medium-High Engagement", OR(AND(R822&gt;4, R822&lt;=32), AND(S822&gt;6, S822&lt;=19)),"Medium Engagement", TRUE, "Low Engagement"
)</f>
        <v>Medium Engagement</v>
      </c>
      <c r="AA822">
        <f t="shared" si="64"/>
        <v>0.36270466191726036</v>
      </c>
    </row>
    <row r="823" spans="1:27" x14ac:dyDescent="0.35">
      <c r="A823" s="2">
        <v>1644430081</v>
      </c>
      <c r="B823" s="2" t="s">
        <v>74</v>
      </c>
      <c r="C823" s="2">
        <f>VLOOKUP(user_activity!A28,users_details!$A$1:$G$34,5,0)</f>
        <v>18</v>
      </c>
      <c r="D823" s="2" t="str" cm="1">
        <f t="array" ref="D823">_xlfn.IFS( AND(C823&gt;=18, C823&lt;=25), "Emerging Adults",  AND(C823&gt;=26, C823&lt;=35),  "Young Adults",  AND(C823&gt;=36, C823&lt;=45),  "Midlife Adults",  AND(C823&gt;=46, C823&lt;=55), "Mature Adults", C823&gt;=56,  "Older Adults", TRUE, "Age Not Mentioned")</f>
        <v>Emerging Adults</v>
      </c>
      <c r="E823" s="2" t="str">
        <f>VLOOKUP(user_activity!A28,users_details!$A$1:$G$34,6,0)</f>
        <v>Hell's Kitchen, Manhattan</v>
      </c>
      <c r="F823" s="2" t="str">
        <f>VLOOKUP(user_activity!A28,users_details!$A$1:$G$34,7,0)</f>
        <v>Hell's Kitchen</v>
      </c>
      <c r="G823" s="2" t="s">
        <v>71</v>
      </c>
      <c r="H823" s="7">
        <v>42526</v>
      </c>
      <c r="I823" s="9" t="str">
        <f t="shared" si="60"/>
        <v>Sunday</v>
      </c>
      <c r="J823" s="9" t="str">
        <f t="shared" si="61"/>
        <v>June</v>
      </c>
      <c r="K823" s="2">
        <v>7.1199998860000004</v>
      </c>
      <c r="L823" s="2">
        <v>7.1199998860000004</v>
      </c>
      <c r="M823" s="2">
        <v>0</v>
      </c>
      <c r="N823" s="2">
        <v>0.81999999300000004</v>
      </c>
      <c r="O823" s="2">
        <v>0.27000001099999998</v>
      </c>
      <c r="P823" s="2">
        <v>6.0100002290000001</v>
      </c>
      <c r="Q823" s="2">
        <v>0.02</v>
      </c>
      <c r="R823" s="2">
        <v>11</v>
      </c>
      <c r="S823" s="2">
        <v>6</v>
      </c>
      <c r="T823" s="2">
        <v>369</v>
      </c>
      <c r="U823" s="2">
        <f t="shared" si="62"/>
        <v>386</v>
      </c>
      <c r="V823" s="2">
        <v>1054</v>
      </c>
      <c r="W823" s="2">
        <v>9787</v>
      </c>
      <c r="X823" s="2">
        <f t="shared" si="63"/>
        <v>9787</v>
      </c>
      <c r="Y823" s="2">
        <v>3328</v>
      </c>
      <c r="Z823" t="str" cm="1">
        <f t="array" ref="Z823">_xlfn.IFS(OR(R823&gt;66, S823&gt;38), "High Engagement", OR(AND(R823&gt;32, R823&lt;=66), AND(S823&gt;19, S823&lt;=38)), "Medium-High Engagement", OR(AND(R823&gt;4, R823&lt;=32), AND(S823&gt;6, S823&lt;=19)),"Medium Engagement", TRUE, "Low Engagement"
)</f>
        <v>Medium Engagement</v>
      </c>
      <c r="AA823">
        <f t="shared" si="64"/>
        <v>0.34004291406968429</v>
      </c>
    </row>
    <row r="824" spans="1:27" x14ac:dyDescent="0.35">
      <c r="A824" s="2">
        <v>1644430081</v>
      </c>
      <c r="B824" s="2" t="s">
        <v>74</v>
      </c>
      <c r="C824" s="2">
        <f>VLOOKUP(user_activity!A30,users_details!$A$1:$G$34,5,0)</f>
        <v>18</v>
      </c>
      <c r="D824" s="2" t="str" cm="1">
        <f t="array" ref="D824">_xlfn.IFS( AND(C824&gt;=18, C824&lt;=25), "Emerging Adults",  AND(C824&gt;=26, C824&lt;=35),  "Young Adults",  AND(C824&gt;=36, C824&lt;=45),  "Midlife Adults",  AND(C824&gt;=46, C824&lt;=55), "Mature Adults", C824&gt;=56,  "Older Adults", TRUE, "Age Not Mentioned")</f>
        <v>Emerging Adults</v>
      </c>
      <c r="E824" s="2" t="str">
        <f>VLOOKUP(user_activity!A30,users_details!$A$1:$G$34,6,0)</f>
        <v>Hell's Kitchen, Manhattan</v>
      </c>
      <c r="F824" s="2" t="str">
        <f>VLOOKUP(user_activity!A30,users_details!$A$1:$G$34,7,0)</f>
        <v>Hell's Kitchen</v>
      </c>
      <c r="G824" s="2" t="s">
        <v>71</v>
      </c>
      <c r="H824" s="7">
        <v>42480</v>
      </c>
      <c r="I824" s="9" t="str">
        <f t="shared" si="60"/>
        <v>Wednesday</v>
      </c>
      <c r="J824" s="9" t="str">
        <f t="shared" si="61"/>
        <v>April</v>
      </c>
      <c r="K824" s="2">
        <v>1.769999981</v>
      </c>
      <c r="L824" s="2">
        <v>1.769999981</v>
      </c>
      <c r="M824" s="2">
        <v>0</v>
      </c>
      <c r="N824" s="2">
        <v>0</v>
      </c>
      <c r="O824" s="2">
        <v>0</v>
      </c>
      <c r="P824" s="2">
        <v>1.7599999900000001</v>
      </c>
      <c r="Q824" s="2">
        <v>0.01</v>
      </c>
      <c r="R824" s="2">
        <v>0</v>
      </c>
      <c r="S824" s="2">
        <v>0</v>
      </c>
      <c r="T824" s="2">
        <v>125</v>
      </c>
      <c r="U824" s="2">
        <f t="shared" si="62"/>
        <v>125</v>
      </c>
      <c r="V824" s="2">
        <v>1315</v>
      </c>
      <c r="W824" s="2">
        <v>2436</v>
      </c>
      <c r="X824" s="2">
        <f t="shared" si="63"/>
        <v>2436</v>
      </c>
      <c r="Y824" s="2">
        <v>2430</v>
      </c>
      <c r="Z824" t="str" cm="1">
        <f t="array" ref="Z824">_xlfn.IFS(OR(R824&gt;66, S824&gt;38), "High Engagement", OR(AND(R824&gt;32, R824&lt;=66), AND(S824&gt;19, S824&lt;=38)), "Medium-High Engagement", OR(AND(R824&gt;4, R824&lt;=32), AND(S824&gt;6, S824&lt;=19)),"Medium Engagement", TRUE, "Low Engagement"
)</f>
        <v>Low Engagement</v>
      </c>
      <c r="AA824">
        <f t="shared" si="64"/>
        <v>0.99753694581280783</v>
      </c>
    </row>
    <row r="825" spans="1:27" x14ac:dyDescent="0.35">
      <c r="A825" s="2">
        <v>1644430081</v>
      </c>
      <c r="B825" s="2" t="s">
        <v>74</v>
      </c>
      <c r="C825" s="2">
        <f>VLOOKUP(user_activity!A40,users_details!$A$1:$G$34,5,0)</f>
        <v>18</v>
      </c>
      <c r="D825" s="2" t="str" cm="1">
        <f t="array" ref="D825">_xlfn.IFS( AND(C825&gt;=18, C825&lt;=25), "Emerging Adults",  AND(C825&gt;=26, C825&lt;=35),  "Young Adults",  AND(C825&gt;=36, C825&lt;=45),  "Midlife Adults",  AND(C825&gt;=46, C825&lt;=55), "Mature Adults", C825&gt;=56,  "Older Adults", TRUE, "Age Not Mentioned")</f>
        <v>Emerging Adults</v>
      </c>
      <c r="E825" s="2" t="str">
        <f>VLOOKUP(user_activity!A40,users_details!$A$1:$G$34,6,0)</f>
        <v>Hell's Kitchen, Manhattan</v>
      </c>
      <c r="F825" s="2" t="str">
        <f>VLOOKUP(user_activity!A40,users_details!$A$1:$G$34,7,0)</f>
        <v>Hell's Kitchen</v>
      </c>
      <c r="G825" s="2" t="s">
        <v>71</v>
      </c>
      <c r="H825" s="7">
        <v>42486</v>
      </c>
      <c r="I825" s="9" t="str">
        <f t="shared" si="60"/>
        <v>Tuesday</v>
      </c>
      <c r="J825" s="9" t="str">
        <f t="shared" si="61"/>
        <v>April</v>
      </c>
      <c r="K825" s="2">
        <v>7.2100000380000004</v>
      </c>
      <c r="L825" s="2">
        <v>7.2100000380000004</v>
      </c>
      <c r="M825" s="2">
        <v>0</v>
      </c>
      <c r="N825" s="2">
        <v>0.80000001200000004</v>
      </c>
      <c r="O825" s="2">
        <v>1.7200000289999999</v>
      </c>
      <c r="P825" s="2">
        <v>4.6900000569999998</v>
      </c>
      <c r="Q825" s="2">
        <v>0</v>
      </c>
      <c r="R825" s="2">
        <v>11</v>
      </c>
      <c r="S825" s="2">
        <v>41</v>
      </c>
      <c r="T825" s="2">
        <v>223</v>
      </c>
      <c r="U825" s="2">
        <f t="shared" si="62"/>
        <v>275</v>
      </c>
      <c r="V825" s="2">
        <v>1165</v>
      </c>
      <c r="W825" s="2">
        <v>9919</v>
      </c>
      <c r="X825" s="2">
        <f t="shared" si="63"/>
        <v>9919</v>
      </c>
      <c r="Y825" s="2">
        <v>3123</v>
      </c>
      <c r="Z825" t="str" cm="1">
        <f t="array" ref="Z825">_xlfn.IFS(OR(R825&gt;66, S825&gt;38), "High Engagement", OR(AND(R825&gt;32, R825&lt;=66), AND(S825&gt;19, S825&lt;=38)), "Medium-High Engagement", OR(AND(R825&gt;4, R825&lt;=32), AND(S825&gt;6, S825&lt;=19)),"Medium Engagement", TRUE, "Low Engagement"
)</f>
        <v>High Engagement</v>
      </c>
      <c r="AA825">
        <f t="shared" si="64"/>
        <v>0.31485028732735154</v>
      </c>
    </row>
    <row r="826" spans="1:27" x14ac:dyDescent="0.35">
      <c r="A826" s="2">
        <v>1644430081</v>
      </c>
      <c r="B826" s="2" t="s">
        <v>74</v>
      </c>
      <c r="C826" s="2">
        <f>VLOOKUP(user_activity!A65,users_details!$A$1:$G$34,5,0)</f>
        <v>21</v>
      </c>
      <c r="D826" s="2" t="str" cm="1">
        <f t="array" ref="D826">_xlfn.IFS( AND(C826&gt;=18, C826&lt;=25), "Emerging Adults",  AND(C826&gt;=26, C826&lt;=35),  "Young Adults",  AND(C826&gt;=36, C826&lt;=45),  "Midlife Adults",  AND(C826&gt;=46, C826&lt;=55), "Mature Adults", C826&gt;=56,  "Older Adults", TRUE, "Age Not Mentioned")</f>
        <v>Emerging Adults</v>
      </c>
      <c r="E826" s="2" t="str">
        <f>VLOOKUP(user_activity!A65,users_details!$A$1:$G$34,6,0)</f>
        <v>Bushwick, Brooklyn</v>
      </c>
      <c r="F826" s="2" t="str">
        <f>VLOOKUP(user_activity!A65,users_details!$A$1:$G$34,7,0)</f>
        <v>Bushwick</v>
      </c>
      <c r="G826" s="2" t="s">
        <v>71</v>
      </c>
      <c r="H826" s="7">
        <v>42477</v>
      </c>
      <c r="I826" s="9" t="str">
        <f t="shared" si="60"/>
        <v>Sunday</v>
      </c>
      <c r="J826" s="9" t="str">
        <f t="shared" si="61"/>
        <v>April</v>
      </c>
      <c r="K826" s="2">
        <v>6.3699998860000004</v>
      </c>
      <c r="L826" s="2">
        <v>6.3699998860000004</v>
      </c>
      <c r="M826" s="2">
        <v>0</v>
      </c>
      <c r="N826" s="2">
        <v>2.25</v>
      </c>
      <c r="O826" s="2">
        <v>0.56999999300000004</v>
      </c>
      <c r="P826" s="2">
        <v>3.5499999519999998</v>
      </c>
      <c r="Q826" s="2">
        <v>0</v>
      </c>
      <c r="R826" s="2">
        <v>29</v>
      </c>
      <c r="S826" s="2">
        <v>13</v>
      </c>
      <c r="T826" s="2">
        <v>186</v>
      </c>
      <c r="U826" s="2">
        <f t="shared" si="62"/>
        <v>228</v>
      </c>
      <c r="V826" s="2">
        <v>1212</v>
      </c>
      <c r="W826" s="2">
        <v>8757</v>
      </c>
      <c r="X826" s="2">
        <f t="shared" si="63"/>
        <v>8757</v>
      </c>
      <c r="Y826" s="2">
        <v>3011</v>
      </c>
      <c r="Z826" t="str" cm="1">
        <f t="array" ref="Z826">_xlfn.IFS(OR(R826&gt;66, S826&gt;38), "High Engagement", OR(AND(R826&gt;32, R826&lt;=66), AND(S826&gt;19, S826&lt;=38)), "Medium-High Engagement", OR(AND(R826&gt;4, R826&lt;=32), AND(S826&gt;6, S826&lt;=19)),"Medium Engagement", TRUE, "Low Engagement"
)</f>
        <v>Medium Engagement</v>
      </c>
      <c r="AA826">
        <f t="shared" si="64"/>
        <v>0.34383921434281145</v>
      </c>
    </row>
    <row r="827" spans="1:27" x14ac:dyDescent="0.35">
      <c r="A827" s="2">
        <v>1644430081</v>
      </c>
      <c r="B827" s="2" t="s">
        <v>74</v>
      </c>
      <c r="C827" s="2">
        <f>VLOOKUP(user_activity!A83,users_details!$A$1:$G$34,5,0)</f>
        <v>21</v>
      </c>
      <c r="D827" s="2" t="str" cm="1">
        <f t="array" ref="D827">_xlfn.IFS( AND(C827&gt;=18, C827&lt;=25), "Emerging Adults",  AND(C827&gt;=26, C827&lt;=35),  "Young Adults",  AND(C827&gt;=36, C827&lt;=45),  "Midlife Adults",  AND(C827&gt;=46, C827&lt;=55), "Mature Adults", C827&gt;=56,  "Older Adults", TRUE, "Age Not Mentioned")</f>
        <v>Emerging Adults</v>
      </c>
      <c r="E827" s="2" t="str">
        <f>VLOOKUP(user_activity!A83,users_details!$A$1:$G$34,6,0)</f>
        <v>Bushwick, Brooklyn</v>
      </c>
      <c r="F827" s="2" t="str">
        <f>VLOOKUP(user_activity!A83,users_details!$A$1:$G$34,7,0)</f>
        <v>Bushwick</v>
      </c>
      <c r="G827" s="2" t="s">
        <v>71</v>
      </c>
      <c r="H827" s="7">
        <v>42482</v>
      </c>
      <c r="I827" s="9" t="str">
        <f t="shared" si="60"/>
        <v>Friday</v>
      </c>
      <c r="J827" s="9" t="str">
        <f t="shared" si="61"/>
        <v>April</v>
      </c>
      <c r="K827" s="2">
        <v>2.670000076</v>
      </c>
      <c r="L827" s="2">
        <v>2.670000076</v>
      </c>
      <c r="M827" s="2">
        <v>0</v>
      </c>
      <c r="N827" s="2">
        <v>0</v>
      </c>
      <c r="O827" s="2">
        <v>0</v>
      </c>
      <c r="P827" s="2">
        <v>2.6600000860000002</v>
      </c>
      <c r="Q827" s="2">
        <v>0.01</v>
      </c>
      <c r="R827" s="2">
        <v>0</v>
      </c>
      <c r="S827" s="2">
        <v>0</v>
      </c>
      <c r="T827" s="2">
        <v>86</v>
      </c>
      <c r="U827" s="2">
        <f t="shared" si="62"/>
        <v>86</v>
      </c>
      <c r="V827" s="2">
        <v>1354</v>
      </c>
      <c r="W827" s="2">
        <v>3673</v>
      </c>
      <c r="X827" s="2">
        <f t="shared" si="63"/>
        <v>3673</v>
      </c>
      <c r="Y827" s="2">
        <v>2344</v>
      </c>
      <c r="Z827" t="str" cm="1">
        <f t="array" ref="Z827">_xlfn.IFS(OR(R827&gt;66, S827&gt;38), "High Engagement", OR(AND(R827&gt;32, R827&lt;=66), AND(S827&gt;19, S827&lt;=38)), "Medium-High Engagement", OR(AND(R827&gt;4, R827&lt;=32), AND(S827&gt;6, S827&lt;=19)),"Medium Engagement", TRUE, "Low Engagement"
)</f>
        <v>Low Engagement</v>
      </c>
      <c r="AA827">
        <f t="shared" si="64"/>
        <v>0.63817043288864683</v>
      </c>
    </row>
    <row r="828" spans="1:27" x14ac:dyDescent="0.35">
      <c r="A828" s="2">
        <v>1644430081</v>
      </c>
      <c r="B828" s="2" t="s">
        <v>74</v>
      </c>
      <c r="C828" s="2">
        <f>VLOOKUP(user_activity!A111,users_details!$A$1:$G$34,5,0)</f>
        <v>22</v>
      </c>
      <c r="D828" s="2" t="str" cm="1">
        <f t="array" ref="D828">_xlfn.IFS( AND(C828&gt;=18, C828&lt;=25), "Emerging Adults",  AND(C828&gt;=26, C828&lt;=35),  "Young Adults",  AND(C828&gt;=36, C828&lt;=45),  "Midlife Adults",  AND(C828&gt;=46, C828&lt;=55), "Mature Adults", C828&gt;=56,  "Older Adults", TRUE, "Age Not Mentioned")</f>
        <v>Emerging Adults</v>
      </c>
      <c r="E828" s="2" t="str">
        <f>VLOOKUP(user_activity!A111,users_details!$A$1:$G$34,6,0)</f>
        <v>Washington Heights, Manhattan</v>
      </c>
      <c r="F828" s="2" t="str">
        <f>VLOOKUP(user_activity!A111,users_details!$A$1:$G$34,7,0)</f>
        <v>Washington Heights</v>
      </c>
      <c r="G828" s="2" t="s">
        <v>71</v>
      </c>
      <c r="H828" s="7">
        <v>42476</v>
      </c>
      <c r="I828" s="9" t="str">
        <f t="shared" si="60"/>
        <v>Saturday</v>
      </c>
      <c r="J828" s="9" t="str">
        <f t="shared" si="61"/>
        <v>April</v>
      </c>
      <c r="K828" s="2">
        <v>11.119999890000001</v>
      </c>
      <c r="L828" s="2">
        <v>11.119999890000001</v>
      </c>
      <c r="M828" s="2">
        <v>0</v>
      </c>
      <c r="N828" s="2">
        <v>4.0999999049999998</v>
      </c>
      <c r="O828" s="2">
        <v>1.8799999949999999</v>
      </c>
      <c r="P828" s="2">
        <v>5.0900001530000001</v>
      </c>
      <c r="Q828" s="2">
        <v>0</v>
      </c>
      <c r="R828" s="2">
        <v>51</v>
      </c>
      <c r="S828" s="2">
        <v>42</v>
      </c>
      <c r="T828" s="2">
        <v>212</v>
      </c>
      <c r="U828" s="2">
        <f t="shared" si="62"/>
        <v>305</v>
      </c>
      <c r="V828" s="2">
        <v>1135</v>
      </c>
      <c r="W828" s="2">
        <v>15300</v>
      </c>
      <c r="X828" s="2">
        <f t="shared" si="63"/>
        <v>15300</v>
      </c>
      <c r="Y828" s="2">
        <v>3493</v>
      </c>
      <c r="Z828" t="str" cm="1">
        <f t="array" ref="Z828">_xlfn.IFS(OR(R828&gt;66, S828&gt;38), "High Engagement", OR(AND(R828&gt;32, R828&lt;=66), AND(S828&gt;19, S828&lt;=38)), "Medium-High Engagement", OR(AND(R828&gt;4, R828&lt;=32), AND(S828&gt;6, S828&lt;=19)),"Medium Engagement", TRUE, "Low Engagement"
)</f>
        <v>High Engagement</v>
      </c>
      <c r="AA828">
        <f t="shared" si="64"/>
        <v>0.22830065359477125</v>
      </c>
    </row>
    <row r="829" spans="1:27" x14ac:dyDescent="0.35">
      <c r="A829" s="2">
        <v>1644430081</v>
      </c>
      <c r="B829" s="2" t="s">
        <v>74</v>
      </c>
      <c r="C829" s="2">
        <f>VLOOKUP(user_activity!A150,users_details!$A$1:$G$34,5,0)</f>
        <v>23</v>
      </c>
      <c r="D829" s="2" t="str" cm="1">
        <f t="array" ref="D829">_xlfn.IFS( AND(C829&gt;=18, C829&lt;=25), "Emerging Adults",  AND(C829&gt;=26, C829&lt;=35),  "Young Adults",  AND(C829&gt;=36, C829&lt;=45),  "Midlife Adults",  AND(C829&gt;=46, C829&lt;=55), "Mature Adults", C829&gt;=56,  "Older Adults", TRUE, "Age Not Mentioned")</f>
        <v>Emerging Adults</v>
      </c>
      <c r="E829" s="2" t="str">
        <f>VLOOKUP(user_activity!A150,users_details!$A$1:$G$34,6,0)</f>
        <v>Washington Heights, Manhattan</v>
      </c>
      <c r="F829" s="2" t="str">
        <f>VLOOKUP(user_activity!A150,users_details!$A$1:$G$34,7,0)</f>
        <v>Washington Heights</v>
      </c>
      <c r="G829" s="2" t="s">
        <v>71</v>
      </c>
      <c r="H829" s="7">
        <v>42488</v>
      </c>
      <c r="I829" s="9" t="str">
        <f t="shared" si="60"/>
        <v>Thursday</v>
      </c>
      <c r="J829" s="9" t="str">
        <f t="shared" si="61"/>
        <v>April</v>
      </c>
      <c r="K829" s="2">
        <v>6.8400001530000001</v>
      </c>
      <c r="L829" s="2">
        <v>6.8400001530000001</v>
      </c>
      <c r="M829" s="2">
        <v>0</v>
      </c>
      <c r="N829" s="2">
        <v>0.20000000300000001</v>
      </c>
      <c r="O829" s="2">
        <v>2.3199999330000001</v>
      </c>
      <c r="P829" s="2">
        <v>4.3099999430000002</v>
      </c>
      <c r="Q829" s="2">
        <v>0</v>
      </c>
      <c r="R829" s="2">
        <v>3</v>
      </c>
      <c r="S829" s="2">
        <v>53</v>
      </c>
      <c r="T829" s="2">
        <v>227</v>
      </c>
      <c r="U829" s="2">
        <f t="shared" si="62"/>
        <v>283</v>
      </c>
      <c r="V829" s="2">
        <v>1157</v>
      </c>
      <c r="W829" s="2">
        <v>9405</v>
      </c>
      <c r="X829" s="2">
        <f t="shared" si="63"/>
        <v>9405</v>
      </c>
      <c r="Y829" s="2">
        <v>3108</v>
      </c>
      <c r="Z829" t="str" cm="1">
        <f t="array" ref="Z829">_xlfn.IFS(OR(R829&gt;66, S829&gt;38), "High Engagement", OR(AND(R829&gt;32, R829&lt;=66), AND(S829&gt;19, S829&lt;=38)), "Medium-High Engagement", OR(AND(R829&gt;4, R829&lt;=32), AND(S829&gt;6, S829&lt;=19)),"Medium Engagement", TRUE, "Low Engagement"
)</f>
        <v>High Engagement</v>
      </c>
      <c r="AA829">
        <f t="shared" si="64"/>
        <v>0.33046251993620412</v>
      </c>
    </row>
    <row r="830" spans="1:27" x14ac:dyDescent="0.35">
      <c r="A830" s="2">
        <v>1644430081</v>
      </c>
      <c r="B830" s="2" t="s">
        <v>74</v>
      </c>
      <c r="C830" s="2">
        <f>VLOOKUP(user_activity!A158,users_details!$A$1:$G$34,5,0)</f>
        <v>23</v>
      </c>
      <c r="D830" s="2" t="str" cm="1">
        <f t="array" ref="D830">_xlfn.IFS( AND(C830&gt;=18, C830&lt;=25), "Emerging Adults",  AND(C830&gt;=26, C830&lt;=35),  "Young Adults",  AND(C830&gt;=36, C830&lt;=45),  "Midlife Adults",  AND(C830&gt;=46, C830&lt;=55), "Mature Adults", C830&gt;=56,  "Older Adults", TRUE, "Age Not Mentioned")</f>
        <v>Emerging Adults</v>
      </c>
      <c r="E830" s="2" t="str">
        <f>VLOOKUP(user_activity!A158,users_details!$A$1:$G$34,6,0)</f>
        <v>Crown Heights, Brooklyn</v>
      </c>
      <c r="F830" s="2" t="str">
        <f>VLOOKUP(user_activity!A158,users_details!$A$1:$G$34,7,0)</f>
        <v>Crown Heights</v>
      </c>
      <c r="G830" s="2" t="s">
        <v>71</v>
      </c>
      <c r="H830" s="7">
        <v>42475</v>
      </c>
      <c r="I830" s="9" t="str">
        <f t="shared" si="60"/>
        <v>Friday</v>
      </c>
      <c r="J830" s="9" t="str">
        <f t="shared" si="61"/>
        <v>April</v>
      </c>
      <c r="K830" s="2">
        <v>3.829999924</v>
      </c>
      <c r="L830" s="2">
        <v>3.829999924</v>
      </c>
      <c r="M830" s="2">
        <v>0</v>
      </c>
      <c r="N830" s="2">
        <v>0.219999999</v>
      </c>
      <c r="O830" s="2">
        <v>0.15000000599999999</v>
      </c>
      <c r="P830" s="2">
        <v>3.4500000480000002</v>
      </c>
      <c r="Q830" s="2">
        <v>0</v>
      </c>
      <c r="R830" s="2">
        <v>3</v>
      </c>
      <c r="S830" s="2">
        <v>4</v>
      </c>
      <c r="T830" s="2">
        <v>170</v>
      </c>
      <c r="U830" s="2">
        <f t="shared" si="62"/>
        <v>177</v>
      </c>
      <c r="V830" s="2">
        <v>1263</v>
      </c>
      <c r="W830" s="2">
        <v>5263</v>
      </c>
      <c r="X830" s="2">
        <f t="shared" si="63"/>
        <v>5263</v>
      </c>
      <c r="Y830" s="2">
        <v>2750</v>
      </c>
      <c r="Z830" t="str" cm="1">
        <f t="array" ref="Z830">_xlfn.IFS(OR(R830&gt;66, S830&gt;38), "High Engagement", OR(AND(R830&gt;32, R830&lt;=66), AND(S830&gt;19, S830&lt;=38)), "Medium-High Engagement", OR(AND(R830&gt;4, R830&lt;=32), AND(S830&gt;6, S830&lt;=19)),"Medium Engagement", TRUE, "Low Engagement"
)</f>
        <v>Low Engagement</v>
      </c>
      <c r="AA830">
        <f t="shared" si="64"/>
        <v>0.52251567547026412</v>
      </c>
    </row>
    <row r="831" spans="1:27" x14ac:dyDescent="0.35">
      <c r="A831" s="2">
        <v>1644430081</v>
      </c>
      <c r="B831" s="2" t="s">
        <v>74</v>
      </c>
      <c r="C831" s="2">
        <f>VLOOKUP(user_activity!A187,users_details!$A$1:$G$34,5,0)</f>
        <v>23</v>
      </c>
      <c r="D831" s="2" t="str" cm="1">
        <f t="array" ref="D831">_xlfn.IFS( AND(C831&gt;=18, C831&lt;=25), "Emerging Adults",  AND(C831&gt;=26, C831&lt;=35),  "Young Adults",  AND(C831&gt;=36, C831&lt;=45),  "Midlife Adults",  AND(C831&gt;=46, C831&lt;=55), "Mature Adults", C831&gt;=56,  "Older Adults", TRUE, "Age Not Mentioned")</f>
        <v>Emerging Adults</v>
      </c>
      <c r="E831" s="2" t="str">
        <f>VLOOKUP(user_activity!A187,users_details!$A$1:$G$34,6,0)</f>
        <v>Crown Heights, Brooklyn</v>
      </c>
      <c r="F831" s="2" t="str">
        <f>VLOOKUP(user_activity!A187,users_details!$A$1:$G$34,7,0)</f>
        <v>Crown Heights</v>
      </c>
      <c r="G831" s="2" t="s">
        <v>71</v>
      </c>
      <c r="H831" s="7">
        <v>42487</v>
      </c>
      <c r="I831" s="9" t="str">
        <f t="shared" si="60"/>
        <v>Wednesday</v>
      </c>
      <c r="J831" s="9" t="str">
        <f t="shared" si="61"/>
        <v>April</v>
      </c>
      <c r="K831" s="2">
        <v>2.2000000480000002</v>
      </c>
      <c r="L831" s="2">
        <v>2.2000000480000002</v>
      </c>
      <c r="M831" s="2">
        <v>0</v>
      </c>
      <c r="N831" s="2">
        <v>0</v>
      </c>
      <c r="O831" s="2">
        <v>0</v>
      </c>
      <c r="P831" s="2">
        <v>2.2000000480000002</v>
      </c>
      <c r="Q831" s="2">
        <v>0</v>
      </c>
      <c r="R831" s="2">
        <v>0</v>
      </c>
      <c r="S831" s="2">
        <v>0</v>
      </c>
      <c r="T831" s="2">
        <v>118</v>
      </c>
      <c r="U831" s="2">
        <f t="shared" si="62"/>
        <v>118</v>
      </c>
      <c r="V831" s="2">
        <v>1322</v>
      </c>
      <c r="W831" s="2">
        <v>3032</v>
      </c>
      <c r="X831" s="2">
        <f t="shared" si="63"/>
        <v>3032</v>
      </c>
      <c r="Y831" s="2">
        <v>2489</v>
      </c>
      <c r="Z831" t="str" cm="1">
        <f t="array" ref="Z831">_xlfn.IFS(OR(R831&gt;66, S831&gt;38), "High Engagement", OR(AND(R831&gt;32, R831&lt;=66), AND(S831&gt;19, S831&lt;=38)), "Medium-High Engagement", OR(AND(R831&gt;4, R831&lt;=32), AND(S831&gt;6, S831&lt;=19)),"Medium Engagement", TRUE, "Low Engagement"
)</f>
        <v>Low Engagement</v>
      </c>
      <c r="AA831">
        <f t="shared" si="64"/>
        <v>0.82091029023746698</v>
      </c>
    </row>
    <row r="832" spans="1:27" x14ac:dyDescent="0.35">
      <c r="A832" s="2">
        <v>1644430081</v>
      </c>
      <c r="B832" s="2" t="s">
        <v>74</v>
      </c>
      <c r="C832" s="2">
        <f>VLOOKUP(user_activity!A190,users_details!$A$1:$G$34,5,0)</f>
        <v>23</v>
      </c>
      <c r="D832" s="2" t="str" cm="1">
        <f t="array" ref="D832">_xlfn.IFS( AND(C832&gt;=18, C832&lt;=25), "Emerging Adults",  AND(C832&gt;=26, C832&lt;=35),  "Young Adults",  AND(C832&gt;=36, C832&lt;=45),  "Midlife Adults",  AND(C832&gt;=46, C832&lt;=55), "Mature Adults", C832&gt;=56,  "Older Adults", TRUE, "Age Not Mentioned")</f>
        <v>Emerging Adults</v>
      </c>
      <c r="E832" s="2" t="str">
        <f>VLOOKUP(user_activity!A190,users_details!$A$1:$G$34,6,0)</f>
        <v>Crown Heights, Brooklyn</v>
      </c>
      <c r="F832" s="2" t="str">
        <f>VLOOKUP(user_activity!A190,users_details!$A$1:$G$34,7,0)</f>
        <v>Crown Heights</v>
      </c>
      <c r="G832" s="2" t="s">
        <v>71</v>
      </c>
      <c r="H832" s="7">
        <v>42405</v>
      </c>
      <c r="I832" s="9" t="str">
        <f t="shared" si="60"/>
        <v>Friday</v>
      </c>
      <c r="J832" s="9" t="str">
        <f t="shared" si="61"/>
        <v>February</v>
      </c>
      <c r="K832" s="2">
        <v>2.7300000190000002</v>
      </c>
      <c r="L832" s="2">
        <v>2.7300000190000002</v>
      </c>
      <c r="M832" s="2">
        <v>0</v>
      </c>
      <c r="N832" s="2">
        <v>7.0000000000000007E-2</v>
      </c>
      <c r="O832" s="2">
        <v>0.310000002</v>
      </c>
      <c r="P832" s="2">
        <v>2.3499999049999998</v>
      </c>
      <c r="Q832" s="2">
        <v>0</v>
      </c>
      <c r="R832" s="2">
        <v>1</v>
      </c>
      <c r="S832" s="2">
        <v>7</v>
      </c>
      <c r="T832" s="2">
        <v>148</v>
      </c>
      <c r="U832" s="2">
        <f t="shared" si="62"/>
        <v>156</v>
      </c>
      <c r="V832" s="2">
        <v>682</v>
      </c>
      <c r="W832" s="2">
        <v>3758</v>
      </c>
      <c r="X832" s="2">
        <f t="shared" si="63"/>
        <v>3758</v>
      </c>
      <c r="Y832" s="2">
        <v>2580</v>
      </c>
      <c r="Z832" t="str" cm="1">
        <f t="array" ref="Z832">_xlfn.IFS(OR(R832&gt;66, S832&gt;38), "High Engagement", OR(AND(R832&gt;32, R832&lt;=66), AND(S832&gt;19, S832&lt;=38)), "Medium-High Engagement", OR(AND(R832&gt;4, R832&lt;=32), AND(S832&gt;6, S832&lt;=19)),"Medium Engagement", TRUE, "Low Engagement"
)</f>
        <v>Medium Engagement</v>
      </c>
      <c r="AA832">
        <f t="shared" si="64"/>
        <v>0.68653539116551354</v>
      </c>
    </row>
    <row r="833" spans="1:27" x14ac:dyDescent="0.35">
      <c r="A833" s="2">
        <v>1644430081</v>
      </c>
      <c r="B833" s="2" t="s">
        <v>74</v>
      </c>
      <c r="C833" s="2">
        <f>VLOOKUP(user_activity!A215,users_details!$A$1:$G$34,5,0)</f>
        <v>24</v>
      </c>
      <c r="D833" s="2" t="str" cm="1">
        <f t="array" ref="D833">_xlfn.IFS( AND(C833&gt;=18, C833&lt;=25), "Emerging Adults",  AND(C833&gt;=26, C833&lt;=35),  "Young Adults",  AND(C833&gt;=36, C833&lt;=45),  "Midlife Adults",  AND(C833&gt;=46, C833&lt;=55), "Mature Adults", C833&gt;=56,  "Older Adults", TRUE, "Age Not Mentioned")</f>
        <v>Emerging Adults</v>
      </c>
      <c r="E833" s="2" t="str">
        <f>VLOOKUP(user_activity!A215,users_details!$A$1:$G$34,6,0)</f>
        <v>East Village, Manhattan</v>
      </c>
      <c r="F833" s="2" t="str">
        <f>VLOOKUP(user_activity!A215,users_details!$A$1:$G$34,7,0)</f>
        <v>East Village</v>
      </c>
      <c r="G833" s="2" t="s">
        <v>71</v>
      </c>
      <c r="H833" s="7">
        <v>42465</v>
      </c>
      <c r="I833" s="9" t="str">
        <f t="shared" si="60"/>
        <v>Tuesday</v>
      </c>
      <c r="J833" s="9" t="str">
        <f t="shared" si="61"/>
        <v>April</v>
      </c>
      <c r="K833" s="2">
        <v>1.6799999480000001</v>
      </c>
      <c r="L833" s="2">
        <v>1.6799999480000001</v>
      </c>
      <c r="M833" s="2">
        <v>0</v>
      </c>
      <c r="N833" s="2">
        <v>0</v>
      </c>
      <c r="O833" s="2">
        <v>0</v>
      </c>
      <c r="P833" s="2">
        <v>1.6599999670000001</v>
      </c>
      <c r="Q833" s="2">
        <v>0.02</v>
      </c>
      <c r="R833" s="2">
        <v>0</v>
      </c>
      <c r="S833" s="2">
        <v>0</v>
      </c>
      <c r="T833" s="2">
        <v>52</v>
      </c>
      <c r="U833" s="2">
        <f t="shared" si="62"/>
        <v>52</v>
      </c>
      <c r="V833" s="2">
        <v>1388</v>
      </c>
      <c r="W833" s="2">
        <v>2309</v>
      </c>
      <c r="X833" s="2">
        <f t="shared" si="63"/>
        <v>2309</v>
      </c>
      <c r="Y833" s="2">
        <v>2222</v>
      </c>
      <c r="Z833" t="str" cm="1">
        <f t="array" ref="Z833">_xlfn.IFS(OR(R833&gt;66, S833&gt;38), "High Engagement", OR(AND(R833&gt;32, R833&lt;=66), AND(S833&gt;19, S833&lt;=38)), "Medium-High Engagement", OR(AND(R833&gt;4, R833&lt;=32), AND(S833&gt;6, S833&lt;=19)),"Medium Engagement", TRUE, "Low Engagement"
)</f>
        <v>Low Engagement</v>
      </c>
      <c r="AA833">
        <f t="shared" si="64"/>
        <v>0.96232135123430051</v>
      </c>
    </row>
    <row r="834" spans="1:27" x14ac:dyDescent="0.35">
      <c r="A834" s="2">
        <v>1644430081</v>
      </c>
      <c r="B834" s="2" t="s">
        <v>74</v>
      </c>
      <c r="C834" s="2">
        <f>VLOOKUP(user_activity!A233,users_details!$A$1:$G$34,5,0)</f>
        <v>24</v>
      </c>
      <c r="D834" s="2" t="str" cm="1">
        <f t="array" ref="D834">_xlfn.IFS( AND(C834&gt;=18, C834&lt;=25), "Emerging Adults",  AND(C834&gt;=26, C834&lt;=35),  "Young Adults",  AND(C834&gt;=36, C834&lt;=45),  "Midlife Adults",  AND(C834&gt;=46, C834&lt;=55), "Mature Adults", C834&gt;=56,  "Older Adults", TRUE, "Age Not Mentioned")</f>
        <v>Emerging Adults</v>
      </c>
      <c r="E834" s="2" t="str">
        <f>VLOOKUP(user_activity!A233,users_details!$A$1:$G$34,6,0)</f>
        <v>East Village, Manhattan</v>
      </c>
      <c r="F834" s="2" t="str">
        <f>VLOOKUP(user_activity!A233,users_details!$A$1:$G$34,7,0)</f>
        <v>East Village</v>
      </c>
      <c r="G834" s="2" t="s">
        <v>71</v>
      </c>
      <c r="H834" s="7">
        <v>42374</v>
      </c>
      <c r="I834" s="9" t="str">
        <f t="shared" ref="I834:I897" si="65">TEXT(H834, "dddd")</f>
        <v>Tuesday</v>
      </c>
      <c r="J834" s="9" t="str">
        <f t="shared" ref="J834:J897" si="66">TEXT(H834, "mmmm")</f>
        <v>January</v>
      </c>
      <c r="K834" s="2">
        <v>4.4600000380000004</v>
      </c>
      <c r="L834" s="2">
        <v>4.4600000380000004</v>
      </c>
      <c r="M834" s="2">
        <v>0</v>
      </c>
      <c r="N834" s="2">
        <v>0.23999999499999999</v>
      </c>
      <c r="O834" s="2">
        <v>0.99000001000000004</v>
      </c>
      <c r="P834" s="2">
        <v>3.2300000190000002</v>
      </c>
      <c r="Q834" s="2">
        <v>0</v>
      </c>
      <c r="R834" s="2">
        <v>3</v>
      </c>
      <c r="S834" s="2">
        <v>24</v>
      </c>
      <c r="T834" s="2">
        <v>146</v>
      </c>
      <c r="U834" s="2">
        <f t="shared" ref="U834:U897" si="67">R834+S834+T834</f>
        <v>173</v>
      </c>
      <c r="V834" s="2">
        <v>908</v>
      </c>
      <c r="W834" s="2">
        <v>6132</v>
      </c>
      <c r="X834" s="2">
        <f t="shared" ref="X834:X897" si="68">IF(W834=0,MEDIAN($W$2:$W$941),W834)</f>
        <v>6132</v>
      </c>
      <c r="Y834" s="2">
        <v>2696</v>
      </c>
      <c r="Z834" t="str" cm="1">
        <f t="array" ref="Z834">_xlfn.IFS(OR(R834&gt;66, S834&gt;38), "High Engagement", OR(AND(R834&gt;32, R834&lt;=66), AND(S834&gt;19, S834&lt;=38)), "Medium-High Engagement", OR(AND(R834&gt;4, R834&lt;=32), AND(S834&gt;6, S834&lt;=19)),"Medium Engagement", TRUE, "Low Engagement"
)</f>
        <v>Medium-High Engagement</v>
      </c>
      <c r="AA834">
        <f t="shared" si="64"/>
        <v>0.43966079582517936</v>
      </c>
    </row>
    <row r="835" spans="1:27" x14ac:dyDescent="0.35">
      <c r="A835" s="2">
        <v>1644430081</v>
      </c>
      <c r="B835" s="2" t="s">
        <v>74</v>
      </c>
      <c r="C835" s="2">
        <f>VLOOKUP(user_activity!A280,users_details!$A$1:$G$34,5,0)</f>
        <v>29</v>
      </c>
      <c r="D835" s="2" t="str" cm="1">
        <f t="array" ref="D835">_xlfn.IFS( AND(C835&gt;=18, C835&lt;=25), "Emerging Adults",  AND(C835&gt;=26, C835&lt;=35),  "Young Adults",  AND(C835&gt;=36, C835&lt;=45),  "Midlife Adults",  AND(C835&gt;=46, C835&lt;=55), "Mature Adults", C835&gt;=56,  "Older Adults", TRUE, "Age Not Mentioned")</f>
        <v>Young Adults</v>
      </c>
      <c r="E835" s="2" t="str">
        <f>VLOOKUP(user_activity!A280,users_details!$A$1:$G$34,6,0)</f>
        <v>Crown Heights, Brooklyn</v>
      </c>
      <c r="F835" s="2" t="str">
        <f>VLOOKUP(user_activity!A280,users_details!$A$1:$G$34,7,0)</f>
        <v>Crown Heights</v>
      </c>
      <c r="G835" s="2" t="s">
        <v>71</v>
      </c>
      <c r="H835" s="7">
        <v>42489</v>
      </c>
      <c r="I835" s="9" t="str">
        <f t="shared" si="65"/>
        <v>Friday</v>
      </c>
      <c r="J835" s="9" t="str">
        <f t="shared" si="66"/>
        <v>April</v>
      </c>
      <c r="K835" s="2">
        <v>2.3099999430000002</v>
      </c>
      <c r="L835" s="2">
        <v>2.3099999430000002</v>
      </c>
      <c r="M835" s="2">
        <v>0</v>
      </c>
      <c r="N835" s="2">
        <v>0</v>
      </c>
      <c r="O835" s="2">
        <v>0</v>
      </c>
      <c r="P835" s="2">
        <v>2.3099999430000002</v>
      </c>
      <c r="Q835" s="2">
        <v>0</v>
      </c>
      <c r="R835" s="2">
        <v>0</v>
      </c>
      <c r="S835" s="2">
        <v>0</v>
      </c>
      <c r="T835" s="2">
        <v>120</v>
      </c>
      <c r="U835" s="2">
        <f t="shared" si="67"/>
        <v>120</v>
      </c>
      <c r="V835" s="2">
        <v>1193</v>
      </c>
      <c r="W835" s="2">
        <v>3176</v>
      </c>
      <c r="X835" s="2">
        <f t="shared" si="68"/>
        <v>3176</v>
      </c>
      <c r="Y835" s="2">
        <v>2498</v>
      </c>
      <c r="Z835" t="str" cm="1">
        <f t="array" ref="Z835">_xlfn.IFS(OR(R835&gt;66, S835&gt;38), "High Engagement", OR(AND(R835&gt;32, R835&lt;=66), AND(S835&gt;19, S835&lt;=38)), "Medium-High Engagement", OR(AND(R835&gt;4, R835&lt;=32), AND(S835&gt;6, S835&lt;=19)),"Medium Engagement", TRUE, "Low Engagement"
)</f>
        <v>Low Engagement</v>
      </c>
      <c r="AA835">
        <f t="shared" ref="AA835:AA898" si="69">IF(W835&gt;0, Y835/W835, 0)</f>
        <v>0.78652392947103278</v>
      </c>
    </row>
    <row r="836" spans="1:27" x14ac:dyDescent="0.35">
      <c r="A836" s="2">
        <v>1644430081</v>
      </c>
      <c r="B836" s="2" t="s">
        <v>74</v>
      </c>
      <c r="C836" s="2">
        <f>VLOOKUP(user_activity!A303,users_details!$A$1:$G$34,5,0)</f>
        <v>30</v>
      </c>
      <c r="D836" s="2" t="str" cm="1">
        <f t="array" ref="D836">_xlfn.IFS( AND(C836&gt;=18, C836&lt;=25), "Emerging Adults",  AND(C836&gt;=26, C836&lt;=35),  "Young Adults",  AND(C836&gt;=36, C836&lt;=45),  "Midlife Adults",  AND(C836&gt;=46, C836&lt;=55), "Mature Adults", C836&gt;=56,  "Older Adults", TRUE, "Age Not Mentioned")</f>
        <v>Young Adults</v>
      </c>
      <c r="E836" s="2" t="str">
        <f>VLOOKUP(user_activity!A303,users_details!$A$1:$G$34,6,0)</f>
        <v>Clinton Hill, Brooklyn</v>
      </c>
      <c r="F836" s="2" t="str">
        <f>VLOOKUP(user_activity!A303,users_details!$A$1:$G$34,7,0)</f>
        <v>Clinton Hill</v>
      </c>
      <c r="G836" s="2" t="s">
        <v>71</v>
      </c>
      <c r="H836" s="7">
        <v>42648</v>
      </c>
      <c r="I836" s="9" t="str">
        <f t="shared" si="65"/>
        <v>Wednesday</v>
      </c>
      <c r="J836" s="9" t="str">
        <f t="shared" si="66"/>
        <v>October</v>
      </c>
      <c r="K836" s="2">
        <v>6.6599998469999999</v>
      </c>
      <c r="L836" s="2">
        <v>6.6599998469999999</v>
      </c>
      <c r="M836" s="2">
        <v>0</v>
      </c>
      <c r="N836" s="2">
        <v>0.87999999500000003</v>
      </c>
      <c r="O836" s="2">
        <v>0.810000002</v>
      </c>
      <c r="P836" s="2">
        <v>4.9699997900000001</v>
      </c>
      <c r="Q836" s="2">
        <v>0.01</v>
      </c>
      <c r="R836" s="2">
        <v>12</v>
      </c>
      <c r="S836" s="2">
        <v>19</v>
      </c>
      <c r="T836" s="2">
        <v>155</v>
      </c>
      <c r="U836" s="2">
        <f t="shared" si="67"/>
        <v>186</v>
      </c>
      <c r="V836" s="2">
        <v>1254</v>
      </c>
      <c r="W836" s="2">
        <v>9167</v>
      </c>
      <c r="X836" s="2">
        <f t="shared" si="68"/>
        <v>9167</v>
      </c>
      <c r="Y836" s="2">
        <v>2799</v>
      </c>
      <c r="Z836" t="str" cm="1">
        <f t="array" ref="Z836">_xlfn.IFS(OR(R836&gt;66, S836&gt;38), "High Engagement", OR(AND(R836&gt;32, R836&lt;=66), AND(S836&gt;19, S836&lt;=38)), "Medium-High Engagement", OR(AND(R836&gt;4, R836&lt;=32), AND(S836&gt;6, S836&lt;=19)),"Medium Engagement", TRUE, "Low Engagement"
)</f>
        <v>Medium Engagement</v>
      </c>
      <c r="AA836">
        <f t="shared" si="69"/>
        <v>0.30533435147812804</v>
      </c>
    </row>
    <row r="837" spans="1:27" x14ac:dyDescent="0.35">
      <c r="A837" s="2">
        <v>1644430081</v>
      </c>
      <c r="B837" s="2" t="s">
        <v>74</v>
      </c>
      <c r="C837" s="2">
        <f>VLOOKUP(user_activity!A308,users_details!$A$1:$G$34,5,0)</f>
        <v>30</v>
      </c>
      <c r="D837" s="2" t="str" cm="1">
        <f t="array" ref="D837">_xlfn.IFS( AND(C837&gt;=18, C837&lt;=25), "Emerging Adults",  AND(C837&gt;=26, C837&lt;=35),  "Young Adults",  AND(C837&gt;=36, C837&lt;=45),  "Midlife Adults",  AND(C837&gt;=46, C837&lt;=55), "Mature Adults", C837&gt;=56,  "Older Adults", TRUE, "Age Not Mentioned")</f>
        <v>Young Adults</v>
      </c>
      <c r="E837" s="2" t="str">
        <f>VLOOKUP(user_activity!A308,users_details!$A$1:$G$34,6,0)</f>
        <v>Clinton Hill, Brooklyn</v>
      </c>
      <c r="F837" s="2" t="str">
        <f>VLOOKUP(user_activity!A308,users_details!$A$1:$G$34,7,0)</f>
        <v>Clinton Hill</v>
      </c>
      <c r="G837" s="2" t="s">
        <v>71</v>
      </c>
      <c r="H837" s="7">
        <v>42479</v>
      </c>
      <c r="I837" s="9" t="str">
        <f t="shared" si="65"/>
        <v>Tuesday</v>
      </c>
      <c r="J837" s="9" t="str">
        <f t="shared" si="66"/>
        <v>April</v>
      </c>
      <c r="K837" s="2">
        <v>8.1800003050000001</v>
      </c>
      <c r="L837" s="2">
        <v>8.1800003050000001</v>
      </c>
      <c r="M837" s="2">
        <v>0</v>
      </c>
      <c r="N837" s="2">
        <v>0.36000001399999998</v>
      </c>
      <c r="O837" s="2">
        <v>2.5299999710000001</v>
      </c>
      <c r="P837" s="2">
        <v>5.3000001909999996</v>
      </c>
      <c r="Q837" s="2">
        <v>0</v>
      </c>
      <c r="R837" s="2">
        <v>5</v>
      </c>
      <c r="S837" s="2">
        <v>58</v>
      </c>
      <c r="T837" s="2">
        <v>278</v>
      </c>
      <c r="U837" s="2">
        <f t="shared" si="67"/>
        <v>341</v>
      </c>
      <c r="V837" s="2">
        <v>1099</v>
      </c>
      <c r="W837" s="2">
        <v>11256</v>
      </c>
      <c r="X837" s="2">
        <f t="shared" si="68"/>
        <v>11256</v>
      </c>
      <c r="Y837" s="2">
        <v>3300</v>
      </c>
      <c r="Z837" t="str" cm="1">
        <f t="array" ref="Z837">_xlfn.IFS(OR(R837&gt;66, S837&gt;38), "High Engagement", OR(AND(R837&gt;32, R837&lt;=66), AND(S837&gt;19, S837&lt;=38)), "Medium-High Engagement", OR(AND(R837&gt;4, R837&lt;=32), AND(S837&gt;6, S837&lt;=19)),"Medium Engagement", TRUE, "Low Engagement"
)</f>
        <v>High Engagement</v>
      </c>
      <c r="AA837">
        <f t="shared" si="69"/>
        <v>0.2931769722814499</v>
      </c>
    </row>
    <row r="838" spans="1:27" x14ac:dyDescent="0.35">
      <c r="A838" s="2">
        <v>1644430081</v>
      </c>
      <c r="B838" s="2" t="s">
        <v>74</v>
      </c>
      <c r="C838" s="2">
        <f>VLOOKUP(user_activity!A328,users_details!$A$1:$G$34,5,0)</f>
        <v>30</v>
      </c>
      <c r="D838" s="2" t="str" cm="1">
        <f t="array" ref="D838">_xlfn.IFS( AND(C838&gt;=18, C838&lt;=25), "Emerging Adults",  AND(C838&gt;=26, C838&lt;=35),  "Young Adults",  AND(C838&gt;=36, C838&lt;=45),  "Midlife Adults",  AND(C838&gt;=46, C838&lt;=55), "Mature Adults", C838&gt;=56,  "Older Adults", TRUE, "Age Not Mentioned")</f>
        <v>Young Adults</v>
      </c>
      <c r="E838" s="2" t="str">
        <f>VLOOKUP(user_activity!A328,users_details!$A$1:$G$34,6,0)</f>
        <v>Midtown, Manhattan</v>
      </c>
      <c r="F838" s="2" t="str">
        <f>VLOOKUP(user_activity!A328,users_details!$A$1:$G$34,7,0)</f>
        <v>Midtown</v>
      </c>
      <c r="G838" s="2" t="s">
        <v>71</v>
      </c>
      <c r="H838" s="7">
        <v>42483</v>
      </c>
      <c r="I838" s="9" t="str">
        <f t="shared" si="65"/>
        <v>Saturday</v>
      </c>
      <c r="J838" s="9" t="str">
        <f t="shared" si="66"/>
        <v>April</v>
      </c>
      <c r="K838" s="2">
        <v>4.829999924</v>
      </c>
      <c r="L838" s="2">
        <v>4.829999924</v>
      </c>
      <c r="M838" s="2">
        <v>0</v>
      </c>
      <c r="N838" s="2">
        <v>0</v>
      </c>
      <c r="O838" s="2">
        <v>0.579999983</v>
      </c>
      <c r="P838" s="2">
        <v>4.25</v>
      </c>
      <c r="Q838" s="2">
        <v>0</v>
      </c>
      <c r="R838" s="2">
        <v>0</v>
      </c>
      <c r="S838" s="2">
        <v>15</v>
      </c>
      <c r="T838" s="2">
        <v>160</v>
      </c>
      <c r="U838" s="2">
        <f t="shared" si="67"/>
        <v>175</v>
      </c>
      <c r="V838" s="2">
        <v>1265</v>
      </c>
      <c r="W838" s="2">
        <v>6637</v>
      </c>
      <c r="X838" s="2">
        <f t="shared" si="68"/>
        <v>6637</v>
      </c>
      <c r="Y838" s="2">
        <v>2677</v>
      </c>
      <c r="Z838" t="str" cm="1">
        <f t="array" ref="Z838">_xlfn.IFS(OR(R838&gt;66, S838&gt;38), "High Engagement", OR(AND(R838&gt;32, R838&lt;=66), AND(S838&gt;19, S838&lt;=38)), "Medium-High Engagement", OR(AND(R838&gt;4, R838&lt;=32), AND(S838&gt;6, S838&lt;=19)),"Medium Engagement", TRUE, "Low Engagement"
)</f>
        <v>Medium Engagement</v>
      </c>
      <c r="AA838">
        <f t="shared" si="69"/>
        <v>0.40334488473708002</v>
      </c>
    </row>
    <row r="839" spans="1:27" x14ac:dyDescent="0.35">
      <c r="A839" s="2">
        <v>1644430081</v>
      </c>
      <c r="B839" s="2" t="s">
        <v>74</v>
      </c>
      <c r="C839" s="2">
        <f>VLOOKUP(user_activity!A368,users_details!$A$1:$G$34,5,0)</f>
        <v>31</v>
      </c>
      <c r="D839" s="2" t="str" cm="1">
        <f t="array" ref="D839">_xlfn.IFS( AND(C839&gt;=18, C839&lt;=25), "Emerging Adults",  AND(C839&gt;=26, C839&lt;=35),  "Young Adults",  AND(C839&gt;=36, C839&lt;=45),  "Midlife Adults",  AND(C839&gt;=46, C839&lt;=55), "Mature Adults", C839&gt;=56,  "Older Adults", TRUE, "Age Not Mentioned")</f>
        <v>Young Adults</v>
      </c>
      <c r="E839" s="2" t="str">
        <f>VLOOKUP(user_activity!A368,users_details!$A$1:$G$34,6,0)</f>
        <v>Midtown, Manhattan</v>
      </c>
      <c r="F839" s="2" t="str">
        <f>VLOOKUP(user_activity!A368,users_details!$A$1:$G$34,7,0)</f>
        <v>Midtown</v>
      </c>
      <c r="G839" s="2" t="s">
        <v>71</v>
      </c>
      <c r="H839" s="7">
        <v>42434</v>
      </c>
      <c r="I839" s="9" t="str">
        <f t="shared" si="65"/>
        <v>Saturday</v>
      </c>
      <c r="J839" s="9" t="str">
        <f t="shared" si="66"/>
        <v>March</v>
      </c>
      <c r="K839" s="2">
        <v>9.3400001530000001</v>
      </c>
      <c r="L839" s="2">
        <v>9.3400001530000001</v>
      </c>
      <c r="M839" s="2">
        <v>0</v>
      </c>
      <c r="N839" s="2">
        <v>0.72000002900000004</v>
      </c>
      <c r="O839" s="2">
        <v>4.0900001530000001</v>
      </c>
      <c r="P839" s="2">
        <v>4.5399999619999996</v>
      </c>
      <c r="Q839" s="2">
        <v>0</v>
      </c>
      <c r="R839" s="2">
        <v>10</v>
      </c>
      <c r="S839" s="2">
        <v>94</v>
      </c>
      <c r="T839" s="2">
        <v>221</v>
      </c>
      <c r="U839" s="2">
        <f t="shared" si="67"/>
        <v>325</v>
      </c>
      <c r="V839" s="2">
        <v>1115</v>
      </c>
      <c r="W839" s="2">
        <v>12850</v>
      </c>
      <c r="X839" s="2">
        <f t="shared" si="68"/>
        <v>12850</v>
      </c>
      <c r="Y839" s="2">
        <v>3324</v>
      </c>
      <c r="Z839" t="str" cm="1">
        <f t="array" ref="Z839">_xlfn.IFS(OR(R839&gt;66, S839&gt;38), "High Engagement", OR(AND(R839&gt;32, R839&lt;=66), AND(S839&gt;19, S839&lt;=38)), "Medium-High Engagement", OR(AND(R839&gt;4, R839&lt;=32), AND(S839&gt;6, S839&lt;=19)),"Medium Engagement", TRUE, "Low Engagement"
)</f>
        <v>High Engagement</v>
      </c>
      <c r="AA839">
        <f t="shared" si="69"/>
        <v>0.2586770428015564</v>
      </c>
    </row>
    <row r="840" spans="1:27" x14ac:dyDescent="0.35">
      <c r="A840" s="2">
        <v>1644430081</v>
      </c>
      <c r="B840" s="2" t="s">
        <v>74</v>
      </c>
      <c r="C840" s="2">
        <f>VLOOKUP(user_activity!A397,users_details!$A$1:$G$34,5,0)</f>
        <v>32</v>
      </c>
      <c r="D840" s="2" t="str" cm="1">
        <f t="array" ref="D840">_xlfn.IFS( AND(C840&gt;=18, C840&lt;=25), "Emerging Adults",  AND(C840&gt;=26, C840&lt;=35),  "Young Adults",  AND(C840&gt;=36, C840&lt;=45),  "Midlife Adults",  AND(C840&gt;=46, C840&lt;=55), "Mature Adults", C840&gt;=56,  "Older Adults", TRUE, "Age Not Mentioned")</f>
        <v>Young Adults</v>
      </c>
      <c r="E840" s="2" t="str">
        <f>VLOOKUP(user_activity!A397,users_details!$A$1:$G$34,6,0)</f>
        <v>East Harlem, Manhattan</v>
      </c>
      <c r="F840" s="2" t="str">
        <f>VLOOKUP(user_activity!A397,users_details!$A$1:$G$34,7,0)</f>
        <v>East Harlem</v>
      </c>
      <c r="G840" s="2" t="s">
        <v>71</v>
      </c>
      <c r="H840" s="7">
        <v>42484</v>
      </c>
      <c r="I840" s="9" t="str">
        <f t="shared" si="65"/>
        <v>Sunday</v>
      </c>
      <c r="J840" s="9" t="str">
        <f t="shared" si="66"/>
        <v>April</v>
      </c>
      <c r="K840" s="2">
        <v>2.4100000860000002</v>
      </c>
      <c r="L840" s="2">
        <v>2.4100000860000002</v>
      </c>
      <c r="M840" s="2">
        <v>0</v>
      </c>
      <c r="N840" s="2">
        <v>0</v>
      </c>
      <c r="O840" s="2">
        <v>0</v>
      </c>
      <c r="P840" s="2">
        <v>2.4100000860000002</v>
      </c>
      <c r="Q840" s="2">
        <v>0</v>
      </c>
      <c r="R840" s="2">
        <v>0</v>
      </c>
      <c r="S840" s="2">
        <v>0</v>
      </c>
      <c r="T840" s="2">
        <v>89</v>
      </c>
      <c r="U840" s="2">
        <f t="shared" si="67"/>
        <v>89</v>
      </c>
      <c r="V840" s="2">
        <v>1351</v>
      </c>
      <c r="W840" s="2">
        <v>3321</v>
      </c>
      <c r="X840" s="2">
        <f t="shared" si="68"/>
        <v>3321</v>
      </c>
      <c r="Y840" s="2">
        <v>2413</v>
      </c>
      <c r="Z840" t="str" cm="1">
        <f t="array" ref="Z840">_xlfn.IFS(OR(R840&gt;66, S840&gt;38), "High Engagement", OR(AND(R840&gt;32, R840&lt;=66), AND(S840&gt;19, S840&lt;=38)), "Medium-High Engagement", OR(AND(R840&gt;4, R840&lt;=32), AND(S840&gt;6, S840&lt;=19)),"Medium Engagement", TRUE, "Low Engagement"
)</f>
        <v>Low Engagement</v>
      </c>
      <c r="AA840">
        <f t="shared" si="69"/>
        <v>0.7265883769948811</v>
      </c>
    </row>
    <row r="841" spans="1:27" x14ac:dyDescent="0.35">
      <c r="A841" s="2">
        <v>1644430081</v>
      </c>
      <c r="B841" s="2" t="s">
        <v>74</v>
      </c>
      <c r="C841" s="2">
        <f>VLOOKUP(user_activity!A407,users_details!$A$1:$G$34,5,0)</f>
        <v>32</v>
      </c>
      <c r="D841" s="2" t="str" cm="1">
        <f t="array" ref="D841">_xlfn.IFS( AND(C841&gt;=18, C841&lt;=25), "Emerging Adults",  AND(C841&gt;=26, C841&lt;=35),  "Young Adults",  AND(C841&gt;=36, C841&lt;=45),  "Midlife Adults",  AND(C841&gt;=46, C841&lt;=55), "Mature Adults", C841&gt;=56,  "Older Adults", TRUE, "Age Not Mentioned")</f>
        <v>Young Adults</v>
      </c>
      <c r="E841" s="2" t="str">
        <f>VLOOKUP(user_activity!A407,users_details!$A$1:$G$34,6,0)</f>
        <v>East Harlem, Manhattan</v>
      </c>
      <c r="F841" s="2" t="str">
        <f>VLOOKUP(user_activity!A407,users_details!$A$1:$G$34,7,0)</f>
        <v>East Harlem</v>
      </c>
      <c r="G841" s="2" t="s">
        <v>71</v>
      </c>
      <c r="H841" s="7">
        <v>42618</v>
      </c>
      <c r="I841" s="9" t="str">
        <f t="shared" si="65"/>
        <v>Monday</v>
      </c>
      <c r="J841" s="9" t="str">
        <f t="shared" si="66"/>
        <v>September</v>
      </c>
      <c r="K841" s="2">
        <v>4.829999924</v>
      </c>
      <c r="L841" s="2">
        <v>4.829999924</v>
      </c>
      <c r="M841" s="2">
        <v>0</v>
      </c>
      <c r="N841" s="2">
        <v>2.3900001049999999</v>
      </c>
      <c r="O841" s="2">
        <v>0.34999999399999998</v>
      </c>
      <c r="P841" s="2">
        <v>2.0899999139999998</v>
      </c>
      <c r="Q841" s="2">
        <v>0.01</v>
      </c>
      <c r="R841" s="2">
        <v>32</v>
      </c>
      <c r="S841" s="2">
        <v>6</v>
      </c>
      <c r="T841" s="2">
        <v>303</v>
      </c>
      <c r="U841" s="2">
        <f t="shared" si="67"/>
        <v>341</v>
      </c>
      <c r="V841" s="2">
        <v>1099</v>
      </c>
      <c r="W841" s="2">
        <v>6643</v>
      </c>
      <c r="X841" s="2">
        <f t="shared" si="68"/>
        <v>6643</v>
      </c>
      <c r="Y841" s="2">
        <v>3008</v>
      </c>
      <c r="Z841" t="str" cm="1">
        <f t="array" ref="Z841">_xlfn.IFS(OR(R841&gt;66, S841&gt;38), "High Engagement", OR(AND(R841&gt;32, R841&lt;=66), AND(S841&gt;19, S841&lt;=38)), "Medium-High Engagement", OR(AND(R841&gt;4, R841&lt;=32), AND(S841&gt;6, S841&lt;=19)),"Medium Engagement", TRUE, "Low Engagement"
)</f>
        <v>Medium Engagement</v>
      </c>
      <c r="AA841">
        <f t="shared" si="69"/>
        <v>0.45280746650609666</v>
      </c>
    </row>
    <row r="842" spans="1:27" x14ac:dyDescent="0.35">
      <c r="A842" s="2">
        <v>1644430081</v>
      </c>
      <c r="B842" s="2" t="s">
        <v>74</v>
      </c>
      <c r="C842" s="2">
        <f>VLOOKUP(user_activity!A486,users_details!$A$1:$G$34,5,0)</f>
        <v>33</v>
      </c>
      <c r="D842" s="2" t="str" cm="1">
        <f t="array" ref="D842">_xlfn.IFS( AND(C842&gt;=18, C842&lt;=25), "Emerging Adults",  AND(C842&gt;=26, C842&lt;=35),  "Young Adults",  AND(C842&gt;=36, C842&lt;=45),  "Midlife Adults",  AND(C842&gt;=46, C842&lt;=55), "Mature Adults", C842&gt;=56,  "Older Adults", TRUE, "Age Not Mentioned")</f>
        <v>Young Adults</v>
      </c>
      <c r="E842" s="2" t="str">
        <f>VLOOKUP(user_activity!A486,users_details!$A$1:$G$34,6,0)</f>
        <v>Greenpoint, Brooklyn</v>
      </c>
      <c r="F842" s="2" t="str">
        <f>VLOOKUP(user_activity!A486,users_details!$A$1:$G$34,7,0)</f>
        <v>Greenpoint</v>
      </c>
      <c r="G842" s="2" t="s">
        <v>71</v>
      </c>
      <c r="H842" s="7">
        <v>42485</v>
      </c>
      <c r="I842" s="9" t="str">
        <f t="shared" si="65"/>
        <v>Monday</v>
      </c>
      <c r="J842" s="9" t="str">
        <f t="shared" si="66"/>
        <v>April</v>
      </c>
      <c r="K842" s="2">
        <v>2.5999999049999998</v>
      </c>
      <c r="L842" s="2">
        <v>2.5999999049999998</v>
      </c>
      <c r="M842" s="2">
        <v>0</v>
      </c>
      <c r="N842" s="2">
        <v>0.58999997400000004</v>
      </c>
      <c r="O842" s="2">
        <v>5.9999998999999998E-2</v>
      </c>
      <c r="P842" s="2">
        <v>1.9500000479999999</v>
      </c>
      <c r="Q842" s="2">
        <v>0</v>
      </c>
      <c r="R842" s="2">
        <v>8</v>
      </c>
      <c r="S842" s="2">
        <v>1</v>
      </c>
      <c r="T842" s="2">
        <v>94</v>
      </c>
      <c r="U842" s="2">
        <f t="shared" si="67"/>
        <v>103</v>
      </c>
      <c r="V842" s="2">
        <v>1337</v>
      </c>
      <c r="W842" s="2">
        <v>3580</v>
      </c>
      <c r="X842" s="2">
        <f t="shared" si="68"/>
        <v>3580</v>
      </c>
      <c r="Y842" s="2">
        <v>2497</v>
      </c>
      <c r="Z842" t="str" cm="1">
        <f t="array" ref="Z842">_xlfn.IFS(OR(R842&gt;66, S842&gt;38), "High Engagement", OR(AND(R842&gt;32, R842&lt;=66), AND(S842&gt;19, S842&lt;=38)), "Medium-High Engagement", OR(AND(R842&gt;4, R842&lt;=32), AND(S842&gt;6, S842&lt;=19)),"Medium Engagement", TRUE, "Low Engagement"
)</f>
        <v>Medium Engagement</v>
      </c>
      <c r="AA842">
        <f t="shared" si="69"/>
        <v>0.69748603351955307</v>
      </c>
    </row>
    <row r="843" spans="1:27" x14ac:dyDescent="0.35">
      <c r="A843" s="2">
        <v>1644430081</v>
      </c>
      <c r="B843" s="2" t="s">
        <v>74</v>
      </c>
      <c r="C843" s="2">
        <f>VLOOKUP(user_activity!A491,users_details!$A$1:$G$34,5,0)</f>
        <v>33</v>
      </c>
      <c r="D843" s="2" t="str" cm="1">
        <f t="array" ref="D843">_xlfn.IFS( AND(C843&gt;=18, C843&lt;=25), "Emerging Adults",  AND(C843&gt;=26, C843&lt;=35),  "Young Adults",  AND(C843&gt;=36, C843&lt;=45),  "Midlife Adults",  AND(C843&gt;=46, C843&lt;=55), "Mature Adults", C843&gt;=56,  "Older Adults", TRUE, "Age Not Mentioned")</f>
        <v>Young Adults</v>
      </c>
      <c r="E843" s="2" t="str">
        <f>VLOOKUP(user_activity!A491,users_details!$A$1:$G$34,6,0)</f>
        <v>Harlem, Manhattan</v>
      </c>
      <c r="F843" s="2" t="str">
        <f>VLOOKUP(user_activity!A491,users_details!$A$1:$G$34,7,0)</f>
        <v>Harlem</v>
      </c>
      <c r="G843" s="2" t="s">
        <v>71</v>
      </c>
      <c r="H843" s="7">
        <v>42478</v>
      </c>
      <c r="I843" s="9" t="str">
        <f t="shared" si="65"/>
        <v>Monday</v>
      </c>
      <c r="J843" s="9" t="str">
        <f t="shared" si="66"/>
        <v>April</v>
      </c>
      <c r="K843" s="2">
        <v>5.1900000569999998</v>
      </c>
      <c r="L843" s="2">
        <v>5.1900000569999998</v>
      </c>
      <c r="M843" s="2">
        <v>0</v>
      </c>
      <c r="N843" s="2">
        <v>1.0700000519999999</v>
      </c>
      <c r="O843" s="2">
        <v>1.6699999569999999</v>
      </c>
      <c r="P843" s="2">
        <v>2.4500000480000002</v>
      </c>
      <c r="Q843" s="2">
        <v>0</v>
      </c>
      <c r="R843" s="2">
        <v>15</v>
      </c>
      <c r="S843" s="2">
        <v>33</v>
      </c>
      <c r="T843" s="2">
        <v>121</v>
      </c>
      <c r="U843" s="2">
        <f t="shared" si="67"/>
        <v>169</v>
      </c>
      <c r="V843" s="2">
        <v>1271</v>
      </c>
      <c r="W843" s="2">
        <v>7132</v>
      </c>
      <c r="X843" s="2">
        <f t="shared" si="68"/>
        <v>7132</v>
      </c>
      <c r="Y843" s="2">
        <v>2806</v>
      </c>
      <c r="Z843" t="str" cm="1">
        <f t="array" ref="Z843">_xlfn.IFS(OR(R843&gt;66, S843&gt;38), "High Engagement", OR(AND(R843&gt;32, R843&lt;=66), AND(S843&gt;19, S843&lt;=38)), "Medium-High Engagement", OR(AND(R843&gt;4, R843&lt;=32), AND(S843&gt;6, S843&lt;=19)),"Medium Engagement", TRUE, "Low Engagement"
)</f>
        <v>Medium-High Engagement</v>
      </c>
      <c r="AA843">
        <f t="shared" si="69"/>
        <v>0.39343802579921483</v>
      </c>
    </row>
    <row r="844" spans="1:27" x14ac:dyDescent="0.35">
      <c r="A844" s="2">
        <v>1644430081</v>
      </c>
      <c r="B844" s="2" t="s">
        <v>74</v>
      </c>
      <c r="C844" s="2">
        <f>VLOOKUP(user_activity!A501,users_details!$A$1:$G$34,5,0)</f>
        <v>36</v>
      </c>
      <c r="D844" s="2" t="str" cm="1">
        <f t="array" ref="D844">_xlfn.IFS( AND(C844&gt;=18, C844&lt;=25), "Emerging Adults",  AND(C844&gt;=26, C844&lt;=35),  "Young Adults",  AND(C844&gt;=36, C844&lt;=45),  "Midlife Adults",  AND(C844&gt;=46, C844&lt;=55), "Mature Adults", C844&gt;=56,  "Older Adults", TRUE, "Age Not Mentioned")</f>
        <v>Midlife Adults</v>
      </c>
      <c r="E844" s="2" t="str">
        <f>VLOOKUP(user_activity!A501,users_details!$A$1:$G$34,6,0)</f>
        <v>Williamsburg, Brooklyn</v>
      </c>
      <c r="F844" s="2" t="str">
        <f>VLOOKUP(user_activity!A501,users_details!$A$1:$G$34,7,0)</f>
        <v>Williamsburg</v>
      </c>
      <c r="G844" s="2" t="s">
        <v>71</v>
      </c>
      <c r="H844" s="7">
        <v>42587</v>
      </c>
      <c r="I844" s="9" t="str">
        <f t="shared" si="65"/>
        <v>Friday</v>
      </c>
      <c r="J844" s="9" t="str">
        <f t="shared" si="66"/>
        <v>August</v>
      </c>
      <c r="K844" s="2">
        <v>4.8899998660000001</v>
      </c>
      <c r="L844" s="2">
        <v>4.8899998660000001</v>
      </c>
      <c r="M844" s="2">
        <v>0</v>
      </c>
      <c r="N844" s="2">
        <v>0</v>
      </c>
      <c r="O844" s="2">
        <v>0</v>
      </c>
      <c r="P844" s="2">
        <v>4.8800001139999996</v>
      </c>
      <c r="Q844" s="2">
        <v>0</v>
      </c>
      <c r="R844" s="2">
        <v>0</v>
      </c>
      <c r="S844" s="2">
        <v>0</v>
      </c>
      <c r="T844" s="2">
        <v>295</v>
      </c>
      <c r="U844" s="2">
        <f t="shared" si="67"/>
        <v>295</v>
      </c>
      <c r="V844" s="2">
        <v>991</v>
      </c>
      <c r="W844" s="2">
        <v>6724</v>
      </c>
      <c r="X844" s="2">
        <f t="shared" si="68"/>
        <v>6724</v>
      </c>
      <c r="Y844" s="2">
        <v>2987</v>
      </c>
      <c r="Z844" t="str" cm="1">
        <f t="array" ref="Z844">_xlfn.IFS(OR(R844&gt;66, S844&gt;38), "High Engagement", OR(AND(R844&gt;32, R844&lt;=66), AND(S844&gt;19, S844&lt;=38)), "Medium-High Engagement", OR(AND(R844&gt;4, R844&lt;=32), AND(S844&gt;6, S844&lt;=19)),"Medium Engagement", TRUE, "Low Engagement"
)</f>
        <v>Low Engagement</v>
      </c>
      <c r="AA844">
        <f t="shared" si="69"/>
        <v>0.44422962522308151</v>
      </c>
    </row>
    <row r="845" spans="1:27" x14ac:dyDescent="0.35">
      <c r="A845" s="2">
        <v>1644430081</v>
      </c>
      <c r="B845" s="2" t="s">
        <v>74</v>
      </c>
      <c r="C845" s="2">
        <f>VLOOKUP(user_activity!A756,users_details!$A$1:$G$34,5,0)</f>
        <v>53</v>
      </c>
      <c r="D845" s="2" t="str" cm="1">
        <f t="array" ref="D845">_xlfn.IFS( AND(C845&gt;=18, C845&lt;=25), "Emerging Adults",  AND(C845&gt;=26, C845&lt;=35),  "Young Adults",  AND(C845&gt;=36, C845&lt;=45),  "Midlife Adults",  AND(C845&gt;=46, C845&lt;=55), "Mature Adults", C845&gt;=56,  "Older Adults", TRUE, "Age Not Mentioned")</f>
        <v>Mature Adults</v>
      </c>
      <c r="E845" s="2" t="str">
        <f>VLOOKUP(user_activity!A756,users_details!$A$1:$G$34,6,0)</f>
        <v>Harlem, Manhattan</v>
      </c>
      <c r="F845" s="2" t="str">
        <f>VLOOKUP(user_activity!A756,users_details!$A$1:$G$34,7,0)</f>
        <v>Harlem</v>
      </c>
      <c r="G845" s="2" t="s">
        <v>71</v>
      </c>
      <c r="H845" s="7">
        <v>42495</v>
      </c>
      <c r="I845" s="9" t="str">
        <f t="shared" si="65"/>
        <v>Thursday</v>
      </c>
      <c r="J845" s="9" t="str">
        <f t="shared" si="66"/>
        <v>May</v>
      </c>
      <c r="K845" s="2">
        <v>3.1900000569999998</v>
      </c>
      <c r="L845" s="2">
        <v>3.1900000569999998</v>
      </c>
      <c r="M845" s="2">
        <v>0</v>
      </c>
      <c r="N845" s="2">
        <v>0.519999981</v>
      </c>
      <c r="O845" s="2">
        <v>0.540000021</v>
      </c>
      <c r="P845" s="2">
        <v>2.130000114</v>
      </c>
      <c r="Q845" s="2">
        <v>0.01</v>
      </c>
      <c r="R845" s="2">
        <v>6</v>
      </c>
      <c r="S845" s="2">
        <v>12</v>
      </c>
      <c r="T845" s="2">
        <v>81</v>
      </c>
      <c r="U845" s="2">
        <f t="shared" si="67"/>
        <v>99</v>
      </c>
      <c r="V845" s="2">
        <v>1341</v>
      </c>
      <c r="W845" s="2">
        <v>4363</v>
      </c>
      <c r="X845" s="2">
        <f t="shared" si="68"/>
        <v>4363</v>
      </c>
      <c r="Y845" s="2">
        <v>2463</v>
      </c>
      <c r="Z845" t="str" cm="1">
        <f t="array" ref="Z845">_xlfn.IFS(OR(R845&gt;66, S845&gt;38), "High Engagement", OR(AND(R845&gt;32, R845&lt;=66), AND(S845&gt;19, S845&lt;=38)), "Medium-High Engagement", OR(AND(R845&gt;4, R845&lt;=32), AND(S845&gt;6, S845&lt;=19)),"Medium Engagement", TRUE, "Low Engagement"
)</f>
        <v>Medium Engagement</v>
      </c>
      <c r="AA845">
        <f t="shared" si="69"/>
        <v>0.56451982580793036</v>
      </c>
    </row>
    <row r="846" spans="1:27" x14ac:dyDescent="0.35">
      <c r="A846" s="2">
        <v>1644430081</v>
      </c>
      <c r="B846" s="2" t="s">
        <v>74</v>
      </c>
      <c r="C846" s="2">
        <f>VLOOKUP(user_activity!A817,users_details!$A$1:$G$34,5,0)</f>
        <v>54</v>
      </c>
      <c r="D846" s="2" t="str" cm="1">
        <f t="array" ref="D846">_xlfn.IFS( AND(C846&gt;=18, C846&lt;=25), "Emerging Adults",  AND(C846&gt;=26, C846&lt;=35),  "Young Adults",  AND(C846&gt;=36, C846&lt;=45),  "Midlife Adults",  AND(C846&gt;=46, C846&lt;=55), "Mature Adults", C846&gt;=56,  "Older Adults", TRUE, "Age Not Mentioned")</f>
        <v>Mature Adults</v>
      </c>
      <c r="E846" s="2" t="str">
        <f>VLOOKUP(user_activity!A817,users_details!$A$1:$G$34,6,0)</f>
        <v>Crown Heights, Brooklyn</v>
      </c>
      <c r="F846" s="2" t="str">
        <f>VLOOKUP(user_activity!A817,users_details!$A$1:$G$34,7,0)</f>
        <v>Crown Heights</v>
      </c>
      <c r="G846" s="2" t="s">
        <v>71</v>
      </c>
      <c r="H846" s="7">
        <v>42708</v>
      </c>
      <c r="I846" s="9" t="str">
        <f t="shared" si="65"/>
        <v>Sunday</v>
      </c>
      <c r="J846" s="9" t="str">
        <f t="shared" si="66"/>
        <v>December</v>
      </c>
      <c r="K846" s="2">
        <v>7.7699999809999998</v>
      </c>
      <c r="L846" s="2">
        <v>7.7699999809999998</v>
      </c>
      <c r="M846" s="2">
        <v>0</v>
      </c>
      <c r="N846" s="2">
        <v>0.14000000100000001</v>
      </c>
      <c r="O846" s="2">
        <v>2.2999999519999998</v>
      </c>
      <c r="P846" s="2">
        <v>5.329999924</v>
      </c>
      <c r="Q846" s="2">
        <v>0</v>
      </c>
      <c r="R846" s="2">
        <v>2</v>
      </c>
      <c r="S846" s="2">
        <v>51</v>
      </c>
      <c r="T846" s="2">
        <v>256</v>
      </c>
      <c r="U846" s="2">
        <f t="shared" si="67"/>
        <v>309</v>
      </c>
      <c r="V846" s="2">
        <v>1131</v>
      </c>
      <c r="W846" s="2">
        <v>10694</v>
      </c>
      <c r="X846" s="2">
        <f t="shared" si="68"/>
        <v>10694</v>
      </c>
      <c r="Y846" s="2">
        <v>3199</v>
      </c>
      <c r="Z846" t="str" cm="1">
        <f t="array" ref="Z846">_xlfn.IFS(OR(R846&gt;66, S846&gt;38), "High Engagement", OR(AND(R846&gt;32, R846&lt;=66), AND(S846&gt;19, S846&lt;=38)), "Medium-High Engagement", OR(AND(R846&gt;4, R846&lt;=32), AND(S846&gt;6, S846&lt;=19)),"Medium Engagement", TRUE, "Low Engagement"
)</f>
        <v>High Engagement</v>
      </c>
      <c r="AA846">
        <f t="shared" si="69"/>
        <v>0.29913970450720029</v>
      </c>
    </row>
    <row r="847" spans="1:27" x14ac:dyDescent="0.35">
      <c r="A847" s="2">
        <v>1644430081</v>
      </c>
      <c r="B847" s="2" t="s">
        <v>74</v>
      </c>
      <c r="C847" s="2">
        <f>VLOOKUP(user_activity!A823,users_details!$A$1:$G$34,5,0)</f>
        <v>56</v>
      </c>
      <c r="D847" s="2" t="str" cm="1">
        <f t="array" ref="D847">_xlfn.IFS( AND(C847&gt;=18, C847&lt;=25), "Emerging Adults",  AND(C847&gt;=26, C847&lt;=35),  "Young Adults",  AND(C847&gt;=36, C847&lt;=45),  "Midlife Adults",  AND(C847&gt;=46, C847&lt;=55), "Mature Adults", C847&gt;=56,  "Older Adults", TRUE, "Age Not Mentioned")</f>
        <v>Older Adults</v>
      </c>
      <c r="E847" s="2" t="str">
        <f>VLOOKUP(user_activity!A823,users_details!$A$1:$G$34,6,0)</f>
        <v>Flatbush, Brooklyn</v>
      </c>
      <c r="F847" s="2" t="str">
        <f>VLOOKUP(user_activity!A823,users_details!$A$1:$G$34,7,0)</f>
        <v>Flatbush</v>
      </c>
      <c r="G847" s="2" t="s">
        <v>71</v>
      </c>
      <c r="H847" s="7">
        <v>42474</v>
      </c>
      <c r="I847" s="9" t="str">
        <f t="shared" si="65"/>
        <v>Thursday</v>
      </c>
      <c r="J847" s="9" t="str">
        <f t="shared" si="66"/>
        <v>April</v>
      </c>
      <c r="K847" s="2">
        <v>8.0200004580000002</v>
      </c>
      <c r="L847" s="2">
        <v>8.0200004580000002</v>
      </c>
      <c r="M847" s="2">
        <v>0</v>
      </c>
      <c r="N847" s="2">
        <v>0.36000001399999998</v>
      </c>
      <c r="O847" s="2">
        <v>2.5599999430000002</v>
      </c>
      <c r="P847" s="2">
        <v>5.0999999049999998</v>
      </c>
      <c r="Q847" s="2">
        <v>0</v>
      </c>
      <c r="R847" s="2">
        <v>5</v>
      </c>
      <c r="S847" s="2">
        <v>58</v>
      </c>
      <c r="T847" s="2">
        <v>252</v>
      </c>
      <c r="U847" s="2">
        <f t="shared" si="67"/>
        <v>315</v>
      </c>
      <c r="V847" s="2">
        <v>1125</v>
      </c>
      <c r="W847" s="2">
        <v>11037</v>
      </c>
      <c r="X847" s="2">
        <f t="shared" si="68"/>
        <v>11037</v>
      </c>
      <c r="Y847" s="2">
        <v>3226</v>
      </c>
      <c r="Z847" t="str" cm="1">
        <f t="array" ref="Z847">_xlfn.IFS(OR(R847&gt;66, S847&gt;38), "High Engagement", OR(AND(R847&gt;32, R847&lt;=66), AND(S847&gt;19, S847&lt;=38)), "Medium-High Engagement", OR(AND(R847&gt;4, R847&lt;=32), AND(S847&gt;6, S847&lt;=19)),"Medium Engagement", TRUE, "Low Engagement"
)</f>
        <v>High Engagement</v>
      </c>
      <c r="AA847">
        <f t="shared" si="69"/>
        <v>0.29228957144151491</v>
      </c>
    </row>
    <row r="848" spans="1:27" x14ac:dyDescent="0.35">
      <c r="A848" s="2">
        <v>1644430081</v>
      </c>
      <c r="B848" s="2" t="s">
        <v>74</v>
      </c>
      <c r="C848" s="2">
        <f>VLOOKUP(user_activity!A863,users_details!$A$1:$G$34,5,0)</f>
        <v>58</v>
      </c>
      <c r="D848" s="2" t="str" cm="1">
        <f t="array" ref="D848">_xlfn.IFS( AND(C848&gt;=18, C848&lt;=25), "Emerging Adults",  AND(C848&gt;=26, C848&lt;=35),  "Young Adults",  AND(C848&gt;=36, C848&lt;=45),  "Midlife Adults",  AND(C848&gt;=46, C848&lt;=55), "Mature Adults", C848&gt;=56,  "Older Adults", TRUE, "Age Not Mentioned")</f>
        <v>Older Adults</v>
      </c>
      <c r="E848" s="2" t="str">
        <f>VLOOKUP(user_activity!A863,users_details!$A$1:$G$34,6,0)</f>
        <v>East Village, Manhattan</v>
      </c>
      <c r="F848" s="2" t="str">
        <f>VLOOKUP(user_activity!A863,users_details!$A$1:$G$34,7,0)</f>
        <v>East Village</v>
      </c>
      <c r="G848" s="2" t="s">
        <v>71</v>
      </c>
      <c r="H848" s="7">
        <v>42490</v>
      </c>
      <c r="I848" s="9" t="str">
        <f t="shared" si="65"/>
        <v>Saturday</v>
      </c>
      <c r="J848" s="9" t="str">
        <f t="shared" si="66"/>
        <v>April</v>
      </c>
      <c r="K848" s="2">
        <v>13.239999770000001</v>
      </c>
      <c r="L848" s="2">
        <v>13.239999770000001</v>
      </c>
      <c r="M848" s="2">
        <v>0</v>
      </c>
      <c r="N848" s="2">
        <v>0.62999999500000003</v>
      </c>
      <c r="O848" s="2">
        <v>3.1400001049999999</v>
      </c>
      <c r="P848" s="2">
        <v>9.4600000380000004</v>
      </c>
      <c r="Q848" s="2">
        <v>0</v>
      </c>
      <c r="R848" s="2">
        <v>9</v>
      </c>
      <c r="S848" s="2">
        <v>71</v>
      </c>
      <c r="T848" s="2">
        <v>402</v>
      </c>
      <c r="U848" s="2">
        <f t="shared" si="67"/>
        <v>482</v>
      </c>
      <c r="V848" s="2">
        <v>816</v>
      </c>
      <c r="W848" s="2">
        <v>18213</v>
      </c>
      <c r="X848" s="2">
        <f t="shared" si="68"/>
        <v>18213</v>
      </c>
      <c r="Y848" s="2">
        <v>3846</v>
      </c>
      <c r="Z848" t="str" cm="1">
        <f t="array" ref="Z848">_xlfn.IFS(OR(R848&gt;66, S848&gt;38), "High Engagement", OR(AND(R848&gt;32, R848&lt;=66), AND(S848&gt;19, S848&lt;=38)), "Medium-High Engagement", OR(AND(R848&gt;4, R848&lt;=32), AND(S848&gt;6, S848&lt;=19)),"Medium Engagement", TRUE, "Low Engagement"
)</f>
        <v>High Engagement</v>
      </c>
      <c r="AA848">
        <f t="shared" si="69"/>
        <v>0.2111678471421512</v>
      </c>
    </row>
    <row r="849" spans="1:27" x14ac:dyDescent="0.35">
      <c r="A849" s="2">
        <v>1644430081</v>
      </c>
      <c r="B849" s="2" t="s">
        <v>74</v>
      </c>
      <c r="C849" s="2">
        <f>VLOOKUP(user_activity!A871,users_details!$A$1:$G$34,5,0)</f>
        <v>58</v>
      </c>
      <c r="D849" s="2" t="str" cm="1">
        <f t="array" ref="D849">_xlfn.IFS( AND(C849&gt;=18, C849&lt;=25), "Emerging Adults",  AND(C849&gt;=26, C849&lt;=35),  "Young Adults",  AND(C849&gt;=36, C849&lt;=45),  "Midlife Adults",  AND(C849&gt;=46, C849&lt;=55), "Mature Adults", C849&gt;=56,  "Older Adults", TRUE, "Age Not Mentioned")</f>
        <v>Older Adults</v>
      </c>
      <c r="E849" s="2" t="str">
        <f>VLOOKUP(user_activity!A871,users_details!$A$1:$G$34,6,0)</f>
        <v>East Village, Manhattan</v>
      </c>
      <c r="F849" s="2" t="str">
        <f>VLOOKUP(user_activity!A871,users_details!$A$1:$G$34,7,0)</f>
        <v>East Village</v>
      </c>
      <c r="G849" s="2" t="s">
        <v>71</v>
      </c>
      <c r="H849" s="7">
        <v>42679</v>
      </c>
      <c r="I849" s="9" t="str">
        <f t="shared" si="65"/>
        <v>Saturday</v>
      </c>
      <c r="J849" s="9" t="str">
        <f t="shared" si="66"/>
        <v>November</v>
      </c>
      <c r="K849" s="2">
        <v>0.97000002900000004</v>
      </c>
      <c r="L849" s="2">
        <v>0.97000002900000004</v>
      </c>
      <c r="M849" s="2">
        <v>0</v>
      </c>
      <c r="N849" s="2">
        <v>0</v>
      </c>
      <c r="O849" s="2">
        <v>0</v>
      </c>
      <c r="P849" s="2">
        <v>0.94999998799999996</v>
      </c>
      <c r="Q849" s="2">
        <v>0.01</v>
      </c>
      <c r="R849" s="2">
        <v>0</v>
      </c>
      <c r="S849" s="2">
        <v>0</v>
      </c>
      <c r="T849" s="2">
        <v>49</v>
      </c>
      <c r="U849" s="2">
        <f t="shared" si="67"/>
        <v>49</v>
      </c>
      <c r="V849" s="2">
        <v>713</v>
      </c>
      <c r="W849" s="2">
        <v>1329</v>
      </c>
      <c r="X849" s="2">
        <f t="shared" si="68"/>
        <v>1329</v>
      </c>
      <c r="Y849" s="2">
        <v>1276</v>
      </c>
      <c r="Z849" t="str" cm="1">
        <f t="array" ref="Z849">_xlfn.IFS(OR(R849&gt;66, S849&gt;38), "High Engagement", OR(AND(R849&gt;32, R849&lt;=66), AND(S849&gt;19, S849&lt;=38)), "Medium-High Engagement", OR(AND(R849&gt;4, R849&lt;=32), AND(S849&gt;6, S849&lt;=19)),"Medium Engagement", TRUE, "Low Engagement"
)</f>
        <v>Low Engagement</v>
      </c>
      <c r="AA849">
        <f t="shared" si="69"/>
        <v>0.96012039127163284</v>
      </c>
    </row>
    <row r="850" spans="1:27" x14ac:dyDescent="0.35">
      <c r="A850" s="2">
        <v>1644430081</v>
      </c>
      <c r="B850" s="2" t="s">
        <v>74</v>
      </c>
      <c r="C850" s="2">
        <f>VLOOKUP(user_activity!A927,users_details!$A$1:$G$34,5,0)</f>
        <v>60</v>
      </c>
      <c r="D850" s="2" t="str" cm="1">
        <f t="array" ref="D850">_xlfn.IFS( AND(C850&gt;=18, C850&lt;=25), "Emerging Adults",  AND(C850&gt;=26, C850&lt;=35),  "Young Adults",  AND(C850&gt;=36, C850&lt;=45),  "Midlife Adults",  AND(C850&gt;=46, C850&lt;=55), "Mature Adults", C850&gt;=56,  "Older Adults", TRUE, "Age Not Mentioned")</f>
        <v>Older Adults</v>
      </c>
      <c r="E850" s="2" t="str">
        <f>VLOOKUP(user_activity!A927,users_details!$A$1:$G$34,6,0)</f>
        <v>East Village, Manhattan</v>
      </c>
      <c r="F850" s="2" t="str">
        <f>VLOOKUP(user_activity!A927,users_details!$A$1:$G$34,7,0)</f>
        <v>East Village</v>
      </c>
      <c r="G850" s="2" t="s">
        <v>71</v>
      </c>
      <c r="H850" s="7">
        <v>42556</v>
      </c>
      <c r="I850" s="9" t="str">
        <f t="shared" si="65"/>
        <v>Tuesday</v>
      </c>
      <c r="J850" s="9" t="str">
        <f t="shared" si="66"/>
        <v>July</v>
      </c>
      <c r="K850" s="2">
        <v>9.7200002669999996</v>
      </c>
      <c r="L850" s="2">
        <v>9.7200002669999996</v>
      </c>
      <c r="M850" s="2">
        <v>0</v>
      </c>
      <c r="N850" s="2">
        <v>3.2599999899999998</v>
      </c>
      <c r="O850" s="2">
        <v>0.790000021</v>
      </c>
      <c r="P850" s="2">
        <v>5.670000076</v>
      </c>
      <c r="Q850" s="2">
        <v>0.01</v>
      </c>
      <c r="R850" s="2">
        <v>41</v>
      </c>
      <c r="S850" s="2">
        <v>17</v>
      </c>
      <c r="T850" s="2">
        <v>243</v>
      </c>
      <c r="U850" s="2">
        <f t="shared" si="67"/>
        <v>301</v>
      </c>
      <c r="V850" s="2">
        <v>1139</v>
      </c>
      <c r="W850" s="2">
        <v>13372</v>
      </c>
      <c r="X850" s="2">
        <f t="shared" si="68"/>
        <v>13372</v>
      </c>
      <c r="Y850" s="2">
        <v>3404</v>
      </c>
      <c r="Z850" t="str" cm="1">
        <f t="array" ref="Z850">_xlfn.IFS(OR(R850&gt;66, S850&gt;38), "High Engagement", OR(AND(R850&gt;32, R850&lt;=66), AND(S850&gt;19, S850&lt;=38)), "Medium-High Engagement", OR(AND(R850&gt;4, R850&lt;=32), AND(S850&gt;6, S850&lt;=19)),"Medium Engagement", TRUE, "Low Engagement"
)</f>
        <v>Medium-High Engagement</v>
      </c>
      <c r="AA850">
        <f t="shared" si="69"/>
        <v>0.254561770864493</v>
      </c>
    </row>
    <row r="851" spans="1:27" x14ac:dyDescent="0.35">
      <c r="A851" s="2">
        <v>1644430081</v>
      </c>
      <c r="B851" s="2" t="s">
        <v>74</v>
      </c>
      <c r="C851" s="2">
        <f>VLOOKUP(user_activity!A936,users_details!$A$1:$G$34,5,0)</f>
        <v>60</v>
      </c>
      <c r="D851" s="2" t="str" cm="1">
        <f t="array" ref="D851">_xlfn.IFS( AND(C851&gt;=18, C851&lt;=25), "Emerging Adults",  AND(C851&gt;=26, C851&lt;=35),  "Young Adults",  AND(C851&gt;=36, C851&lt;=45),  "Midlife Adults",  AND(C851&gt;=46, C851&lt;=55), "Mature Adults", C851&gt;=56,  "Older Adults", TRUE, "Age Not Mentioned")</f>
        <v>Older Adults</v>
      </c>
      <c r="E851" s="2" t="str">
        <f>VLOOKUP(user_activity!A936,users_details!$A$1:$G$34,6,0)</f>
        <v>East Village, Manhattan</v>
      </c>
      <c r="F851" s="2" t="str">
        <f>VLOOKUP(user_activity!A936,users_details!$A$1:$G$34,7,0)</f>
        <v>East Village</v>
      </c>
      <c r="G851" s="2" t="s">
        <v>71</v>
      </c>
      <c r="H851" s="7">
        <v>42481</v>
      </c>
      <c r="I851" s="9" t="str">
        <f t="shared" si="65"/>
        <v>Thursday</v>
      </c>
      <c r="J851" s="9" t="str">
        <f t="shared" si="66"/>
        <v>April</v>
      </c>
      <c r="K851" s="2">
        <v>0.88999998599999997</v>
      </c>
      <c r="L851" s="2">
        <v>0.88999998599999997</v>
      </c>
      <c r="M851" s="2">
        <v>0</v>
      </c>
      <c r="N851" s="2">
        <v>0</v>
      </c>
      <c r="O851" s="2">
        <v>0</v>
      </c>
      <c r="P851" s="2">
        <v>0.87999999500000003</v>
      </c>
      <c r="Q851" s="2">
        <v>0.01</v>
      </c>
      <c r="R851" s="2">
        <v>0</v>
      </c>
      <c r="S851" s="2">
        <v>0</v>
      </c>
      <c r="T851" s="2">
        <v>38</v>
      </c>
      <c r="U851" s="2">
        <f t="shared" si="67"/>
        <v>38</v>
      </c>
      <c r="V851" s="2">
        <v>1402</v>
      </c>
      <c r="W851" s="2">
        <v>1223</v>
      </c>
      <c r="X851" s="2">
        <f t="shared" si="68"/>
        <v>1223</v>
      </c>
      <c r="Y851" s="2">
        <v>2140</v>
      </c>
      <c r="Z851" t="str" cm="1">
        <f t="array" ref="Z851">_xlfn.IFS(OR(R851&gt;66, S851&gt;38), "High Engagement", OR(AND(R851&gt;32, R851&lt;=66), AND(S851&gt;19, S851&lt;=38)), "Medium-High Engagement", OR(AND(R851&gt;4, R851&lt;=32), AND(S851&gt;6, S851&lt;=19)),"Medium Engagement", TRUE, "Low Engagement"
)</f>
        <v>Low Engagement</v>
      </c>
      <c r="AA851">
        <f t="shared" si="69"/>
        <v>1.749795584627964</v>
      </c>
    </row>
    <row r="852" spans="1:27" x14ac:dyDescent="0.35">
      <c r="A852" s="2">
        <v>2026352035</v>
      </c>
      <c r="B852" s="2" t="s">
        <v>89</v>
      </c>
      <c r="C852" s="2">
        <f>VLOOKUP(user_activity!A29,users_details!$A$1:$G$34,5,0)</f>
        <v>18</v>
      </c>
      <c r="D852" s="2" t="str" cm="1">
        <f t="array" ref="D852">_xlfn.IFS( AND(C852&gt;=18, C852&lt;=25), "Emerging Adults",  AND(C852&gt;=26, C852&lt;=35),  "Young Adults",  AND(C852&gt;=36, C852&lt;=45),  "Midlife Adults",  AND(C852&gt;=46, C852&lt;=55), "Mature Adults", C852&gt;=56,  "Older Adults", TRUE, "Age Not Mentioned")</f>
        <v>Emerging Adults</v>
      </c>
      <c r="E852" s="2" t="str">
        <f>VLOOKUP(user_activity!A29,users_details!$A$1:$G$34,6,0)</f>
        <v>Hell's Kitchen, Manhattan</v>
      </c>
      <c r="F852" s="2" t="str">
        <f>VLOOKUP(user_activity!A29,users_details!$A$1:$G$34,7,0)</f>
        <v>Hell's Kitchen</v>
      </c>
      <c r="G852" s="2" t="s">
        <v>72</v>
      </c>
      <c r="H852" s="7">
        <v>42556</v>
      </c>
      <c r="I852" s="9" t="str">
        <f t="shared" si="65"/>
        <v>Tuesday</v>
      </c>
      <c r="J852" s="9" t="str">
        <f t="shared" si="66"/>
        <v>July</v>
      </c>
      <c r="K852" s="2">
        <v>2.5999999049999998</v>
      </c>
      <c r="L852" s="2">
        <v>2.5999999049999998</v>
      </c>
      <c r="M852" s="2">
        <v>0</v>
      </c>
      <c r="N852" s="2">
        <v>0</v>
      </c>
      <c r="O852" s="2">
        <v>0</v>
      </c>
      <c r="P852" s="2">
        <v>2.5999999049999998</v>
      </c>
      <c r="Q852" s="2">
        <v>0</v>
      </c>
      <c r="R852" s="2">
        <v>0</v>
      </c>
      <c r="S852" s="2">
        <v>0</v>
      </c>
      <c r="T852" s="2">
        <v>229</v>
      </c>
      <c r="U852" s="2">
        <f t="shared" si="67"/>
        <v>229</v>
      </c>
      <c r="V852" s="2">
        <v>665</v>
      </c>
      <c r="W852" s="2">
        <v>4193</v>
      </c>
      <c r="X852" s="2">
        <f t="shared" si="68"/>
        <v>4193</v>
      </c>
      <c r="Y852" s="2">
        <v>1491</v>
      </c>
      <c r="Z852" t="str" cm="1">
        <f t="array" ref="Z852">_xlfn.IFS(OR(R852&gt;66, S852&gt;38), "High Engagement", OR(AND(R852&gt;32, R852&lt;=66), AND(S852&gt;19, S852&lt;=38)), "Medium-High Engagement", OR(AND(R852&gt;4, R852&lt;=32), AND(S852&gt;6, S852&lt;=19)),"Medium Engagement", TRUE, "Low Engagement"
)</f>
        <v>Low Engagement</v>
      </c>
      <c r="AA852">
        <f t="shared" si="69"/>
        <v>0.35559265442404009</v>
      </c>
    </row>
    <row r="853" spans="1:27" x14ac:dyDescent="0.35">
      <c r="A853" s="2">
        <v>2026352035</v>
      </c>
      <c r="B853" s="2" t="s">
        <v>89</v>
      </c>
      <c r="C853" s="2">
        <f>VLOOKUP(user_activity!A64,users_details!$A$1:$G$34,5,0)</f>
        <v>21</v>
      </c>
      <c r="D853" s="2" t="str" cm="1">
        <f t="array" ref="D853">_xlfn.IFS( AND(C853&gt;=18, C853&lt;=25), "Emerging Adults",  AND(C853&gt;=26, C853&lt;=35),  "Young Adults",  AND(C853&gt;=36, C853&lt;=45),  "Midlife Adults",  AND(C853&gt;=46, C853&lt;=55), "Mature Adults", C853&gt;=56,  "Older Adults", TRUE, "Age Not Mentioned")</f>
        <v>Emerging Adults</v>
      </c>
      <c r="E853" s="2" t="str">
        <f>VLOOKUP(user_activity!A64,users_details!$A$1:$G$34,6,0)</f>
        <v>Bushwick, Brooklyn</v>
      </c>
      <c r="F853" s="2" t="str">
        <f>VLOOKUP(user_activity!A64,users_details!$A$1:$G$34,7,0)</f>
        <v>Bushwick</v>
      </c>
      <c r="G853" s="2" t="s">
        <v>72</v>
      </c>
      <c r="H853" s="7">
        <v>42526</v>
      </c>
      <c r="I853" s="9" t="str">
        <f t="shared" si="65"/>
        <v>Sunday</v>
      </c>
      <c r="J853" s="9" t="str">
        <f t="shared" si="66"/>
        <v>June</v>
      </c>
      <c r="K853" s="2">
        <v>5.079999924</v>
      </c>
      <c r="L853" s="2">
        <v>5.079999924</v>
      </c>
      <c r="M853" s="2">
        <v>0</v>
      </c>
      <c r="N853" s="2">
        <v>0</v>
      </c>
      <c r="O853" s="2">
        <v>0</v>
      </c>
      <c r="P853" s="2">
        <v>5.079999924</v>
      </c>
      <c r="Q853" s="2">
        <v>0</v>
      </c>
      <c r="R853" s="2">
        <v>0</v>
      </c>
      <c r="S853" s="2">
        <v>0</v>
      </c>
      <c r="T853" s="2">
        <v>383</v>
      </c>
      <c r="U853" s="2">
        <f t="shared" si="67"/>
        <v>383</v>
      </c>
      <c r="V853" s="2">
        <v>511</v>
      </c>
      <c r="W853" s="2">
        <v>8198</v>
      </c>
      <c r="X853" s="2">
        <f t="shared" si="68"/>
        <v>8198</v>
      </c>
      <c r="Y853" s="2">
        <v>1736</v>
      </c>
      <c r="Z853" t="str" cm="1">
        <f t="array" ref="Z853">_xlfn.IFS(OR(R853&gt;66, S853&gt;38), "High Engagement", OR(AND(R853&gt;32, R853&lt;=66), AND(S853&gt;19, S853&lt;=38)), "Medium-High Engagement", OR(AND(R853&gt;4, R853&lt;=32), AND(S853&gt;6, S853&lt;=19)),"Medium Engagement", TRUE, "Low Engagement"
)</f>
        <v>Low Engagement</v>
      </c>
      <c r="AA853">
        <f t="shared" si="69"/>
        <v>0.2117589656013662</v>
      </c>
    </row>
    <row r="854" spans="1:27" x14ac:dyDescent="0.35">
      <c r="A854" s="2">
        <v>2026352035</v>
      </c>
      <c r="B854" s="2" t="s">
        <v>89</v>
      </c>
      <c r="C854" s="2">
        <f>VLOOKUP(user_activity!A108,users_details!$A$1:$G$34,5,0)</f>
        <v>22</v>
      </c>
      <c r="D854" s="2" t="str" cm="1">
        <f t="array" ref="D854">_xlfn.IFS( AND(C854&gt;=18, C854&lt;=25), "Emerging Adults",  AND(C854&gt;=26, C854&lt;=35),  "Young Adults",  AND(C854&gt;=36, C854&lt;=45),  "Midlife Adults",  AND(C854&gt;=46, C854&lt;=55), "Mature Adults", C854&gt;=56,  "Older Adults", TRUE, "Age Not Mentioned")</f>
        <v>Emerging Adults</v>
      </c>
      <c r="E854" s="2" t="str">
        <f>VLOOKUP(user_activity!A108,users_details!$A$1:$G$34,6,0)</f>
        <v>Upper East Side, Manhattan</v>
      </c>
      <c r="F854" s="2" t="str">
        <f>VLOOKUP(user_activity!A108,users_details!$A$1:$G$34,7,0)</f>
        <v>Upper East Side</v>
      </c>
      <c r="G854" s="2" t="s">
        <v>72</v>
      </c>
      <c r="H854" s="7">
        <v>42495</v>
      </c>
      <c r="I854" s="9" t="str">
        <f t="shared" si="65"/>
        <v>Thursday</v>
      </c>
      <c r="J854" s="9" t="str">
        <f t="shared" si="66"/>
        <v>May</v>
      </c>
      <c r="K854" s="2">
        <v>7.5399999619999996</v>
      </c>
      <c r="L854" s="2">
        <v>7.5399999619999996</v>
      </c>
      <c r="M854" s="2">
        <v>0</v>
      </c>
      <c r="N854" s="2">
        <v>0</v>
      </c>
      <c r="O854" s="2">
        <v>0</v>
      </c>
      <c r="P854" s="2">
        <v>7.5399999619999996</v>
      </c>
      <c r="Q854" s="2">
        <v>0</v>
      </c>
      <c r="R854" s="2">
        <v>0</v>
      </c>
      <c r="S854" s="2">
        <v>0</v>
      </c>
      <c r="T854" s="2">
        <v>475</v>
      </c>
      <c r="U854" s="2">
        <f t="shared" si="67"/>
        <v>475</v>
      </c>
      <c r="V854" s="2">
        <v>479</v>
      </c>
      <c r="W854" s="2">
        <v>12167</v>
      </c>
      <c r="X854" s="2">
        <f t="shared" si="68"/>
        <v>12167</v>
      </c>
      <c r="Y854" s="2">
        <v>1926</v>
      </c>
      <c r="Z854" t="str" cm="1">
        <f t="array" ref="Z854">_xlfn.IFS(OR(R854&gt;66, S854&gt;38), "High Engagement", OR(AND(R854&gt;32, R854&lt;=66), AND(S854&gt;19, S854&lt;=38)), "Medium-High Engagement", OR(AND(R854&gt;4, R854&lt;=32), AND(S854&gt;6, S854&lt;=19)),"Medium Engagement", TRUE, "Low Engagement"
)</f>
        <v>Low Engagement</v>
      </c>
      <c r="AA854">
        <f t="shared" si="69"/>
        <v>0.15829703295800115</v>
      </c>
    </row>
    <row r="855" spans="1:27" x14ac:dyDescent="0.35">
      <c r="A855" s="2">
        <v>2026352035</v>
      </c>
      <c r="B855" s="2" t="s">
        <v>89</v>
      </c>
      <c r="C855" s="2">
        <f>VLOOKUP(user_activity!A116,users_details!$A$1:$G$34,5,0)</f>
        <v>22</v>
      </c>
      <c r="D855" s="2" t="str" cm="1">
        <f t="array" ref="D855">_xlfn.IFS( AND(C855&gt;=18, C855&lt;=25), "Emerging Adults",  AND(C855&gt;=26, C855&lt;=35),  "Young Adults",  AND(C855&gt;=36, C855&lt;=45),  "Midlife Adults",  AND(C855&gt;=46, C855&lt;=55), "Mature Adults", C855&gt;=56,  "Older Adults", TRUE, "Age Not Mentioned")</f>
        <v>Emerging Adults</v>
      </c>
      <c r="E855" s="2" t="str">
        <f>VLOOKUP(user_activity!A116,users_details!$A$1:$G$34,6,0)</f>
        <v>Upper East Side, Manhattan</v>
      </c>
      <c r="F855" s="2" t="str">
        <f>VLOOKUP(user_activity!A116,users_details!$A$1:$G$34,7,0)</f>
        <v>Upper East Side</v>
      </c>
      <c r="G855" s="2" t="s">
        <v>72</v>
      </c>
      <c r="H855" s="7">
        <v>42479</v>
      </c>
      <c r="I855" s="9" t="str">
        <f t="shared" si="65"/>
        <v>Tuesday</v>
      </c>
      <c r="J855" s="9" t="str">
        <f t="shared" si="66"/>
        <v>April</v>
      </c>
      <c r="K855" s="2">
        <v>1.5</v>
      </c>
      <c r="L855" s="2">
        <v>1.5</v>
      </c>
      <c r="M855" s="2">
        <v>0</v>
      </c>
      <c r="N855" s="2">
        <v>0</v>
      </c>
      <c r="O855" s="2">
        <v>0</v>
      </c>
      <c r="P855" s="2">
        <v>1.5</v>
      </c>
      <c r="Q855" s="2">
        <v>0</v>
      </c>
      <c r="R855" s="2">
        <v>0</v>
      </c>
      <c r="S855" s="2">
        <v>0</v>
      </c>
      <c r="T855" s="2">
        <v>141</v>
      </c>
      <c r="U855" s="2">
        <f t="shared" si="67"/>
        <v>141</v>
      </c>
      <c r="V855" s="2">
        <v>785</v>
      </c>
      <c r="W855" s="2">
        <v>2424</v>
      </c>
      <c r="X855" s="2">
        <f t="shared" si="68"/>
        <v>2424</v>
      </c>
      <c r="Y855" s="2">
        <v>1356</v>
      </c>
      <c r="Z855" t="str" cm="1">
        <f t="array" ref="Z855">_xlfn.IFS(OR(R855&gt;66, S855&gt;38), "High Engagement", OR(AND(R855&gt;32, R855&lt;=66), AND(S855&gt;19, S855&lt;=38)), "Medium-High Engagement", OR(AND(R855&gt;4, R855&lt;=32), AND(S855&gt;6, S855&lt;=19)),"Medium Engagement", TRUE, "Low Engagement"
)</f>
        <v>Low Engagement</v>
      </c>
      <c r="AA855">
        <f t="shared" si="69"/>
        <v>0.55940594059405946</v>
      </c>
    </row>
    <row r="856" spans="1:27" x14ac:dyDescent="0.35">
      <c r="A856" s="2">
        <v>2026352035</v>
      </c>
      <c r="B856" s="2" t="s">
        <v>89</v>
      </c>
      <c r="C856" s="2">
        <f>VLOOKUP(user_activity!A123,users_details!$A$1:$G$34,5,0)</f>
        <v>22</v>
      </c>
      <c r="D856" s="2" t="str" cm="1">
        <f t="array" ref="D856">_xlfn.IFS( AND(C856&gt;=18, C856&lt;=25), "Emerging Adults",  AND(C856&gt;=26, C856&lt;=35),  "Young Adults",  AND(C856&gt;=36, C856&lt;=45),  "Midlife Adults",  AND(C856&gt;=46, C856&lt;=55), "Mature Adults", C856&gt;=56,  "Older Adults", TRUE, "Age Not Mentioned")</f>
        <v>Emerging Adults</v>
      </c>
      <c r="E856" s="2" t="str">
        <f>VLOOKUP(user_activity!A123,users_details!$A$1:$G$34,6,0)</f>
        <v>Upper East Side, Manhattan</v>
      </c>
      <c r="F856" s="2" t="str">
        <f>VLOOKUP(user_activity!A123,users_details!$A$1:$G$34,7,0)</f>
        <v>Upper East Side</v>
      </c>
      <c r="G856" s="2" t="s">
        <v>72</v>
      </c>
      <c r="H856" s="7">
        <v>42486</v>
      </c>
      <c r="I856" s="9" t="str">
        <f t="shared" si="65"/>
        <v>Tuesday</v>
      </c>
      <c r="J856" s="9" t="str">
        <f t="shared" si="66"/>
        <v>April</v>
      </c>
      <c r="K856" s="2">
        <v>3.6800000669999999</v>
      </c>
      <c r="L856" s="2">
        <v>3.6800000669999999</v>
      </c>
      <c r="M856" s="2">
        <v>0</v>
      </c>
      <c r="N856" s="2">
        <v>0</v>
      </c>
      <c r="O856" s="2">
        <v>0</v>
      </c>
      <c r="P856" s="2">
        <v>3.6800000669999999</v>
      </c>
      <c r="Q856" s="2">
        <v>0</v>
      </c>
      <c r="R856" s="2">
        <v>0</v>
      </c>
      <c r="S856" s="2">
        <v>0</v>
      </c>
      <c r="T856" s="2">
        <v>288</v>
      </c>
      <c r="U856" s="2">
        <f t="shared" si="67"/>
        <v>288</v>
      </c>
      <c r="V856" s="2">
        <v>1018</v>
      </c>
      <c r="W856" s="2">
        <v>5933</v>
      </c>
      <c r="X856" s="2">
        <f t="shared" si="68"/>
        <v>5933</v>
      </c>
      <c r="Y856" s="2">
        <v>1595</v>
      </c>
      <c r="Z856" t="str" cm="1">
        <f t="array" ref="Z856">_xlfn.IFS(OR(R856&gt;66, S856&gt;38), "High Engagement", OR(AND(R856&gt;32, R856&lt;=66), AND(S856&gt;19, S856&lt;=38)), "Medium-High Engagement", OR(AND(R856&gt;4, R856&lt;=32), AND(S856&gt;6, S856&lt;=19)),"Medium Engagement", TRUE, "Low Engagement"
)</f>
        <v>Low Engagement</v>
      </c>
      <c r="AA856">
        <f t="shared" si="69"/>
        <v>0.26883532782740605</v>
      </c>
    </row>
    <row r="857" spans="1:27" x14ac:dyDescent="0.35">
      <c r="A857" s="2">
        <v>2026352035</v>
      </c>
      <c r="B857" s="2" t="s">
        <v>89</v>
      </c>
      <c r="C857" s="2">
        <f>VLOOKUP(user_activity!A133,users_details!$A$1:$G$34,5,0)</f>
        <v>22</v>
      </c>
      <c r="D857" s="2" t="str" cm="1">
        <f t="array" ref="D857">_xlfn.IFS( AND(C857&gt;=18, C857&lt;=25), "Emerging Adults",  AND(C857&gt;=26, C857&lt;=35),  "Young Adults",  AND(C857&gt;=36, C857&lt;=45),  "Midlife Adults",  AND(C857&gt;=46, C857&lt;=55), "Mature Adults", C857&gt;=56,  "Older Adults", TRUE, "Age Not Mentioned")</f>
        <v>Emerging Adults</v>
      </c>
      <c r="E857" s="2" t="str">
        <f>VLOOKUP(user_activity!A133,users_details!$A$1:$G$34,6,0)</f>
        <v>Washington Heights, Manhattan</v>
      </c>
      <c r="F857" s="2" t="str">
        <f>VLOOKUP(user_activity!A133,users_details!$A$1:$G$34,7,0)</f>
        <v>Washington Heights</v>
      </c>
      <c r="G857" s="2" t="s">
        <v>72</v>
      </c>
      <c r="H857" s="7">
        <v>42485</v>
      </c>
      <c r="I857" s="9" t="str">
        <f t="shared" si="65"/>
        <v>Monday</v>
      </c>
      <c r="J857" s="9" t="str">
        <f t="shared" si="66"/>
        <v>April</v>
      </c>
      <c r="K857" s="2">
        <v>3.7300000190000002</v>
      </c>
      <c r="L857" s="2">
        <v>3.7300000190000002</v>
      </c>
      <c r="M857" s="2">
        <v>0</v>
      </c>
      <c r="N857" s="2">
        <v>0</v>
      </c>
      <c r="O857" s="2">
        <v>0</v>
      </c>
      <c r="P857" s="2">
        <v>3.7300000190000002</v>
      </c>
      <c r="Q857" s="2">
        <v>0</v>
      </c>
      <c r="R857" s="2">
        <v>0</v>
      </c>
      <c r="S857" s="2">
        <v>0</v>
      </c>
      <c r="T857" s="2">
        <v>260</v>
      </c>
      <c r="U857" s="2">
        <f t="shared" si="67"/>
        <v>260</v>
      </c>
      <c r="V857" s="2">
        <v>821</v>
      </c>
      <c r="W857" s="2">
        <v>6017</v>
      </c>
      <c r="X857" s="2">
        <f t="shared" si="68"/>
        <v>6017</v>
      </c>
      <c r="Y857" s="2">
        <v>1576</v>
      </c>
      <c r="Z857" t="str" cm="1">
        <f t="array" ref="Z857">_xlfn.IFS(OR(R857&gt;66, S857&gt;38), "High Engagement", OR(AND(R857&gt;32, R857&lt;=66), AND(S857&gt;19, S857&lt;=38)), "Medium-High Engagement", OR(AND(R857&gt;4, R857&lt;=32), AND(S857&gt;6, S857&lt;=19)),"Medium Engagement", TRUE, "Low Engagement"
)</f>
        <v>Low Engagement</v>
      </c>
      <c r="AA857">
        <f t="shared" si="69"/>
        <v>0.26192454711650326</v>
      </c>
    </row>
    <row r="858" spans="1:27" x14ac:dyDescent="0.35">
      <c r="A858" s="2">
        <v>2026352035</v>
      </c>
      <c r="B858" s="2" t="s">
        <v>89</v>
      </c>
      <c r="C858" s="2">
        <f>VLOOKUP(user_activity!A188,users_details!$A$1:$G$34,5,0)</f>
        <v>23</v>
      </c>
      <c r="D858" s="2" t="str" cm="1">
        <f t="array" ref="D858">_xlfn.IFS( AND(C858&gt;=18, C858&lt;=25), "Emerging Adults",  AND(C858&gt;=26, C858&lt;=35),  "Young Adults",  AND(C858&gt;=36, C858&lt;=45),  "Midlife Adults",  AND(C858&gt;=46, C858&lt;=55), "Mature Adults", C858&gt;=56,  "Older Adults", TRUE, "Age Not Mentioned")</f>
        <v>Emerging Adults</v>
      </c>
      <c r="E858" s="2" t="str">
        <f>VLOOKUP(user_activity!A188,users_details!$A$1:$G$34,6,0)</f>
        <v>Crown Heights, Brooklyn</v>
      </c>
      <c r="F858" s="2" t="str">
        <f>VLOOKUP(user_activity!A188,users_details!$A$1:$G$34,7,0)</f>
        <v>Crown Heights</v>
      </c>
      <c r="G858" s="2" t="s">
        <v>72</v>
      </c>
      <c r="H858" s="7">
        <v>42648</v>
      </c>
      <c r="I858" s="9" t="str">
        <f t="shared" si="65"/>
        <v>Wednesday</v>
      </c>
      <c r="J858" s="9" t="str">
        <f t="shared" si="66"/>
        <v>October</v>
      </c>
      <c r="K858" s="2">
        <v>0.15999999600000001</v>
      </c>
      <c r="L858" s="2">
        <v>0.15999999600000001</v>
      </c>
      <c r="M858" s="2">
        <v>0</v>
      </c>
      <c r="N858" s="2">
        <v>0</v>
      </c>
      <c r="O858" s="2">
        <v>0</v>
      </c>
      <c r="P858" s="2">
        <v>0.15999999600000001</v>
      </c>
      <c r="Q858" s="2">
        <v>0</v>
      </c>
      <c r="R858" s="2">
        <v>0</v>
      </c>
      <c r="S858" s="2">
        <v>0</v>
      </c>
      <c r="T858" s="2">
        <v>17</v>
      </c>
      <c r="U858" s="2">
        <f t="shared" si="67"/>
        <v>17</v>
      </c>
      <c r="V858" s="2">
        <v>1002</v>
      </c>
      <c r="W858" s="2">
        <v>254</v>
      </c>
      <c r="X858" s="2">
        <f t="shared" si="68"/>
        <v>254</v>
      </c>
      <c r="Y858" s="2">
        <v>1141</v>
      </c>
      <c r="Z858" t="str" cm="1">
        <f t="array" ref="Z858">_xlfn.IFS(OR(R858&gt;66, S858&gt;38), "High Engagement", OR(AND(R858&gt;32, R858&lt;=66), AND(S858&gt;19, S858&lt;=38)), "Medium-High Engagement", OR(AND(R858&gt;4, R858&lt;=32), AND(S858&gt;6, S858&lt;=19)),"Medium Engagement", TRUE, "Low Engagement"
)</f>
        <v>Low Engagement</v>
      </c>
      <c r="AA858">
        <f t="shared" si="69"/>
        <v>4.4921259842519685</v>
      </c>
    </row>
    <row r="859" spans="1:27" x14ac:dyDescent="0.35">
      <c r="A859" s="2">
        <v>2026352035</v>
      </c>
      <c r="B859" s="2" t="s">
        <v>89</v>
      </c>
      <c r="C859" s="2">
        <f>VLOOKUP(user_activity!A209,users_details!$A$1:$G$34,5,0)</f>
        <v>24</v>
      </c>
      <c r="D859" s="2" t="str" cm="1">
        <f t="array" ref="D859">_xlfn.IFS( AND(C859&gt;=18, C859&lt;=25), "Emerging Adults",  AND(C859&gt;=26, C859&lt;=35),  "Young Adults",  AND(C859&gt;=36, C859&lt;=45),  "Midlife Adults",  AND(C859&gt;=46, C859&lt;=55), "Mature Adults", C859&gt;=56,  "Older Adults", TRUE, "Age Not Mentioned")</f>
        <v>Emerging Adults</v>
      </c>
      <c r="E859" s="2" t="str">
        <f>VLOOKUP(user_activity!A209,users_details!$A$1:$G$34,6,0)</f>
        <v>East Village, Manhattan</v>
      </c>
      <c r="F859" s="2" t="str">
        <f>VLOOKUP(user_activity!A209,users_details!$A$1:$G$34,7,0)</f>
        <v>East Village</v>
      </c>
      <c r="G859" s="2" t="s">
        <v>72</v>
      </c>
      <c r="H859" s="7">
        <v>42709</v>
      </c>
      <c r="I859" s="9" t="str">
        <f t="shared" si="65"/>
        <v>Monday</v>
      </c>
      <c r="J859" s="9" t="str">
        <f t="shared" si="66"/>
        <v>December</v>
      </c>
      <c r="K859" s="2">
        <v>5.5100002290000001</v>
      </c>
      <c r="L859" s="2">
        <v>5.5100002290000001</v>
      </c>
      <c r="M859" s="2">
        <v>0</v>
      </c>
      <c r="N859" s="2">
        <v>0</v>
      </c>
      <c r="O859" s="2">
        <v>0</v>
      </c>
      <c r="P859" s="2">
        <v>5.5100002290000001</v>
      </c>
      <c r="Q859" s="2">
        <v>0</v>
      </c>
      <c r="R859" s="2">
        <v>0</v>
      </c>
      <c r="S859" s="2">
        <v>0</v>
      </c>
      <c r="T859" s="2">
        <v>343</v>
      </c>
      <c r="U859" s="2">
        <f t="shared" si="67"/>
        <v>343</v>
      </c>
      <c r="V859" s="2">
        <v>330</v>
      </c>
      <c r="W859" s="2">
        <v>8891</v>
      </c>
      <c r="X859" s="2">
        <f t="shared" si="68"/>
        <v>8891</v>
      </c>
      <c r="Y859" s="2">
        <v>1364</v>
      </c>
      <c r="Z859" t="str" cm="1">
        <f t="array" ref="Z859">_xlfn.IFS(OR(R859&gt;66, S859&gt;38), "High Engagement", OR(AND(R859&gt;32, R859&lt;=66), AND(S859&gt;19, S859&lt;=38)), "Medium-High Engagement", OR(AND(R859&gt;4, R859&lt;=32), AND(S859&gt;6, S859&lt;=19)),"Medium Engagement", TRUE, "Low Engagement"
)</f>
        <v>Low Engagement</v>
      </c>
      <c r="AA859">
        <f t="shared" si="69"/>
        <v>0.15341356427848385</v>
      </c>
    </row>
    <row r="860" spans="1:27" x14ac:dyDescent="0.35">
      <c r="A860" s="2">
        <v>2026352035</v>
      </c>
      <c r="B860" s="2" t="s">
        <v>89</v>
      </c>
      <c r="C860" s="2">
        <f>VLOOKUP(user_activity!A231,users_details!$A$1:$G$34,5,0)</f>
        <v>24</v>
      </c>
      <c r="D860" s="2" t="str" cm="1">
        <f t="array" ref="D860">_xlfn.IFS( AND(C860&gt;=18, C860&lt;=25), "Emerging Adults",  AND(C860&gt;=26, C860&lt;=35),  "Young Adults",  AND(C860&gt;=36, C860&lt;=45),  "Midlife Adults",  AND(C860&gt;=46, C860&lt;=55), "Mature Adults", C860&gt;=56,  "Older Adults", TRUE, "Age Not Mentioned")</f>
        <v>Emerging Adults</v>
      </c>
      <c r="E860" s="2" t="str">
        <f>VLOOKUP(user_activity!A231,users_details!$A$1:$G$34,6,0)</f>
        <v>East Village, Manhattan</v>
      </c>
      <c r="F860" s="2" t="str">
        <f>VLOOKUP(user_activity!A231,users_details!$A$1:$G$34,7,0)</f>
        <v>East Village</v>
      </c>
      <c r="G860" s="2" t="s">
        <v>72</v>
      </c>
      <c r="H860" s="7">
        <v>42483</v>
      </c>
      <c r="I860" s="9" t="str">
        <f t="shared" si="65"/>
        <v>Saturday</v>
      </c>
      <c r="J860" s="9" t="str">
        <f t="shared" si="66"/>
        <v>April</v>
      </c>
      <c r="K860" s="2">
        <v>7.7100000380000004</v>
      </c>
      <c r="L860" s="2">
        <v>7.7100000380000004</v>
      </c>
      <c r="M860" s="2">
        <v>0</v>
      </c>
      <c r="N860" s="2">
        <v>0</v>
      </c>
      <c r="O860" s="2">
        <v>0</v>
      </c>
      <c r="P860" s="2">
        <v>7.7100000380000004</v>
      </c>
      <c r="Q860" s="2">
        <v>0</v>
      </c>
      <c r="R860" s="2">
        <v>0</v>
      </c>
      <c r="S860" s="2">
        <v>0</v>
      </c>
      <c r="T860" s="2">
        <v>432</v>
      </c>
      <c r="U860" s="2">
        <f t="shared" si="67"/>
        <v>432</v>
      </c>
      <c r="V860" s="2">
        <v>458</v>
      </c>
      <c r="W860" s="2">
        <v>12357</v>
      </c>
      <c r="X860" s="2">
        <f t="shared" si="68"/>
        <v>12357</v>
      </c>
      <c r="Y860" s="2">
        <v>1916</v>
      </c>
      <c r="Z860" t="str" cm="1">
        <f t="array" ref="Z860">_xlfn.IFS(OR(R860&gt;66, S860&gt;38), "High Engagement", OR(AND(R860&gt;32, R860&lt;=66), AND(S860&gt;19, S860&lt;=38)), "Medium-High Engagement", OR(AND(R860&gt;4, R860&lt;=32), AND(S860&gt;6, S860&lt;=19)),"Medium Engagement", TRUE, "Low Engagement"
)</f>
        <v>Low Engagement</v>
      </c>
      <c r="AA860">
        <f t="shared" si="69"/>
        <v>0.15505381565104798</v>
      </c>
    </row>
    <row r="861" spans="1:27" x14ac:dyDescent="0.35">
      <c r="A861" s="2">
        <v>2026352035</v>
      </c>
      <c r="B861" s="2" t="s">
        <v>89</v>
      </c>
      <c r="C861" s="2">
        <f>VLOOKUP(user_activity!A240,users_details!$A$1:$G$34,5,0)</f>
        <v>29</v>
      </c>
      <c r="D861" s="2" t="str" cm="1">
        <f t="array" ref="D861">_xlfn.IFS( AND(C861&gt;=18, C861&lt;=25), "Emerging Adults",  AND(C861&gt;=26, C861&lt;=35),  "Young Adults",  AND(C861&gt;=36, C861&lt;=45),  "Midlife Adults",  AND(C861&gt;=46, C861&lt;=55), "Mature Adults", C861&gt;=56,  "Older Adults", TRUE, "Age Not Mentioned")</f>
        <v>Young Adults</v>
      </c>
      <c r="E861" s="2" t="str">
        <f>VLOOKUP(user_activity!A240,users_details!$A$1:$G$34,6,0)</f>
        <v>East Village, Manhattan</v>
      </c>
      <c r="F861" s="2" t="str">
        <f>VLOOKUP(user_activity!A240,users_details!$A$1:$G$34,7,0)</f>
        <v>East Village</v>
      </c>
      <c r="G861" s="2" t="s">
        <v>72</v>
      </c>
      <c r="H861" s="7">
        <v>42374</v>
      </c>
      <c r="I861" s="9" t="str">
        <f t="shared" si="65"/>
        <v>Tuesday</v>
      </c>
      <c r="J861" s="9" t="str">
        <f t="shared" si="66"/>
        <v>January</v>
      </c>
      <c r="K861" s="2">
        <v>2.2799999710000001</v>
      </c>
      <c r="L861" s="2">
        <v>2.2799999710000001</v>
      </c>
      <c r="M861" s="2">
        <v>0</v>
      </c>
      <c r="N861" s="2">
        <v>0</v>
      </c>
      <c r="O861" s="2">
        <v>0</v>
      </c>
      <c r="P861" s="2">
        <v>2.2799999710000001</v>
      </c>
      <c r="Q861" s="2">
        <v>0</v>
      </c>
      <c r="R861" s="2">
        <v>0</v>
      </c>
      <c r="S861" s="2">
        <v>0</v>
      </c>
      <c r="T861" s="2">
        <v>191</v>
      </c>
      <c r="U861" s="2">
        <f t="shared" si="67"/>
        <v>191</v>
      </c>
      <c r="V861" s="2">
        <v>716</v>
      </c>
      <c r="W861" s="2">
        <v>3609</v>
      </c>
      <c r="X861" s="2">
        <f t="shared" si="68"/>
        <v>3609</v>
      </c>
      <c r="Y861" s="2">
        <v>1447</v>
      </c>
      <c r="Z861" t="str" cm="1">
        <f t="array" ref="Z861">_xlfn.IFS(OR(R861&gt;66, S861&gt;38), "High Engagement", OR(AND(R861&gt;32, R861&lt;=66), AND(S861&gt;19, S861&lt;=38)), "Medium-High Engagement", OR(AND(R861&gt;4, R861&lt;=32), AND(S861&gt;6, S861&lt;=19)),"Medium Engagement", TRUE, "Low Engagement"
)</f>
        <v>Low Engagement</v>
      </c>
      <c r="AA861">
        <f t="shared" si="69"/>
        <v>0.40094208922139096</v>
      </c>
    </row>
    <row r="862" spans="1:27" x14ac:dyDescent="0.35">
      <c r="A862" s="2">
        <v>2026352035</v>
      </c>
      <c r="B862" s="2" t="s">
        <v>89</v>
      </c>
      <c r="C862" s="2">
        <f>VLOOKUP(user_activity!A241,users_details!$A$1:$G$34,5,0)</f>
        <v>29</v>
      </c>
      <c r="D862" s="2" t="str" cm="1">
        <f t="array" ref="D862">_xlfn.IFS( AND(C862&gt;=18, C862&lt;=25), "Emerging Adults",  AND(C862&gt;=26, C862&lt;=35),  "Young Adults",  AND(C862&gt;=36, C862&lt;=45),  "Midlife Adults",  AND(C862&gt;=46, C862&lt;=55), "Mature Adults", C862&gt;=56,  "Older Adults", TRUE, "Age Not Mentioned")</f>
        <v>Young Adults</v>
      </c>
      <c r="E862" s="2" t="str">
        <f>VLOOKUP(user_activity!A241,users_details!$A$1:$G$34,6,0)</f>
        <v>East Village, Manhattan</v>
      </c>
      <c r="F862" s="2" t="str">
        <f>VLOOKUP(user_activity!A241,users_details!$A$1:$G$34,7,0)</f>
        <v>East Village</v>
      </c>
      <c r="G862" s="2" t="s">
        <v>72</v>
      </c>
      <c r="H862" s="7">
        <v>42587</v>
      </c>
      <c r="I862" s="9" t="str">
        <f t="shared" si="65"/>
        <v>Friday</v>
      </c>
      <c r="J862" s="9" t="str">
        <f t="shared" si="66"/>
        <v>August</v>
      </c>
      <c r="K862" s="2">
        <v>3.4500000480000002</v>
      </c>
      <c r="L862" s="2">
        <v>3.4500000480000002</v>
      </c>
      <c r="M862" s="2">
        <v>0</v>
      </c>
      <c r="N862" s="2">
        <v>0</v>
      </c>
      <c r="O862" s="2">
        <v>0</v>
      </c>
      <c r="P862" s="2">
        <v>3.4500000480000002</v>
      </c>
      <c r="Q862" s="2">
        <v>0</v>
      </c>
      <c r="R862" s="2">
        <v>0</v>
      </c>
      <c r="S862" s="2">
        <v>0</v>
      </c>
      <c r="T862" s="2">
        <v>258</v>
      </c>
      <c r="U862" s="2">
        <f t="shared" si="67"/>
        <v>258</v>
      </c>
      <c r="V862" s="2">
        <v>610</v>
      </c>
      <c r="W862" s="2">
        <v>5528</v>
      </c>
      <c r="X862" s="2">
        <f t="shared" si="68"/>
        <v>5528</v>
      </c>
      <c r="Y862" s="2">
        <v>1555</v>
      </c>
      <c r="Z862" t="str" cm="1">
        <f t="array" ref="Z862">_xlfn.IFS(OR(R862&gt;66, S862&gt;38), "High Engagement", OR(AND(R862&gt;32, R862&lt;=66), AND(S862&gt;19, S862&lt;=38)), "Medium-High Engagement", OR(AND(R862&gt;4, R862&lt;=32), AND(S862&gt;6, S862&lt;=19)),"Medium Engagement", TRUE, "Low Engagement"
)</f>
        <v>Low Engagement</v>
      </c>
      <c r="AA862">
        <f t="shared" si="69"/>
        <v>0.28129522431259046</v>
      </c>
    </row>
    <row r="863" spans="1:27" x14ac:dyDescent="0.35">
      <c r="A863" s="2">
        <v>2026352035</v>
      </c>
      <c r="B863" s="2" t="s">
        <v>89</v>
      </c>
      <c r="C863" s="2">
        <f>VLOOKUP(user_activity!A279,users_details!$A$1:$G$34,5,0)</f>
        <v>29</v>
      </c>
      <c r="D863" s="2" t="str" cm="1">
        <f t="array" ref="D863">_xlfn.IFS( AND(C863&gt;=18, C863&lt;=25), "Emerging Adults",  AND(C863&gt;=26, C863&lt;=35),  "Young Adults",  AND(C863&gt;=36, C863&lt;=45),  "Midlife Adults",  AND(C863&gt;=46, C863&lt;=55), "Mature Adults", C863&gt;=56,  "Older Adults", TRUE, "Age Not Mentioned")</f>
        <v>Young Adults</v>
      </c>
      <c r="E863" s="2" t="str">
        <f>VLOOKUP(user_activity!A279,users_details!$A$1:$G$34,6,0)</f>
        <v>East Village, Manhattan</v>
      </c>
      <c r="F863" s="2" t="str">
        <f>VLOOKUP(user_activity!A279,users_details!$A$1:$G$34,7,0)</f>
        <v>East Village</v>
      </c>
      <c r="G863" s="2" t="s">
        <v>72</v>
      </c>
      <c r="H863" s="7">
        <v>42618</v>
      </c>
      <c r="I863" s="9" t="str">
        <f t="shared" si="65"/>
        <v>Monday</v>
      </c>
      <c r="J863" s="9" t="str">
        <f t="shared" si="66"/>
        <v>September</v>
      </c>
      <c r="K863" s="2">
        <v>6.6199998860000004</v>
      </c>
      <c r="L863" s="2">
        <v>6.6199998860000004</v>
      </c>
      <c r="M863" s="2">
        <v>0</v>
      </c>
      <c r="N863" s="2">
        <v>0</v>
      </c>
      <c r="O863" s="2">
        <v>0</v>
      </c>
      <c r="P863" s="2">
        <v>6.5999999049999998</v>
      </c>
      <c r="Q863" s="2">
        <v>0</v>
      </c>
      <c r="R863" s="2">
        <v>0</v>
      </c>
      <c r="S863" s="2">
        <v>0</v>
      </c>
      <c r="T863" s="2">
        <v>401</v>
      </c>
      <c r="U863" s="2">
        <f t="shared" si="67"/>
        <v>401</v>
      </c>
      <c r="V863" s="2">
        <v>543</v>
      </c>
      <c r="W863" s="2">
        <v>10685</v>
      </c>
      <c r="X863" s="2">
        <f t="shared" si="68"/>
        <v>10685</v>
      </c>
      <c r="Y863" s="2">
        <v>1869</v>
      </c>
      <c r="Z863" t="str" cm="1">
        <f t="array" ref="Z863">_xlfn.IFS(OR(R863&gt;66, S863&gt;38), "High Engagement", OR(AND(R863&gt;32, R863&lt;=66), AND(S863&gt;19, S863&lt;=38)), "Medium-High Engagement", OR(AND(R863&gt;4, R863&lt;=32), AND(S863&gt;6, S863&lt;=19)),"Medium Engagement", TRUE, "Low Engagement"
)</f>
        <v>Low Engagement</v>
      </c>
      <c r="AA863">
        <f t="shared" si="69"/>
        <v>0.17491810949929809</v>
      </c>
    </row>
    <row r="864" spans="1:27" x14ac:dyDescent="0.35">
      <c r="A864" s="2">
        <v>2026352035</v>
      </c>
      <c r="B864" s="2" t="s">
        <v>89</v>
      </c>
      <c r="C864" s="2">
        <f>VLOOKUP(user_activity!A318,users_details!$A$1:$G$34,5,0)</f>
        <v>30</v>
      </c>
      <c r="D864" s="2" t="str" cm="1">
        <f t="array" ref="D864">_xlfn.IFS( AND(C864&gt;=18, C864&lt;=25), "Emerging Adults",  AND(C864&gt;=26, C864&lt;=35),  "Young Adults",  AND(C864&gt;=36, C864&lt;=45),  "Midlife Adults",  AND(C864&gt;=46, C864&lt;=55), "Mature Adults", C864&gt;=56,  "Older Adults", TRUE, "Age Not Mentioned")</f>
        <v>Young Adults</v>
      </c>
      <c r="E864" s="2" t="str">
        <f>VLOOKUP(user_activity!A318,users_details!$A$1:$G$34,6,0)</f>
        <v>Clinton Hill, Brooklyn</v>
      </c>
      <c r="F864" s="2" t="str">
        <f>VLOOKUP(user_activity!A318,users_details!$A$1:$G$34,7,0)</f>
        <v>Clinton Hill</v>
      </c>
      <c r="G864" s="2" t="s">
        <v>72</v>
      </c>
      <c r="H864" s="7">
        <v>42480</v>
      </c>
      <c r="I864" s="9" t="str">
        <f t="shared" si="65"/>
        <v>Wednesday</v>
      </c>
      <c r="J864" s="9" t="str">
        <f t="shared" si="66"/>
        <v>April</v>
      </c>
      <c r="K864" s="2">
        <v>4.4800000190000002</v>
      </c>
      <c r="L864" s="2">
        <v>4.4800000190000002</v>
      </c>
      <c r="M864" s="2">
        <v>0</v>
      </c>
      <c r="N864" s="2">
        <v>0</v>
      </c>
      <c r="O864" s="2">
        <v>0</v>
      </c>
      <c r="P864" s="2">
        <v>4.4800000190000002</v>
      </c>
      <c r="Q864" s="2">
        <v>0</v>
      </c>
      <c r="R864" s="2">
        <v>0</v>
      </c>
      <c r="S864" s="2">
        <v>0</v>
      </c>
      <c r="T864" s="2">
        <v>327</v>
      </c>
      <c r="U864" s="2">
        <f t="shared" si="67"/>
        <v>327</v>
      </c>
      <c r="V864" s="2">
        <v>623</v>
      </c>
      <c r="W864" s="2">
        <v>7222</v>
      </c>
      <c r="X864" s="2">
        <f t="shared" si="68"/>
        <v>7222</v>
      </c>
      <c r="Y864" s="2">
        <v>1667</v>
      </c>
      <c r="Z864" t="str" cm="1">
        <f t="array" ref="Z864">_xlfn.IFS(OR(R864&gt;66, S864&gt;38), "High Engagement", OR(AND(R864&gt;32, R864&lt;=66), AND(S864&gt;19, S864&lt;=38)), "Medium-High Engagement", OR(AND(R864&gt;4, R864&lt;=32), AND(S864&gt;6, S864&lt;=19)),"Medium Engagement", TRUE, "Low Engagement"
)</f>
        <v>Low Engagement</v>
      </c>
      <c r="AA864">
        <f t="shared" si="69"/>
        <v>0.2308224868457491</v>
      </c>
    </row>
    <row r="865" spans="1:27" x14ac:dyDescent="0.35">
      <c r="A865" s="2">
        <v>2026352035</v>
      </c>
      <c r="B865" s="2" t="s">
        <v>89</v>
      </c>
      <c r="C865" s="2">
        <f>VLOOKUP(user_activity!A341,users_details!$A$1:$G$34,5,0)</f>
        <v>30</v>
      </c>
      <c r="D865" s="2" t="str" cm="1">
        <f t="array" ref="D865">_xlfn.IFS( AND(C865&gt;=18, C865&lt;=25), "Emerging Adults",  AND(C865&gt;=26, C865&lt;=35),  "Young Adults",  AND(C865&gt;=36, C865&lt;=45),  "Midlife Adults",  AND(C865&gt;=46, C865&lt;=55), "Mature Adults", C865&gt;=56,  "Older Adults", TRUE, "Age Not Mentioned")</f>
        <v>Young Adults</v>
      </c>
      <c r="E865" s="2" t="str">
        <f>VLOOKUP(user_activity!A341,users_details!$A$1:$G$34,6,0)</f>
        <v>Midtown, Manhattan</v>
      </c>
      <c r="F865" s="2" t="str">
        <f>VLOOKUP(user_activity!A341,users_details!$A$1:$G$34,7,0)</f>
        <v>Midtown</v>
      </c>
      <c r="G865" s="2" t="s">
        <v>72</v>
      </c>
      <c r="H865" s="7">
        <v>42708</v>
      </c>
      <c r="I865" s="9" t="str">
        <f t="shared" si="65"/>
        <v>Sunday</v>
      </c>
      <c r="J865" s="9" t="str">
        <f t="shared" si="66"/>
        <v>December</v>
      </c>
      <c r="K865" s="2">
        <v>2.7400000100000002</v>
      </c>
      <c r="L865" s="2">
        <v>2.7400000100000002</v>
      </c>
      <c r="M865" s="2">
        <v>0</v>
      </c>
      <c r="N865" s="2">
        <v>0.189999998</v>
      </c>
      <c r="O865" s="2">
        <v>0.34999999399999998</v>
      </c>
      <c r="P865" s="2">
        <v>2.2000000480000002</v>
      </c>
      <c r="Q865" s="2">
        <v>0</v>
      </c>
      <c r="R865" s="2">
        <v>3</v>
      </c>
      <c r="S865" s="2">
        <v>8</v>
      </c>
      <c r="T865" s="2">
        <v>181</v>
      </c>
      <c r="U865" s="2">
        <f t="shared" si="67"/>
        <v>192</v>
      </c>
      <c r="V865" s="2">
        <v>706</v>
      </c>
      <c r="W865" s="2">
        <v>4414</v>
      </c>
      <c r="X865" s="2">
        <f t="shared" si="68"/>
        <v>4414</v>
      </c>
      <c r="Y865" s="2">
        <v>1459</v>
      </c>
      <c r="Z865" t="str" cm="1">
        <f t="array" ref="Z865">_xlfn.IFS(OR(R865&gt;66, S865&gt;38), "High Engagement", OR(AND(R865&gt;32, R865&lt;=66), AND(S865&gt;19, S865&lt;=38)), "Medium-High Engagement", OR(AND(R865&gt;4, R865&lt;=32), AND(S865&gt;6, S865&lt;=19)),"Medium Engagement", TRUE, "Low Engagement"
)</f>
        <v>Medium Engagement</v>
      </c>
      <c r="AA865">
        <f t="shared" si="69"/>
        <v>0.33053919347530586</v>
      </c>
    </row>
    <row r="866" spans="1:27" x14ac:dyDescent="0.35">
      <c r="A866" s="2">
        <v>2026352035</v>
      </c>
      <c r="B866" s="2" t="s">
        <v>89</v>
      </c>
      <c r="C866" s="2">
        <f>VLOOKUP(user_activity!A471,users_details!$A$1:$G$34,5,0)</f>
        <v>33</v>
      </c>
      <c r="D866" s="2" t="str" cm="1">
        <f t="array" ref="D866">_xlfn.IFS( AND(C866&gt;=18, C866&lt;=25), "Emerging Adults",  AND(C866&gt;=26, C866&lt;=35),  "Young Adults",  AND(C866&gt;=36, C866&lt;=45),  "Midlife Adults",  AND(C866&gt;=46, C866&lt;=55), "Mature Adults", C866&gt;=56,  "Older Adults", TRUE, "Age Not Mentioned")</f>
        <v>Young Adults</v>
      </c>
      <c r="E866" s="2" t="str">
        <f>VLOOKUP(user_activity!A471,users_details!$A$1:$G$34,6,0)</f>
        <v>Harlem, Manhattan</v>
      </c>
      <c r="F866" s="2" t="str">
        <f>VLOOKUP(user_activity!A471,users_details!$A$1:$G$34,7,0)</f>
        <v>Harlem</v>
      </c>
      <c r="G866" s="2" t="s">
        <v>72</v>
      </c>
      <c r="H866" s="7">
        <v>42490</v>
      </c>
      <c r="I866" s="9" t="str">
        <f t="shared" si="65"/>
        <v>Saturday</v>
      </c>
      <c r="J866" s="9" t="str">
        <f t="shared" si="66"/>
        <v>April</v>
      </c>
      <c r="K866" s="2">
        <v>2.9300000669999999</v>
      </c>
      <c r="L866" s="2">
        <v>2.9300000669999999</v>
      </c>
      <c r="M866" s="2">
        <v>0</v>
      </c>
      <c r="N866" s="2">
        <v>0</v>
      </c>
      <c r="O866" s="2">
        <v>0</v>
      </c>
      <c r="P866" s="2">
        <v>2.9300000669999999</v>
      </c>
      <c r="Q866" s="2">
        <v>0</v>
      </c>
      <c r="R866" s="2">
        <v>0</v>
      </c>
      <c r="S866" s="2">
        <v>0</v>
      </c>
      <c r="T866" s="2">
        <v>233</v>
      </c>
      <c r="U866" s="2">
        <f t="shared" si="67"/>
        <v>233</v>
      </c>
      <c r="V866" s="2">
        <v>594</v>
      </c>
      <c r="W866" s="2">
        <v>4729</v>
      </c>
      <c r="X866" s="2">
        <f t="shared" si="68"/>
        <v>4729</v>
      </c>
      <c r="Y866" s="2">
        <v>1506</v>
      </c>
      <c r="Z866" t="str" cm="1">
        <f t="array" ref="Z866">_xlfn.IFS(OR(R866&gt;66, S866&gt;38), "High Engagement", OR(AND(R866&gt;32, R866&lt;=66), AND(S866&gt;19, S866&lt;=38)), "Medium-High Engagement", OR(AND(R866&gt;4, R866&lt;=32), AND(S866&gt;6, S866&lt;=19)),"Medium Engagement", TRUE, "Low Engagement"
)</f>
        <v>Low Engagement</v>
      </c>
      <c r="AA866">
        <f t="shared" si="69"/>
        <v>0.31846056248678367</v>
      </c>
    </row>
    <row r="867" spans="1:27" x14ac:dyDescent="0.35">
      <c r="A867" s="2">
        <v>2026352035</v>
      </c>
      <c r="B867" s="2" t="s">
        <v>89</v>
      </c>
      <c r="C867" s="2">
        <f>VLOOKUP(user_activity!A495,users_details!$A$1:$G$34,5,0)</f>
        <v>33</v>
      </c>
      <c r="D867" s="2" t="str" cm="1">
        <f t="array" ref="D867">_xlfn.IFS( AND(C867&gt;=18, C867&lt;=25), "Emerging Adults",  AND(C867&gt;=26, C867&lt;=35),  "Young Adults",  AND(C867&gt;=36, C867&lt;=45),  "Midlife Adults",  AND(C867&gt;=46, C867&lt;=55), "Mature Adults", C867&gt;=56,  "Older Adults", TRUE, "Age Not Mentioned")</f>
        <v>Young Adults</v>
      </c>
      <c r="E867" s="2" t="str">
        <f>VLOOKUP(user_activity!A495,users_details!$A$1:$G$34,6,0)</f>
        <v>Greenpoint, Brooklyn</v>
      </c>
      <c r="F867" s="2" t="str">
        <f>VLOOKUP(user_activity!A495,users_details!$A$1:$G$34,7,0)</f>
        <v>Greenpoint</v>
      </c>
      <c r="G867" s="2" t="s">
        <v>72</v>
      </c>
      <c r="H867" s="7">
        <v>42475</v>
      </c>
      <c r="I867" s="9" t="str">
        <f t="shared" si="65"/>
        <v>Friday</v>
      </c>
      <c r="J867" s="9" t="str">
        <f t="shared" si="66"/>
        <v>April</v>
      </c>
      <c r="K867" s="2">
        <v>2.369999886</v>
      </c>
      <c r="L867" s="2">
        <v>2.369999886</v>
      </c>
      <c r="M867" s="2">
        <v>0</v>
      </c>
      <c r="N867" s="2">
        <v>0</v>
      </c>
      <c r="O867" s="2">
        <v>0</v>
      </c>
      <c r="P867" s="2">
        <v>2.369999886</v>
      </c>
      <c r="Q867" s="2">
        <v>0</v>
      </c>
      <c r="R867" s="2">
        <v>0</v>
      </c>
      <c r="S867" s="2">
        <v>0</v>
      </c>
      <c r="T867" s="2">
        <v>188</v>
      </c>
      <c r="U867" s="2">
        <f t="shared" si="67"/>
        <v>188</v>
      </c>
      <c r="V867" s="2">
        <v>687</v>
      </c>
      <c r="W867" s="2">
        <v>3821</v>
      </c>
      <c r="X867" s="2">
        <f t="shared" si="68"/>
        <v>3821</v>
      </c>
      <c r="Y867" s="2">
        <v>1444</v>
      </c>
      <c r="Z867" t="str" cm="1">
        <f t="array" ref="Z867">_xlfn.IFS(OR(R867&gt;66, S867&gt;38), "High Engagement", OR(AND(R867&gt;32, R867&lt;=66), AND(S867&gt;19, S867&lt;=38)), "Medium-High Engagement", OR(AND(R867&gt;4, R867&lt;=32), AND(S867&gt;6, S867&lt;=19)),"Medium Engagement", TRUE, "Low Engagement"
)</f>
        <v>Low Engagement</v>
      </c>
      <c r="AA867">
        <f t="shared" si="69"/>
        <v>0.37791154148128764</v>
      </c>
    </row>
    <row r="868" spans="1:27" x14ac:dyDescent="0.35">
      <c r="A868" s="2">
        <v>2026352035</v>
      </c>
      <c r="B868" s="2" t="s">
        <v>89</v>
      </c>
      <c r="C868" s="2">
        <f>VLOOKUP(user_activity!A526,users_details!$A$1:$G$34,5,0)</f>
        <v>36</v>
      </c>
      <c r="D868" s="2" t="str" cm="1">
        <f t="array" ref="D868">_xlfn.IFS( AND(C868&gt;=18, C868&lt;=25), "Emerging Adults",  AND(C868&gt;=26, C868&lt;=35),  "Young Adults",  AND(C868&gt;=36, C868&lt;=45),  "Midlife Adults",  AND(C868&gt;=46, C868&lt;=55), "Mature Adults", C868&gt;=56,  "Older Adults", TRUE, "Age Not Mentioned")</f>
        <v>Midlife Adults</v>
      </c>
      <c r="E868" s="2" t="str">
        <f>VLOOKUP(user_activity!A526,users_details!$A$1:$G$34,6,0)</f>
        <v>Williamsburg, Brooklyn</v>
      </c>
      <c r="F868" s="2" t="str">
        <f>VLOOKUP(user_activity!A526,users_details!$A$1:$G$34,7,0)</f>
        <v>Williamsburg</v>
      </c>
      <c r="G868" s="2" t="s">
        <v>72</v>
      </c>
      <c r="H868" s="7">
        <v>42482</v>
      </c>
      <c r="I868" s="9" t="str">
        <f t="shared" si="65"/>
        <v>Friday</v>
      </c>
      <c r="J868" s="9" t="str">
        <f t="shared" si="66"/>
        <v>April</v>
      </c>
      <c r="K868" s="2">
        <v>1.809999943</v>
      </c>
      <c r="L868" s="2">
        <v>1.809999943</v>
      </c>
      <c r="M868" s="2">
        <v>0</v>
      </c>
      <c r="N868" s="2">
        <v>0</v>
      </c>
      <c r="O868" s="2">
        <v>0</v>
      </c>
      <c r="P868" s="2">
        <v>1.809999943</v>
      </c>
      <c r="Q868" s="2">
        <v>0</v>
      </c>
      <c r="R868" s="2">
        <v>0</v>
      </c>
      <c r="S868" s="2">
        <v>0</v>
      </c>
      <c r="T868" s="2">
        <v>162</v>
      </c>
      <c r="U868" s="2">
        <f t="shared" si="67"/>
        <v>162</v>
      </c>
      <c r="V868" s="2">
        <v>712</v>
      </c>
      <c r="W868" s="2">
        <v>2915</v>
      </c>
      <c r="X868" s="2">
        <f t="shared" si="68"/>
        <v>2915</v>
      </c>
      <c r="Y868" s="2">
        <v>1399</v>
      </c>
      <c r="Z868" t="str" cm="1">
        <f t="array" ref="Z868">_xlfn.IFS(OR(R868&gt;66, S868&gt;38), "High Engagement", OR(AND(R868&gt;32, R868&lt;=66), AND(S868&gt;19, S868&lt;=38)), "Medium-High Engagement", OR(AND(R868&gt;4, R868&lt;=32), AND(S868&gt;6, S868&lt;=19)),"Medium Engagement", TRUE, "Low Engagement"
)</f>
        <v>Low Engagement</v>
      </c>
      <c r="AA868">
        <f t="shared" si="69"/>
        <v>0.47993138936535162</v>
      </c>
    </row>
    <row r="869" spans="1:27" x14ac:dyDescent="0.35">
      <c r="A869" s="2">
        <v>2026352035</v>
      </c>
      <c r="B869" s="2" t="s">
        <v>89</v>
      </c>
      <c r="C869" s="2">
        <f>VLOOKUP(user_activity!A570,users_details!$A$1:$G$34,5,0)</f>
        <v>38</v>
      </c>
      <c r="D869" s="2" t="str" cm="1">
        <f t="array" ref="D869">_xlfn.IFS( AND(C869&gt;=18, C869&lt;=25), "Emerging Adults",  AND(C869&gt;=26, C869&lt;=35),  "Young Adults",  AND(C869&gt;=36, C869&lt;=45),  "Midlife Adults",  AND(C869&gt;=46, C869&lt;=55), "Mature Adults", C869&gt;=56,  "Older Adults", TRUE, "Age Not Mentioned")</f>
        <v>Midlife Adults</v>
      </c>
      <c r="E869" s="2" t="str">
        <f>VLOOKUP(user_activity!A570,users_details!$A$1:$G$34,6,0)</f>
        <v>East Harlem, Manhattan</v>
      </c>
      <c r="F869" s="2" t="str">
        <f>VLOOKUP(user_activity!A570,users_details!$A$1:$G$34,7,0)</f>
        <v>East Harlem</v>
      </c>
      <c r="G869" s="2" t="s">
        <v>72</v>
      </c>
      <c r="H869" s="7">
        <v>42477</v>
      </c>
      <c r="I869" s="9" t="str">
        <f t="shared" si="65"/>
        <v>Sunday</v>
      </c>
      <c r="J869" s="9" t="str">
        <f t="shared" si="66"/>
        <v>April</v>
      </c>
      <c r="K869" s="2">
        <v>0.519999981</v>
      </c>
      <c r="L869" s="2">
        <v>0.519999981</v>
      </c>
      <c r="M869" s="2">
        <v>0</v>
      </c>
      <c r="N869" s="2">
        <v>0</v>
      </c>
      <c r="O869" s="2">
        <v>0</v>
      </c>
      <c r="P869" s="2">
        <v>0.519999981</v>
      </c>
      <c r="Q869" s="2">
        <v>0</v>
      </c>
      <c r="R869" s="2">
        <v>0</v>
      </c>
      <c r="S869" s="2">
        <v>0</v>
      </c>
      <c r="T869" s="2">
        <v>60</v>
      </c>
      <c r="U869" s="2">
        <f t="shared" si="67"/>
        <v>60</v>
      </c>
      <c r="V869" s="2">
        <v>1053</v>
      </c>
      <c r="W869" s="2">
        <v>838</v>
      </c>
      <c r="X869" s="2">
        <f t="shared" si="68"/>
        <v>838</v>
      </c>
      <c r="Y869" s="2">
        <v>1214</v>
      </c>
      <c r="Z869" t="str" cm="1">
        <f t="array" ref="Z869">_xlfn.IFS(OR(R869&gt;66, S869&gt;38), "High Engagement", OR(AND(R869&gt;32, R869&lt;=66), AND(S869&gt;19, S869&lt;=38)), "Medium-High Engagement", OR(AND(R869&gt;4, R869&lt;=32), AND(S869&gt;6, S869&lt;=19)),"Medium Engagement", TRUE, "Low Engagement"
)</f>
        <v>Low Engagement</v>
      </c>
      <c r="AA869">
        <f t="shared" si="69"/>
        <v>1.4486873508353222</v>
      </c>
    </row>
    <row r="870" spans="1:27" x14ac:dyDescent="0.35">
      <c r="A870" s="2">
        <v>2026352035</v>
      </c>
      <c r="B870" s="2" t="s">
        <v>89</v>
      </c>
      <c r="C870" s="2">
        <f>VLOOKUP(user_activity!A611,users_details!$A$1:$G$34,5,0)</f>
        <v>41</v>
      </c>
      <c r="D870" s="2" t="str" cm="1">
        <f t="array" ref="D870">_xlfn.IFS( AND(C870&gt;=18, C870&lt;=25), "Emerging Adults",  AND(C870&gt;=26, C870&lt;=35),  "Young Adults",  AND(C870&gt;=36, C870&lt;=45),  "Midlife Adults",  AND(C870&gt;=46, C870&lt;=55), "Mature Adults", C870&gt;=56,  "Older Adults", TRUE, "Age Not Mentioned")</f>
        <v>Midlife Adults</v>
      </c>
      <c r="E870" s="2" t="str">
        <f>VLOOKUP(user_activity!A611,users_details!$A$1:$G$34,6,0)</f>
        <v>East Harlem, Manhattan</v>
      </c>
      <c r="F870" s="2" t="str">
        <f>VLOOKUP(user_activity!A611,users_details!$A$1:$G$34,7,0)</f>
        <v>East Harlem</v>
      </c>
      <c r="G870" s="2" t="s">
        <v>72</v>
      </c>
      <c r="H870" s="7">
        <v>42481</v>
      </c>
      <c r="I870" s="9" t="str">
        <f t="shared" si="65"/>
        <v>Thursday</v>
      </c>
      <c r="J870" s="9" t="str">
        <f t="shared" si="66"/>
        <v>April</v>
      </c>
      <c r="K870" s="2">
        <v>1.5299999710000001</v>
      </c>
      <c r="L870" s="2">
        <v>1.5299999710000001</v>
      </c>
      <c r="M870" s="2">
        <v>0</v>
      </c>
      <c r="N870" s="2">
        <v>0</v>
      </c>
      <c r="O870" s="2">
        <v>0</v>
      </c>
      <c r="P870" s="2">
        <v>1.5299999710000001</v>
      </c>
      <c r="Q870" s="2">
        <v>0</v>
      </c>
      <c r="R870" s="2">
        <v>0</v>
      </c>
      <c r="S870" s="2">
        <v>0</v>
      </c>
      <c r="T870" s="2">
        <v>153</v>
      </c>
      <c r="U870" s="2">
        <f t="shared" si="67"/>
        <v>153</v>
      </c>
      <c r="V870" s="2">
        <v>749</v>
      </c>
      <c r="W870" s="2">
        <v>2467</v>
      </c>
      <c r="X870" s="2">
        <f t="shared" si="68"/>
        <v>2467</v>
      </c>
      <c r="Y870" s="2">
        <v>1370</v>
      </c>
      <c r="Z870" t="str" cm="1">
        <f t="array" ref="Z870">_xlfn.IFS(OR(R870&gt;66, S870&gt;38), "High Engagement", OR(AND(R870&gt;32, R870&lt;=66), AND(S870&gt;19, S870&lt;=38)), "Medium-High Engagement", OR(AND(R870&gt;4, R870&lt;=32), AND(S870&gt;6, S870&lt;=19)),"Medium Engagement", TRUE, "Low Engagement"
)</f>
        <v>Low Engagement</v>
      </c>
      <c r="AA870">
        <f t="shared" si="69"/>
        <v>0.55533036076205922</v>
      </c>
    </row>
    <row r="871" spans="1:27" x14ac:dyDescent="0.35">
      <c r="A871" s="2">
        <v>2026352035</v>
      </c>
      <c r="B871" s="2" t="s">
        <v>89</v>
      </c>
      <c r="C871" s="2">
        <f>VLOOKUP(user_activity!A639,users_details!$A$1:$G$34,5,0)</f>
        <v>41</v>
      </c>
      <c r="D871" s="2" t="str" cm="1">
        <f t="array" ref="D871">_xlfn.IFS( AND(C871&gt;=18, C871&lt;=25), "Emerging Adults",  AND(C871&gt;=26, C871&lt;=35),  "Young Adults",  AND(C871&gt;=36, C871&lt;=45),  "Midlife Adults",  AND(C871&gt;=46, C871&lt;=55), "Mature Adults", C871&gt;=56,  "Older Adults", TRUE, "Age Not Mentioned")</f>
        <v>Midlife Adults</v>
      </c>
      <c r="E871" s="2" t="str">
        <f>VLOOKUP(user_activity!A639,users_details!$A$1:$G$34,6,0)</f>
        <v>East Harlem, Manhattan</v>
      </c>
      <c r="F871" s="2" t="str">
        <f>VLOOKUP(user_activity!A639,users_details!$A$1:$G$34,7,0)</f>
        <v>East Harlem</v>
      </c>
      <c r="G871" s="2" t="s">
        <v>72</v>
      </c>
      <c r="H871" s="7">
        <v>42465</v>
      </c>
      <c r="I871" s="9" t="str">
        <f t="shared" si="65"/>
        <v>Tuesday</v>
      </c>
      <c r="J871" s="9" t="str">
        <f t="shared" si="66"/>
        <v>April</v>
      </c>
      <c r="K871" s="2">
        <v>4.0700001720000003</v>
      </c>
      <c r="L871" s="2">
        <v>4.0700001720000003</v>
      </c>
      <c r="M871" s="2">
        <v>0</v>
      </c>
      <c r="N871" s="2">
        <v>0</v>
      </c>
      <c r="O871" s="2">
        <v>0</v>
      </c>
      <c r="P871" s="2">
        <v>4.0700001720000003</v>
      </c>
      <c r="Q871" s="2">
        <v>0</v>
      </c>
      <c r="R871" s="2">
        <v>0</v>
      </c>
      <c r="S871" s="2">
        <v>0</v>
      </c>
      <c r="T871" s="2">
        <v>345</v>
      </c>
      <c r="U871" s="2">
        <f t="shared" si="67"/>
        <v>345</v>
      </c>
      <c r="V871" s="2">
        <v>530</v>
      </c>
      <c r="W871" s="2">
        <v>6564</v>
      </c>
      <c r="X871" s="2">
        <f t="shared" si="68"/>
        <v>6564</v>
      </c>
      <c r="Y871" s="2">
        <v>1658</v>
      </c>
      <c r="Z871" t="str" cm="1">
        <f t="array" ref="Z871">_xlfn.IFS(OR(R871&gt;66, S871&gt;38), "High Engagement", OR(AND(R871&gt;32, R871&lt;=66), AND(S871&gt;19, S871&lt;=38)), "Medium-High Engagement", OR(AND(R871&gt;4, R871&lt;=32), AND(S871&gt;6, S871&lt;=19)),"Medium Engagement", TRUE, "Low Engagement"
)</f>
        <v>Low Engagement</v>
      </c>
      <c r="AA871">
        <f t="shared" si="69"/>
        <v>0.2525898842169409</v>
      </c>
    </row>
    <row r="872" spans="1:27" x14ac:dyDescent="0.35">
      <c r="A872" s="2">
        <v>2026352035</v>
      </c>
      <c r="B872" s="2" t="s">
        <v>89</v>
      </c>
      <c r="C872" s="2">
        <f>VLOOKUP(user_activity!A673,users_details!$A$1:$G$34,5,0)</f>
        <v>49</v>
      </c>
      <c r="D872" s="2" t="str" cm="1">
        <f t="array" ref="D872">_xlfn.IFS( AND(C872&gt;=18, C872&lt;=25), "Emerging Adults",  AND(C872&gt;=26, C872&lt;=35),  "Young Adults",  AND(C872&gt;=36, C872&lt;=45),  "Midlife Adults",  AND(C872&gt;=46, C872&lt;=55), "Mature Adults", C872&gt;=56,  "Older Adults", TRUE, "Age Not Mentioned")</f>
        <v>Mature Adults</v>
      </c>
      <c r="E872" s="2" t="str">
        <f>VLOOKUP(user_activity!A673,users_details!$A$1:$G$34,6,0)</f>
        <v>Upper West Side, Manhattan</v>
      </c>
      <c r="F872" s="2" t="str">
        <f>VLOOKUP(user_activity!A673,users_details!$A$1:$G$34,7,0)</f>
        <v>Upper West Side</v>
      </c>
      <c r="G872" s="2" t="s">
        <v>72</v>
      </c>
      <c r="H872" s="7">
        <v>42473</v>
      </c>
      <c r="I872" s="9" t="str">
        <f t="shared" si="65"/>
        <v>Wednesday</v>
      </c>
      <c r="J872" s="9" t="str">
        <f t="shared" si="66"/>
        <v>April</v>
      </c>
      <c r="K872" s="2">
        <v>3.0999999049999998</v>
      </c>
      <c r="L872" s="2">
        <v>3.0999999049999998</v>
      </c>
      <c r="M872" s="2">
        <v>0</v>
      </c>
      <c r="N872" s="2">
        <v>0</v>
      </c>
      <c r="O872" s="2">
        <v>0</v>
      </c>
      <c r="P872" s="2">
        <v>3.0999999049999998</v>
      </c>
      <c r="Q872" s="2">
        <v>0</v>
      </c>
      <c r="R872" s="2">
        <v>0</v>
      </c>
      <c r="S872" s="2">
        <v>0</v>
      </c>
      <c r="T872" s="2">
        <v>238</v>
      </c>
      <c r="U872" s="2">
        <f t="shared" si="67"/>
        <v>238</v>
      </c>
      <c r="V872" s="2">
        <v>663</v>
      </c>
      <c r="W872" s="2">
        <v>4993</v>
      </c>
      <c r="X872" s="2">
        <f t="shared" si="68"/>
        <v>4993</v>
      </c>
      <c r="Y872" s="2">
        <v>1521</v>
      </c>
      <c r="Z872" t="str" cm="1">
        <f t="array" ref="Z872">_xlfn.IFS(OR(R872&gt;66, S872&gt;38), "High Engagement", OR(AND(R872&gt;32, R872&lt;=66), AND(S872&gt;19, S872&lt;=38)), "Medium-High Engagement", OR(AND(R872&gt;4, R872&lt;=32), AND(S872&gt;6, S872&lt;=19)),"Medium Engagement", TRUE, "Low Engagement"
)</f>
        <v>Low Engagement</v>
      </c>
      <c r="AA872">
        <f t="shared" si="69"/>
        <v>0.30462647706789503</v>
      </c>
    </row>
    <row r="873" spans="1:27" x14ac:dyDescent="0.35">
      <c r="A873" s="2">
        <v>2026352035</v>
      </c>
      <c r="B873" s="2" t="s">
        <v>89</v>
      </c>
      <c r="C873" s="2">
        <f>VLOOKUP(user_activity!A679,users_details!$A$1:$G$34,5,0)</f>
        <v>49</v>
      </c>
      <c r="D873" s="2" t="str" cm="1">
        <f t="array" ref="D873">_xlfn.IFS( AND(C873&gt;=18, C873&lt;=25), "Emerging Adults",  AND(C873&gt;=26, C873&lt;=35),  "Young Adults",  AND(C873&gt;=36, C873&lt;=45),  "Midlife Adults",  AND(C873&gt;=46, C873&lt;=55), "Mature Adults", C873&gt;=56,  "Older Adults", TRUE, "Age Not Mentioned")</f>
        <v>Mature Adults</v>
      </c>
      <c r="E873" s="2" t="str">
        <f>VLOOKUP(user_activity!A679,users_details!$A$1:$G$34,6,0)</f>
        <v>Upper West Side, Manhattan</v>
      </c>
      <c r="F873" s="2" t="str">
        <f>VLOOKUP(user_activity!A679,users_details!$A$1:$G$34,7,0)</f>
        <v>Upper West Side</v>
      </c>
      <c r="G873" s="2" t="s">
        <v>72</v>
      </c>
      <c r="H873" s="7">
        <v>42484</v>
      </c>
      <c r="I873" s="9" t="str">
        <f t="shared" si="65"/>
        <v>Sunday</v>
      </c>
      <c r="J873" s="9" t="str">
        <f t="shared" si="66"/>
        <v>April</v>
      </c>
      <c r="K873" s="2">
        <v>2.1600000860000002</v>
      </c>
      <c r="L873" s="2">
        <v>2.1600000860000002</v>
      </c>
      <c r="M873" s="2">
        <v>0</v>
      </c>
      <c r="N873" s="2">
        <v>0</v>
      </c>
      <c r="O873" s="2">
        <v>0</v>
      </c>
      <c r="P873" s="2">
        <v>2.1600000860000002</v>
      </c>
      <c r="Q873" s="2">
        <v>0</v>
      </c>
      <c r="R873" s="2">
        <v>0</v>
      </c>
      <c r="S873" s="2">
        <v>0</v>
      </c>
      <c r="T873" s="2">
        <v>164</v>
      </c>
      <c r="U873" s="2">
        <f t="shared" si="67"/>
        <v>164</v>
      </c>
      <c r="V873" s="2">
        <v>704</v>
      </c>
      <c r="W873" s="2">
        <v>3490</v>
      </c>
      <c r="X873" s="2">
        <f t="shared" si="68"/>
        <v>3490</v>
      </c>
      <c r="Y873" s="2">
        <v>1401</v>
      </c>
      <c r="Z873" t="str" cm="1">
        <f t="array" ref="Z873">_xlfn.IFS(OR(R873&gt;66, S873&gt;38), "High Engagement", OR(AND(R873&gt;32, R873&lt;=66), AND(S873&gt;19, S873&lt;=38)), "Medium-High Engagement", OR(AND(R873&gt;4, R873&lt;=32), AND(S873&gt;6, S873&lt;=19)),"Medium Engagement", TRUE, "Low Engagement"
)</f>
        <v>Low Engagement</v>
      </c>
      <c r="AA873">
        <f t="shared" si="69"/>
        <v>0.40143266475644701</v>
      </c>
    </row>
    <row r="874" spans="1:27" x14ac:dyDescent="0.35">
      <c r="A874" s="2">
        <v>2026352035</v>
      </c>
      <c r="B874" s="2" t="s">
        <v>89</v>
      </c>
      <c r="C874" s="2">
        <f>VLOOKUP(user_activity!A686,users_details!$A$1:$G$34,5,0)</f>
        <v>49</v>
      </c>
      <c r="D874" s="2" t="str" cm="1">
        <f t="array" ref="D874">_xlfn.IFS( AND(C874&gt;=18, C874&lt;=25), "Emerging Adults",  AND(C874&gt;=26, C874&lt;=35),  "Young Adults",  AND(C874&gt;=36, C874&lt;=45),  "Midlife Adults",  AND(C874&gt;=46, C874&lt;=55), "Mature Adults", C874&gt;=56,  "Older Adults", TRUE, "Age Not Mentioned")</f>
        <v>Mature Adults</v>
      </c>
      <c r="E874" s="2" t="str">
        <f>VLOOKUP(user_activity!A686,users_details!$A$1:$G$34,6,0)</f>
        <v>Upper West Side, Manhattan</v>
      </c>
      <c r="F874" s="2" t="str">
        <f>VLOOKUP(user_activity!A686,users_details!$A$1:$G$34,7,0)</f>
        <v>Upper West Side</v>
      </c>
      <c r="G874" s="2" t="s">
        <v>72</v>
      </c>
      <c r="H874" s="7">
        <v>42489</v>
      </c>
      <c r="I874" s="9" t="str">
        <f t="shared" si="65"/>
        <v>Friday</v>
      </c>
      <c r="J874" s="9" t="str">
        <f t="shared" si="66"/>
        <v>April</v>
      </c>
      <c r="K874" s="2">
        <v>4.7100000380000004</v>
      </c>
      <c r="L874" s="2">
        <v>4.7100000380000004</v>
      </c>
      <c r="M874" s="2">
        <v>0</v>
      </c>
      <c r="N874" s="2">
        <v>0</v>
      </c>
      <c r="O874" s="2">
        <v>0</v>
      </c>
      <c r="P874" s="2">
        <v>4.7100000380000004</v>
      </c>
      <c r="Q874" s="2">
        <v>0</v>
      </c>
      <c r="R874" s="2">
        <v>0</v>
      </c>
      <c r="S874" s="2">
        <v>0</v>
      </c>
      <c r="T874" s="2">
        <v>352</v>
      </c>
      <c r="U874" s="2">
        <f t="shared" si="67"/>
        <v>352</v>
      </c>
      <c r="V874" s="2">
        <v>492</v>
      </c>
      <c r="W874" s="2">
        <v>7604</v>
      </c>
      <c r="X874" s="2">
        <f t="shared" si="68"/>
        <v>7604</v>
      </c>
      <c r="Y874" s="2">
        <v>1692</v>
      </c>
      <c r="Z874" t="str" cm="1">
        <f t="array" ref="Z874">_xlfn.IFS(OR(R874&gt;66, S874&gt;38), "High Engagement", OR(AND(R874&gt;32, R874&lt;=66), AND(S874&gt;19, S874&lt;=38)), "Medium-High Engagement", OR(AND(R874&gt;4, R874&lt;=32), AND(S874&gt;6, S874&lt;=19)),"Medium Engagement", TRUE, "Low Engagement"
)</f>
        <v>Low Engagement</v>
      </c>
      <c r="AA874">
        <f t="shared" si="69"/>
        <v>0.22251446607048922</v>
      </c>
    </row>
    <row r="875" spans="1:27" x14ac:dyDescent="0.35">
      <c r="A875" s="2">
        <v>2026352035</v>
      </c>
      <c r="B875" s="2" t="s">
        <v>89</v>
      </c>
      <c r="C875" s="2">
        <f>VLOOKUP(user_activity!A779,users_details!$A$1:$G$34,5,0)</f>
        <v>53</v>
      </c>
      <c r="D875" s="2" t="str" cm="1">
        <f t="array" ref="D875">_xlfn.IFS( AND(C875&gt;=18, C875&lt;=25), "Emerging Adults",  AND(C875&gt;=26, C875&lt;=35),  "Young Adults",  AND(C875&gt;=36, C875&lt;=45),  "Midlife Adults",  AND(C875&gt;=46, C875&lt;=55), "Mature Adults", C875&gt;=56,  "Older Adults", TRUE, "Age Not Mentioned")</f>
        <v>Mature Adults</v>
      </c>
      <c r="E875" s="2" t="str">
        <f>VLOOKUP(user_activity!A779,users_details!$A$1:$G$34,6,0)</f>
        <v>Harlem, Manhattan</v>
      </c>
      <c r="F875" s="2" t="str">
        <f>VLOOKUP(user_activity!A779,users_details!$A$1:$G$34,7,0)</f>
        <v>Harlem</v>
      </c>
      <c r="G875" s="2" t="s">
        <v>72</v>
      </c>
      <c r="H875" s="7">
        <v>42434</v>
      </c>
      <c r="I875" s="9" t="str">
        <f t="shared" si="65"/>
        <v>Saturday</v>
      </c>
      <c r="J875" s="9" t="str">
        <f t="shared" si="66"/>
        <v>March</v>
      </c>
      <c r="K875" s="2">
        <v>3.7200000289999999</v>
      </c>
      <c r="L875" s="2">
        <v>3.7200000289999999</v>
      </c>
      <c r="M875" s="2">
        <v>0</v>
      </c>
      <c r="N875" s="2">
        <v>0</v>
      </c>
      <c r="O875" s="2">
        <v>0</v>
      </c>
      <c r="P875" s="2">
        <v>3.7200000289999999</v>
      </c>
      <c r="Q875" s="2">
        <v>0</v>
      </c>
      <c r="R875" s="2">
        <v>0</v>
      </c>
      <c r="S875" s="2">
        <v>0</v>
      </c>
      <c r="T875" s="2">
        <v>304</v>
      </c>
      <c r="U875" s="2">
        <f t="shared" si="67"/>
        <v>304</v>
      </c>
      <c r="V875" s="2">
        <v>981</v>
      </c>
      <c r="W875" s="2">
        <v>5992</v>
      </c>
      <c r="X875" s="2">
        <f t="shared" si="68"/>
        <v>5992</v>
      </c>
      <c r="Y875" s="2">
        <v>1604</v>
      </c>
      <c r="Z875" t="str" cm="1">
        <f t="array" ref="Z875">_xlfn.IFS(OR(R875&gt;66, S875&gt;38), "High Engagement", OR(AND(R875&gt;32, R875&lt;=66), AND(S875&gt;19, S875&lt;=38)), "Medium-High Engagement", OR(AND(R875&gt;4, R875&lt;=32), AND(S875&gt;6, S875&lt;=19)),"Medium Engagement", TRUE, "Low Engagement"
)</f>
        <v>Low Engagement</v>
      </c>
      <c r="AA875">
        <f t="shared" si="69"/>
        <v>0.26769025367156207</v>
      </c>
    </row>
    <row r="876" spans="1:27" x14ac:dyDescent="0.35">
      <c r="A876" s="2">
        <v>2026352035</v>
      </c>
      <c r="B876" s="2" t="s">
        <v>89</v>
      </c>
      <c r="C876" s="2">
        <f>VLOOKUP(user_activity!A802,users_details!$A$1:$G$34,5,0)</f>
        <v>54</v>
      </c>
      <c r="D876" s="2" t="str" cm="1">
        <f t="array" ref="D876">_xlfn.IFS( AND(C876&gt;=18, C876&lt;=25), "Emerging Adults",  AND(C876&gt;=26, C876&lt;=35),  "Young Adults",  AND(C876&gt;=36, C876&lt;=45),  "Midlife Adults",  AND(C876&gt;=46, C876&lt;=55), "Mature Adults", C876&gt;=56,  "Older Adults", TRUE, "Age Not Mentioned")</f>
        <v>Mature Adults</v>
      </c>
      <c r="E876" s="2" t="str">
        <f>VLOOKUP(user_activity!A802,users_details!$A$1:$G$34,6,0)</f>
        <v>Crown Heights, Brooklyn</v>
      </c>
      <c r="F876" s="2" t="str">
        <f>VLOOKUP(user_activity!A802,users_details!$A$1:$G$34,7,0)</f>
        <v>Crown Heights</v>
      </c>
      <c r="G876" s="2" t="s">
        <v>72</v>
      </c>
      <c r="H876" s="7">
        <v>42487</v>
      </c>
      <c r="I876" s="9" t="str">
        <f t="shared" si="65"/>
        <v>Wednesday</v>
      </c>
      <c r="J876" s="9" t="str">
        <f t="shared" si="66"/>
        <v>April</v>
      </c>
      <c r="K876" s="2">
        <v>3.7699999809999998</v>
      </c>
      <c r="L876" s="2">
        <v>3.7699999809999998</v>
      </c>
      <c r="M876" s="2">
        <v>0</v>
      </c>
      <c r="N876" s="2">
        <v>0</v>
      </c>
      <c r="O876" s="2">
        <v>0</v>
      </c>
      <c r="P876" s="2">
        <v>3.7699999809999998</v>
      </c>
      <c r="Q876" s="2">
        <v>0</v>
      </c>
      <c r="R876" s="2">
        <v>0</v>
      </c>
      <c r="S876" s="2">
        <v>0</v>
      </c>
      <c r="T876" s="2">
        <v>286</v>
      </c>
      <c r="U876" s="2">
        <f t="shared" si="67"/>
        <v>286</v>
      </c>
      <c r="V876" s="2">
        <v>586</v>
      </c>
      <c r="W876" s="2">
        <v>6088</v>
      </c>
      <c r="X876" s="2">
        <f t="shared" si="68"/>
        <v>6088</v>
      </c>
      <c r="Y876" s="2">
        <v>1593</v>
      </c>
      <c r="Z876" t="str" cm="1">
        <f t="array" ref="Z876">_xlfn.IFS(OR(R876&gt;66, S876&gt;38), "High Engagement", OR(AND(R876&gt;32, R876&lt;=66), AND(S876&gt;19, S876&lt;=38)), "Medium-High Engagement", OR(AND(R876&gt;4, R876&lt;=32), AND(S876&gt;6, S876&lt;=19)),"Medium Engagement", TRUE, "Low Engagement"
)</f>
        <v>Low Engagement</v>
      </c>
      <c r="AA876">
        <f t="shared" si="69"/>
        <v>0.26166228646517742</v>
      </c>
    </row>
    <row r="877" spans="1:27" x14ac:dyDescent="0.35">
      <c r="A877" s="2">
        <v>2026352035</v>
      </c>
      <c r="B877" s="2" t="s">
        <v>89</v>
      </c>
      <c r="C877" s="2">
        <f>VLOOKUP(user_activity!A830,users_details!$A$1:$G$34,5,0)</f>
        <v>56</v>
      </c>
      <c r="D877" s="2" t="str" cm="1">
        <f t="array" ref="D877">_xlfn.IFS( AND(C877&gt;=18, C877&lt;=25), "Emerging Adults",  AND(C877&gt;=26, C877&lt;=35),  "Young Adults",  AND(C877&gt;=36, C877&lt;=45),  "Midlife Adults",  AND(C877&gt;=46, C877&lt;=55), "Mature Adults", C877&gt;=56,  "Older Adults", TRUE, "Age Not Mentioned")</f>
        <v>Older Adults</v>
      </c>
      <c r="E877" s="2" t="str">
        <f>VLOOKUP(user_activity!A830,users_details!$A$1:$G$34,6,0)</f>
        <v>Flatbush, Brooklyn</v>
      </c>
      <c r="F877" s="2" t="str">
        <f>VLOOKUP(user_activity!A830,users_details!$A$1:$G$34,7,0)</f>
        <v>Flatbush</v>
      </c>
      <c r="G877" s="2" t="s">
        <v>72</v>
      </c>
      <c r="H877" s="7">
        <v>42474</v>
      </c>
      <c r="I877" s="9" t="str">
        <f t="shared" si="65"/>
        <v>Thursday</v>
      </c>
      <c r="J877" s="9" t="str">
        <f t="shared" si="66"/>
        <v>April</v>
      </c>
      <c r="K877" s="2">
        <v>2.0699999330000001</v>
      </c>
      <c r="L877" s="2">
        <v>2.0699999330000001</v>
      </c>
      <c r="M877" s="2">
        <v>0</v>
      </c>
      <c r="N877" s="2">
        <v>0</v>
      </c>
      <c r="O877" s="2">
        <v>0</v>
      </c>
      <c r="P877" s="2">
        <v>2.0499999519999998</v>
      </c>
      <c r="Q877" s="2">
        <v>0</v>
      </c>
      <c r="R877" s="2">
        <v>0</v>
      </c>
      <c r="S877" s="2">
        <v>0</v>
      </c>
      <c r="T877" s="2">
        <v>197</v>
      </c>
      <c r="U877" s="2">
        <f t="shared" si="67"/>
        <v>197</v>
      </c>
      <c r="V877" s="2">
        <v>653</v>
      </c>
      <c r="W877" s="2">
        <v>3335</v>
      </c>
      <c r="X877" s="2">
        <f t="shared" si="68"/>
        <v>3335</v>
      </c>
      <c r="Y877" s="2">
        <v>1431</v>
      </c>
      <c r="Z877" t="str" cm="1">
        <f t="array" ref="Z877">_xlfn.IFS(OR(R877&gt;66, S877&gt;38), "High Engagement", OR(AND(R877&gt;32, R877&lt;=66), AND(S877&gt;19, S877&lt;=38)), "Medium-High Engagement", OR(AND(R877&gt;4, R877&lt;=32), AND(S877&gt;6, S877&lt;=19)),"Medium Engagement", TRUE, "Low Engagement"
)</f>
        <v>Low Engagement</v>
      </c>
      <c r="AA877">
        <f t="shared" si="69"/>
        <v>0.42908545727136432</v>
      </c>
    </row>
    <row r="878" spans="1:27" x14ac:dyDescent="0.35">
      <c r="A878" s="2">
        <v>2026352035</v>
      </c>
      <c r="B878" s="2" t="s">
        <v>89</v>
      </c>
      <c r="C878" s="2">
        <f>VLOOKUP(user_activity!A848,users_details!$A$1:$G$34,5,0)</f>
        <v>56</v>
      </c>
      <c r="D878" s="2" t="str" cm="1">
        <f t="array" ref="D878">_xlfn.IFS( AND(C878&gt;=18, C878&lt;=25), "Emerging Adults",  AND(C878&gt;=26, C878&lt;=35),  "Young Adults",  AND(C878&gt;=36, C878&lt;=45),  "Midlife Adults",  AND(C878&gt;=46, C878&lt;=55), "Mature Adults", C878&gt;=56,  "Older Adults", TRUE, "Age Not Mentioned")</f>
        <v>Older Adults</v>
      </c>
      <c r="E878" s="2" t="str">
        <f>VLOOKUP(user_activity!A848,users_details!$A$1:$G$34,6,0)</f>
        <v>Flatbush, Brooklyn</v>
      </c>
      <c r="F878" s="2" t="str">
        <f>VLOOKUP(user_activity!A848,users_details!$A$1:$G$34,7,0)</f>
        <v>Flatbush</v>
      </c>
      <c r="G878" s="2" t="s">
        <v>72</v>
      </c>
      <c r="H878" s="7">
        <v>42488</v>
      </c>
      <c r="I878" s="9" t="str">
        <f t="shared" si="65"/>
        <v>Thursday</v>
      </c>
      <c r="J878" s="9" t="str">
        <f t="shared" si="66"/>
        <v>April</v>
      </c>
      <c r="K878" s="2">
        <v>3.9500000480000002</v>
      </c>
      <c r="L878" s="2">
        <v>3.9500000480000002</v>
      </c>
      <c r="M878" s="2">
        <v>0</v>
      </c>
      <c r="N878" s="2">
        <v>0</v>
      </c>
      <c r="O878" s="2">
        <v>0</v>
      </c>
      <c r="P878" s="2">
        <v>3.9500000480000002</v>
      </c>
      <c r="Q878" s="2">
        <v>0</v>
      </c>
      <c r="R878" s="2">
        <v>0</v>
      </c>
      <c r="S878" s="2">
        <v>0</v>
      </c>
      <c r="T878" s="2">
        <v>331</v>
      </c>
      <c r="U878" s="2">
        <f t="shared" si="67"/>
        <v>331</v>
      </c>
      <c r="V878" s="2">
        <v>626</v>
      </c>
      <c r="W878" s="2">
        <v>6375</v>
      </c>
      <c r="X878" s="2">
        <f t="shared" si="68"/>
        <v>6375</v>
      </c>
      <c r="Y878" s="2">
        <v>1649</v>
      </c>
      <c r="Z878" t="str" cm="1">
        <f t="array" ref="Z878">_xlfn.IFS(OR(R878&gt;66, S878&gt;38), "High Engagement", OR(AND(R878&gt;32, R878&lt;=66), AND(S878&gt;19, S878&lt;=38)), "Medium-High Engagement", OR(AND(R878&gt;4, R878&lt;=32), AND(S878&gt;6, S878&lt;=19)),"Medium Engagement", TRUE, "Low Engagement"
)</f>
        <v>Low Engagement</v>
      </c>
      <c r="AA878">
        <f t="shared" si="69"/>
        <v>0.25866666666666666</v>
      </c>
    </row>
    <row r="879" spans="1:27" x14ac:dyDescent="0.35">
      <c r="A879" s="2">
        <v>2026352035</v>
      </c>
      <c r="B879" s="2" t="s">
        <v>89</v>
      </c>
      <c r="C879" s="2">
        <f>VLOOKUP(user_activity!A864,users_details!$A$1:$G$34,5,0)</f>
        <v>58</v>
      </c>
      <c r="D879" s="2" t="str" cm="1">
        <f t="array" ref="D879">_xlfn.IFS( AND(C879&gt;=18, C879&lt;=25), "Emerging Adults",  AND(C879&gt;=26, C879&lt;=35),  "Young Adults",  AND(C879&gt;=36, C879&lt;=45),  "Midlife Adults",  AND(C879&gt;=46, C879&lt;=55), "Mature Adults", C879&gt;=56,  "Older Adults", TRUE, "Age Not Mentioned")</f>
        <v>Older Adults</v>
      </c>
      <c r="E879" s="2" t="str">
        <f>VLOOKUP(user_activity!A864,users_details!$A$1:$G$34,6,0)</f>
        <v>East Village, Manhattan</v>
      </c>
      <c r="F879" s="2" t="str">
        <f>VLOOKUP(user_activity!A864,users_details!$A$1:$G$34,7,0)</f>
        <v>East Village</v>
      </c>
      <c r="G879" s="2" t="s">
        <v>72</v>
      </c>
      <c r="H879" s="7">
        <v>42405</v>
      </c>
      <c r="I879" s="9" t="str">
        <f t="shared" si="65"/>
        <v>Friday</v>
      </c>
      <c r="J879" s="9" t="str">
        <f t="shared" si="66"/>
        <v>February</v>
      </c>
      <c r="K879" s="2">
        <v>4.3499999049999998</v>
      </c>
      <c r="L879" s="2">
        <v>4.3499999049999998</v>
      </c>
      <c r="M879" s="2">
        <v>0</v>
      </c>
      <c r="N879" s="2">
        <v>0</v>
      </c>
      <c r="O879" s="2">
        <v>0</v>
      </c>
      <c r="P879" s="2">
        <v>4.3499999049999998</v>
      </c>
      <c r="Q879" s="2">
        <v>0</v>
      </c>
      <c r="R879" s="2">
        <v>0</v>
      </c>
      <c r="S879" s="2">
        <v>0</v>
      </c>
      <c r="T879" s="2">
        <v>355</v>
      </c>
      <c r="U879" s="2">
        <f t="shared" si="67"/>
        <v>355</v>
      </c>
      <c r="V879" s="2">
        <v>716</v>
      </c>
      <c r="W879" s="2">
        <v>7018</v>
      </c>
      <c r="X879" s="2">
        <f t="shared" si="68"/>
        <v>7018</v>
      </c>
      <c r="Y879" s="2">
        <v>1690</v>
      </c>
      <c r="Z879" t="str" cm="1">
        <f t="array" ref="Z879">_xlfn.IFS(OR(R879&gt;66, S879&gt;38), "High Engagement", OR(AND(R879&gt;32, R879&lt;=66), AND(S879&gt;19, S879&lt;=38)), "Medium-High Engagement", OR(AND(R879&gt;4, R879&lt;=32), AND(S879&gt;6, S879&lt;=19)),"Medium Engagement", TRUE, "Low Engagement"
)</f>
        <v>Low Engagement</v>
      </c>
      <c r="AA879">
        <f t="shared" si="69"/>
        <v>0.24080934739241949</v>
      </c>
    </row>
    <row r="880" spans="1:27" x14ac:dyDescent="0.35">
      <c r="A880" s="2">
        <v>2026352035</v>
      </c>
      <c r="B880" s="2" t="s">
        <v>89</v>
      </c>
      <c r="C880" s="2">
        <f>VLOOKUP(user_activity!A896,users_details!$A$1:$G$34,5,0)</f>
        <v>59</v>
      </c>
      <c r="D880" s="2" t="str" cm="1">
        <f t="array" ref="D880">_xlfn.IFS( AND(C880&gt;=18, C880&lt;=25), "Emerging Adults",  AND(C880&gt;=26, C880&lt;=35),  "Young Adults",  AND(C880&gt;=36, C880&lt;=45),  "Midlife Adults",  AND(C880&gt;=46, C880&lt;=55), "Mature Adults", C880&gt;=56,  "Older Adults", TRUE, "Age Not Mentioned")</f>
        <v>Older Adults</v>
      </c>
      <c r="E880" s="2" t="str">
        <f>VLOOKUP(user_activity!A896,users_details!$A$1:$G$34,6,0)</f>
        <v>Upper West Side, Manhattan</v>
      </c>
      <c r="F880" s="2" t="str">
        <f>VLOOKUP(user_activity!A896,users_details!$A$1:$G$34,7,0)</f>
        <v>Upper West Side</v>
      </c>
      <c r="G880" s="2" t="s">
        <v>72</v>
      </c>
      <c r="H880" s="7">
        <v>42476</v>
      </c>
      <c r="I880" s="9" t="str">
        <f t="shared" si="65"/>
        <v>Saturday</v>
      </c>
      <c r="J880" s="9" t="str">
        <f t="shared" si="66"/>
        <v>April</v>
      </c>
      <c r="K880" s="2">
        <v>1.5800000430000001</v>
      </c>
      <c r="L880" s="2">
        <v>1.5800000430000001</v>
      </c>
      <c r="M880" s="2">
        <v>0</v>
      </c>
      <c r="N880" s="2">
        <v>0</v>
      </c>
      <c r="O880" s="2">
        <v>0</v>
      </c>
      <c r="P880" s="2">
        <v>1.5800000430000001</v>
      </c>
      <c r="Q880" s="2">
        <v>0</v>
      </c>
      <c r="R880" s="2">
        <v>0</v>
      </c>
      <c r="S880" s="2">
        <v>0</v>
      </c>
      <c r="T880" s="2">
        <v>150</v>
      </c>
      <c r="U880" s="2">
        <f t="shared" si="67"/>
        <v>150</v>
      </c>
      <c r="V880" s="2">
        <v>728</v>
      </c>
      <c r="W880" s="2">
        <v>2547</v>
      </c>
      <c r="X880" s="2">
        <f t="shared" si="68"/>
        <v>2547</v>
      </c>
      <c r="Y880" s="2">
        <v>1373</v>
      </c>
      <c r="Z880" t="str" cm="1">
        <f t="array" ref="Z880">_xlfn.IFS(OR(R880&gt;66, S880&gt;38), "High Engagement", OR(AND(R880&gt;32, R880&lt;=66), AND(S880&gt;19, S880&lt;=38)), "Medium-High Engagement", OR(AND(R880&gt;4, R880&lt;=32), AND(S880&gt;6, S880&lt;=19)),"Medium Engagement", TRUE, "Low Engagement"
)</f>
        <v>Low Engagement</v>
      </c>
      <c r="AA880">
        <f t="shared" si="69"/>
        <v>0.53906556733411859</v>
      </c>
    </row>
    <row r="881" spans="1:27" x14ac:dyDescent="0.35">
      <c r="A881" s="2">
        <v>2026352035</v>
      </c>
      <c r="B881" s="2" t="s">
        <v>89</v>
      </c>
      <c r="C881" s="2">
        <f>VLOOKUP(user_activity!A913,users_details!$A$1:$G$34,5,0)</f>
        <v>60</v>
      </c>
      <c r="D881" s="2" t="str" cm="1">
        <f t="array" ref="D881">_xlfn.IFS( AND(C881&gt;=18, C881&lt;=25), "Emerging Adults",  AND(C881&gt;=26, C881&lt;=35),  "Young Adults",  AND(C881&gt;=36, C881&lt;=45),  "Midlife Adults",  AND(C881&gt;=46, C881&lt;=55), "Mature Adults", C881&gt;=56,  "Older Adults", TRUE, "Age Not Mentioned")</f>
        <v>Older Adults</v>
      </c>
      <c r="E881" s="2" t="str">
        <f>VLOOKUP(user_activity!A913,users_details!$A$1:$G$34,6,0)</f>
        <v>East Village, Manhattan</v>
      </c>
      <c r="F881" s="2" t="str">
        <f>VLOOKUP(user_activity!A913,users_details!$A$1:$G$34,7,0)</f>
        <v>East Village</v>
      </c>
      <c r="G881" s="2" t="s">
        <v>72</v>
      </c>
      <c r="H881" s="7">
        <v>42478</v>
      </c>
      <c r="I881" s="9" t="str">
        <f t="shared" si="65"/>
        <v>Monday</v>
      </c>
      <c r="J881" s="9" t="str">
        <f t="shared" si="66"/>
        <v>April</v>
      </c>
      <c r="K881" s="2">
        <v>2.0599999430000002</v>
      </c>
      <c r="L881" s="2">
        <v>2.0599999430000002</v>
      </c>
      <c r="M881" s="2">
        <v>0</v>
      </c>
      <c r="N881" s="2">
        <v>0</v>
      </c>
      <c r="O881" s="2">
        <v>0</v>
      </c>
      <c r="P881" s="2">
        <v>2.0599999430000002</v>
      </c>
      <c r="Q881" s="2">
        <v>0</v>
      </c>
      <c r="R881" s="2">
        <v>0</v>
      </c>
      <c r="S881" s="2">
        <v>0</v>
      </c>
      <c r="T881" s="2">
        <v>182</v>
      </c>
      <c r="U881" s="2">
        <f t="shared" si="67"/>
        <v>182</v>
      </c>
      <c r="V881" s="2">
        <v>1062</v>
      </c>
      <c r="W881" s="2">
        <v>3325</v>
      </c>
      <c r="X881" s="2">
        <f t="shared" si="68"/>
        <v>3325</v>
      </c>
      <c r="Y881" s="2">
        <v>1419</v>
      </c>
      <c r="Z881" t="str" cm="1">
        <f t="array" ref="Z881">_xlfn.IFS(OR(R881&gt;66, S881&gt;38), "High Engagement", OR(AND(R881&gt;32, R881&lt;=66), AND(S881&gt;19, S881&lt;=38)), "Medium-High Engagement", OR(AND(R881&gt;4, R881&lt;=32), AND(S881&gt;6, S881&lt;=19)),"Medium Engagement", TRUE, "Low Engagement"
)</f>
        <v>Low Engagement</v>
      </c>
      <c r="AA881">
        <f t="shared" si="69"/>
        <v>0.42676691729323307</v>
      </c>
    </row>
    <row r="882" spans="1:27" x14ac:dyDescent="0.35">
      <c r="A882" s="2">
        <v>2026352035</v>
      </c>
      <c r="B882" s="2" t="s">
        <v>89</v>
      </c>
      <c r="C882" s="2">
        <f>VLOOKUP(user_activity!A930,users_details!$A$1:$G$34,5,0)</f>
        <v>60</v>
      </c>
      <c r="D882" s="2" t="str" cm="1">
        <f t="array" ref="D882">_xlfn.IFS( AND(C882&gt;=18, C882&lt;=25), "Emerging Adults",  AND(C882&gt;=26, C882&lt;=35),  "Young Adults",  AND(C882&gt;=36, C882&lt;=45),  "Midlife Adults",  AND(C882&gt;=46, C882&lt;=55), "Mature Adults", C882&gt;=56,  "Older Adults", TRUE, "Age Not Mentioned")</f>
        <v>Older Adults</v>
      </c>
      <c r="E882" s="2" t="str">
        <f>VLOOKUP(user_activity!A930,users_details!$A$1:$G$34,6,0)</f>
        <v>East Village, Manhattan</v>
      </c>
      <c r="F882" s="2" t="str">
        <f>VLOOKUP(user_activity!A930,users_details!$A$1:$G$34,7,0)</f>
        <v>East Village</v>
      </c>
      <c r="G882" s="2" t="s">
        <v>72</v>
      </c>
      <c r="H882" s="7">
        <v>42679</v>
      </c>
      <c r="I882" s="9" t="str">
        <f t="shared" si="65"/>
        <v>Saturday</v>
      </c>
      <c r="J882" s="9" t="str">
        <f t="shared" si="66"/>
        <v>November</v>
      </c>
      <c r="K882" s="2">
        <v>5.3200001720000003</v>
      </c>
      <c r="L882" s="2">
        <v>5.3200001720000003</v>
      </c>
      <c r="M882" s="2">
        <v>0</v>
      </c>
      <c r="N882" s="2">
        <v>0</v>
      </c>
      <c r="O882" s="2">
        <v>0</v>
      </c>
      <c r="P882" s="2">
        <v>5.3200001720000003</v>
      </c>
      <c r="Q882" s="2">
        <v>0</v>
      </c>
      <c r="R882" s="2">
        <v>0</v>
      </c>
      <c r="S882" s="2">
        <v>0</v>
      </c>
      <c r="T882" s="2">
        <v>330</v>
      </c>
      <c r="U882" s="2">
        <f t="shared" si="67"/>
        <v>330</v>
      </c>
      <c r="V882" s="2">
        <v>569</v>
      </c>
      <c r="W882" s="2">
        <v>8580</v>
      </c>
      <c r="X882" s="2">
        <f t="shared" si="68"/>
        <v>8580</v>
      </c>
      <c r="Y882" s="2">
        <v>1698</v>
      </c>
      <c r="Z882" t="str" cm="1">
        <f t="array" ref="Z882">_xlfn.IFS(OR(R882&gt;66, S882&gt;38), "High Engagement", OR(AND(R882&gt;32, R882&lt;=66), AND(S882&gt;19, S882&lt;=38)), "Medium-High Engagement", OR(AND(R882&gt;4, R882&lt;=32), AND(S882&gt;6, S882&lt;=19)),"Medium Engagement", TRUE, "Low Engagement"
)</f>
        <v>Low Engagement</v>
      </c>
      <c r="AA882">
        <f t="shared" si="69"/>
        <v>0.1979020979020979</v>
      </c>
    </row>
    <row r="883" spans="1:27" x14ac:dyDescent="0.35">
      <c r="A883" s="2">
        <v>8792009665</v>
      </c>
      <c r="B883" s="2" t="s">
        <v>73</v>
      </c>
      <c r="C883" s="2">
        <f>VLOOKUP(user_activity!A67,users_details!$A$1:$G$34,5,0)</f>
        <v>21</v>
      </c>
      <c r="D883" s="2" t="str" cm="1">
        <f t="array" ref="D883">_xlfn.IFS( AND(C883&gt;=18, C883&lt;=25), "Emerging Adults",  AND(C883&gt;=26, C883&lt;=35),  "Young Adults",  AND(C883&gt;=36, C883&lt;=45),  "Midlife Adults",  AND(C883&gt;=46, C883&lt;=55), "Mature Adults", C883&gt;=56,  "Older Adults", TRUE, "Age Not Mentioned")</f>
        <v>Emerging Adults</v>
      </c>
      <c r="E883" s="2" t="str">
        <f>VLOOKUP(user_activity!A67,users_details!$A$1:$G$34,6,0)</f>
        <v>Bushwick, Brooklyn</v>
      </c>
      <c r="F883" s="2" t="str">
        <f>VLOOKUP(user_activity!A67,users_details!$A$1:$G$34,7,0)</f>
        <v>Bushwick</v>
      </c>
      <c r="G883" s="2" t="s">
        <v>72</v>
      </c>
      <c r="H883" s="7">
        <v>42475</v>
      </c>
      <c r="I883" s="9" t="str">
        <f t="shared" si="65"/>
        <v>Friday</v>
      </c>
      <c r="J883" s="9" t="str">
        <f t="shared" si="66"/>
        <v>April</v>
      </c>
      <c r="K883" s="2">
        <v>1.5900000329999999</v>
      </c>
      <c r="L883" s="2">
        <v>1.5900000329999999</v>
      </c>
      <c r="M883" s="2">
        <v>0</v>
      </c>
      <c r="N883" s="2">
        <v>0</v>
      </c>
      <c r="O883" s="2">
        <v>0</v>
      </c>
      <c r="P883" s="2">
        <v>1.5900000329999999</v>
      </c>
      <c r="Q883" s="2">
        <v>0</v>
      </c>
      <c r="R883" s="2">
        <v>0</v>
      </c>
      <c r="S883" s="2">
        <v>0</v>
      </c>
      <c r="T883" s="2">
        <v>126</v>
      </c>
      <c r="U883" s="2">
        <f t="shared" si="67"/>
        <v>126</v>
      </c>
      <c r="V883" s="2">
        <v>937</v>
      </c>
      <c r="W883" s="2">
        <v>2483</v>
      </c>
      <c r="X883" s="2">
        <f t="shared" si="68"/>
        <v>2483</v>
      </c>
      <c r="Y883" s="2">
        <v>2009</v>
      </c>
      <c r="Z883" t="str" cm="1">
        <f t="array" ref="Z883">_xlfn.IFS(OR(R883&gt;66, S883&gt;38), "High Engagement", OR(AND(R883&gt;32, R883&lt;=66), AND(S883&gt;19, S883&lt;=38)), "Medium-High Engagement", OR(AND(R883&gt;4, R883&lt;=32), AND(S883&gt;6, S883&lt;=19)),"Medium Engagement", TRUE, "Low Engagement"
)</f>
        <v>Low Engagement</v>
      </c>
      <c r="AA883">
        <f t="shared" si="69"/>
        <v>0.80910189287152634</v>
      </c>
    </row>
    <row r="884" spans="1:27" x14ac:dyDescent="0.35">
      <c r="A884" s="2">
        <v>8792009665</v>
      </c>
      <c r="B884" s="2" t="s">
        <v>73</v>
      </c>
      <c r="C884" s="2">
        <f>VLOOKUP(user_activity!A101,users_details!$A$1:$G$34,5,0)</f>
        <v>22</v>
      </c>
      <c r="D884" s="2" t="str" cm="1">
        <f t="array" ref="D884">_xlfn.IFS( AND(C884&gt;=18, C884&lt;=25), "Emerging Adults",  AND(C884&gt;=26, C884&lt;=35),  "Young Adults",  AND(C884&gt;=36, C884&lt;=45),  "Midlife Adults",  AND(C884&gt;=46, C884&lt;=55), "Mature Adults", C884&gt;=56,  "Older Adults", TRUE, "Age Not Mentioned")</f>
        <v>Emerging Adults</v>
      </c>
      <c r="E884" s="2" t="str">
        <f>VLOOKUP(user_activity!A101,users_details!$A$1:$G$34,6,0)</f>
        <v>Washington Heights, Manhattan</v>
      </c>
      <c r="F884" s="2" t="str">
        <f>VLOOKUP(user_activity!A101,users_details!$A$1:$G$34,7,0)</f>
        <v>Washington Heights</v>
      </c>
      <c r="G884" s="2" t="s">
        <v>72</v>
      </c>
      <c r="H884" s="7">
        <v>42474</v>
      </c>
      <c r="I884" s="9" t="str">
        <f t="shared" si="65"/>
        <v>Thursday</v>
      </c>
      <c r="J884" s="9" t="str">
        <f t="shared" si="66"/>
        <v>April</v>
      </c>
      <c r="K884" s="2">
        <v>0.77999997099999996</v>
      </c>
      <c r="L884" s="2">
        <v>0.77999997099999996</v>
      </c>
      <c r="M884" s="2">
        <v>0</v>
      </c>
      <c r="N884" s="2">
        <v>0</v>
      </c>
      <c r="O884" s="2">
        <v>0</v>
      </c>
      <c r="P884" s="2">
        <v>0.77999997099999996</v>
      </c>
      <c r="Q884" s="2">
        <v>0</v>
      </c>
      <c r="R884" s="2">
        <v>0</v>
      </c>
      <c r="S884" s="2">
        <v>0</v>
      </c>
      <c r="T884" s="2">
        <v>84</v>
      </c>
      <c r="U884" s="2">
        <f t="shared" si="67"/>
        <v>84</v>
      </c>
      <c r="V884" s="2">
        <v>853</v>
      </c>
      <c r="W884" s="2">
        <v>1219</v>
      </c>
      <c r="X884" s="2">
        <f t="shared" si="68"/>
        <v>1219</v>
      </c>
      <c r="Y884" s="2">
        <v>1963</v>
      </c>
      <c r="Z884" t="str" cm="1">
        <f t="array" ref="Z884">_xlfn.IFS(OR(R884&gt;66, S884&gt;38), "High Engagement", OR(AND(R884&gt;32, R884&lt;=66), AND(S884&gt;19, S884&lt;=38)), "Medium-High Engagement", OR(AND(R884&gt;4, R884&lt;=32), AND(S884&gt;6, S884&lt;=19)),"Medium Engagement", TRUE, "Low Engagement"
)</f>
        <v>Low Engagement</v>
      </c>
      <c r="AA884">
        <f t="shared" si="69"/>
        <v>1.6103363412633307</v>
      </c>
    </row>
    <row r="885" spans="1:27" x14ac:dyDescent="0.35">
      <c r="A885" s="2">
        <v>8792009665</v>
      </c>
      <c r="B885" s="2" t="s">
        <v>73</v>
      </c>
      <c r="C885" s="2">
        <f>VLOOKUP(user_activity!A132,users_details!$A$1:$G$34,5,0)</f>
        <v>22</v>
      </c>
      <c r="D885" s="2" t="str" cm="1">
        <f t="array" ref="D885">_xlfn.IFS( AND(C885&gt;=18, C885&lt;=25), "Emerging Adults",  AND(C885&gt;=26, C885&lt;=35),  "Young Adults",  AND(C885&gt;=36, C885&lt;=45),  "Midlife Adults",  AND(C885&gt;=46, C885&lt;=55), "Mature Adults", C885&gt;=56,  "Older Adults", TRUE, "Age Not Mentioned")</f>
        <v>Emerging Adults</v>
      </c>
      <c r="E885" s="2" t="str">
        <f>VLOOKUP(user_activity!A132,users_details!$A$1:$G$34,6,0)</f>
        <v>Upper East Side, Manhattan</v>
      </c>
      <c r="F885" s="2" t="str">
        <f>VLOOKUP(user_activity!A132,users_details!$A$1:$G$34,7,0)</f>
        <v>Upper East Side</v>
      </c>
      <c r="G885" s="2" t="s">
        <v>72</v>
      </c>
      <c r="H885" s="7">
        <v>42481</v>
      </c>
      <c r="I885" s="9" t="str">
        <f t="shared" si="65"/>
        <v>Thursday</v>
      </c>
      <c r="J885" s="9" t="str">
        <f t="shared" si="66"/>
        <v>April</v>
      </c>
      <c r="K885" s="2">
        <v>9.0000003999999995E-2</v>
      </c>
      <c r="L885" s="2">
        <v>9.0000003999999995E-2</v>
      </c>
      <c r="M885" s="2">
        <v>0</v>
      </c>
      <c r="N885" s="2">
        <v>0</v>
      </c>
      <c r="O885" s="2">
        <v>0</v>
      </c>
      <c r="P885" s="2">
        <v>9.0000003999999995E-2</v>
      </c>
      <c r="Q885" s="2">
        <v>0</v>
      </c>
      <c r="R885" s="2">
        <v>0</v>
      </c>
      <c r="S885" s="2">
        <v>0</v>
      </c>
      <c r="T885" s="2">
        <v>9</v>
      </c>
      <c r="U885" s="2">
        <f t="shared" si="67"/>
        <v>9</v>
      </c>
      <c r="V885" s="2">
        <v>1431</v>
      </c>
      <c r="W885" s="2">
        <v>144</v>
      </c>
      <c r="X885" s="2">
        <f t="shared" si="68"/>
        <v>144</v>
      </c>
      <c r="Y885" s="2">
        <v>1720</v>
      </c>
      <c r="Z885" t="str" cm="1">
        <f t="array" ref="Z885">_xlfn.IFS(OR(R885&gt;66, S885&gt;38), "High Engagement", OR(AND(R885&gt;32, R885&lt;=66), AND(S885&gt;19, S885&lt;=38)), "Medium-High Engagement", OR(AND(R885&gt;4, R885&lt;=32), AND(S885&gt;6, S885&lt;=19)),"Medium Engagement", TRUE, "Low Engagement"
)</f>
        <v>Low Engagement</v>
      </c>
      <c r="AA885">
        <f t="shared" si="69"/>
        <v>11.944444444444445</v>
      </c>
    </row>
    <row r="886" spans="1:27" x14ac:dyDescent="0.35">
      <c r="A886" s="2">
        <v>8792009665</v>
      </c>
      <c r="B886" s="2" t="s">
        <v>73</v>
      </c>
      <c r="C886" s="2">
        <f>VLOOKUP(user_activity!A163,users_details!$A$1:$G$34,5,0)</f>
        <v>23</v>
      </c>
      <c r="D886" s="2" t="str" cm="1">
        <f t="array" ref="D886">_xlfn.IFS( AND(C886&gt;=18, C886&lt;=25), "Emerging Adults",  AND(C886&gt;=26, C886&lt;=35),  "Young Adults",  AND(C886&gt;=36, C886&lt;=45),  "Midlife Adults",  AND(C886&gt;=46, C886&lt;=55), "Mature Adults", C886&gt;=56,  "Older Adults", TRUE, "Age Not Mentioned")</f>
        <v>Emerging Adults</v>
      </c>
      <c r="E886" s="2" t="str">
        <f>VLOOKUP(user_activity!A163,users_details!$A$1:$G$34,6,0)</f>
        <v>Washington Heights, Manhattan</v>
      </c>
      <c r="F886" s="2" t="str">
        <f>VLOOKUP(user_activity!A163,users_details!$A$1:$G$34,7,0)</f>
        <v>Washington Heights</v>
      </c>
      <c r="G886" s="2" t="s">
        <v>72</v>
      </c>
      <c r="H886" s="7">
        <v>42473</v>
      </c>
      <c r="I886" s="9" t="str">
        <f t="shared" si="65"/>
        <v>Wednesday</v>
      </c>
      <c r="J886" s="9" t="str">
        <f t="shared" si="66"/>
        <v>April</v>
      </c>
      <c r="K886" s="2">
        <v>0.83999997400000004</v>
      </c>
      <c r="L886" s="2">
        <v>0.83999997400000004</v>
      </c>
      <c r="M886" s="2">
        <v>0</v>
      </c>
      <c r="N886" s="2">
        <v>0</v>
      </c>
      <c r="O886" s="2">
        <v>0</v>
      </c>
      <c r="P886" s="2">
        <v>0.83999997400000004</v>
      </c>
      <c r="Q886" s="2">
        <v>0</v>
      </c>
      <c r="R886" s="2">
        <v>0</v>
      </c>
      <c r="S886" s="2">
        <v>0</v>
      </c>
      <c r="T886" s="2">
        <v>82</v>
      </c>
      <c r="U886" s="2">
        <f t="shared" si="67"/>
        <v>82</v>
      </c>
      <c r="V886" s="2">
        <v>806</v>
      </c>
      <c r="W886" s="2">
        <v>1320</v>
      </c>
      <c r="X886" s="2">
        <f t="shared" si="68"/>
        <v>1320</v>
      </c>
      <c r="Y886" s="2">
        <v>1934</v>
      </c>
      <c r="Z886" t="str" cm="1">
        <f t="array" ref="Z886">_xlfn.IFS(OR(R886&gt;66, S886&gt;38), "High Engagement", OR(AND(R886&gt;32, R886&lt;=66), AND(S886&gt;19, S886&lt;=38)), "Medium-High Engagement", OR(AND(R886&gt;4, R886&lt;=32), AND(S886&gt;6, S886&lt;=19)),"Medium Engagement", TRUE, "Low Engagement"
)</f>
        <v>Low Engagement</v>
      </c>
      <c r="AA886">
        <f t="shared" si="69"/>
        <v>1.4651515151515151</v>
      </c>
    </row>
    <row r="887" spans="1:27" x14ac:dyDescent="0.35">
      <c r="A887" s="2">
        <v>8792009665</v>
      </c>
      <c r="B887" s="2" t="s">
        <v>73</v>
      </c>
      <c r="C887" s="2">
        <f>VLOOKUP(user_activity!A211,users_details!$A$1:$G$34,5,0)</f>
        <v>24</v>
      </c>
      <c r="D887" s="2" t="str" cm="1">
        <f t="array" ref="D887">_xlfn.IFS( AND(C887&gt;=18, C887&lt;=25), "Emerging Adults",  AND(C887&gt;=26, C887&lt;=35),  "Young Adults",  AND(C887&gt;=36, C887&lt;=45),  "Midlife Adults",  AND(C887&gt;=46, C887&lt;=55), "Mature Adults", C887&gt;=56,  "Older Adults", TRUE, "Age Not Mentioned")</f>
        <v>Emerging Adults</v>
      </c>
      <c r="E887" s="2" t="str">
        <f>VLOOKUP(user_activity!A211,users_details!$A$1:$G$34,6,0)</f>
        <v>East Village, Manhattan</v>
      </c>
      <c r="F887" s="2" t="str">
        <f>VLOOKUP(user_activity!A211,users_details!$A$1:$G$34,7,0)</f>
        <v>East Village</v>
      </c>
      <c r="G887" s="2" t="s">
        <v>72</v>
      </c>
      <c r="H887" s="7">
        <v>42405</v>
      </c>
      <c r="I887" s="9" t="str">
        <f t="shared" si="65"/>
        <v>Friday</v>
      </c>
      <c r="J887" s="9" t="str">
        <f t="shared" si="66"/>
        <v>February</v>
      </c>
      <c r="K887" s="2">
        <v>1.1699999569999999</v>
      </c>
      <c r="L887" s="2">
        <v>1.1699999569999999</v>
      </c>
      <c r="M887" s="2">
        <v>0</v>
      </c>
      <c r="N887" s="2">
        <v>0</v>
      </c>
      <c r="O887" s="2">
        <v>0</v>
      </c>
      <c r="P887" s="2">
        <v>1.1699999569999999</v>
      </c>
      <c r="Q887" s="2">
        <v>0</v>
      </c>
      <c r="R887" s="2">
        <v>0</v>
      </c>
      <c r="S887" s="2">
        <v>0</v>
      </c>
      <c r="T887" s="2">
        <v>101</v>
      </c>
      <c r="U887" s="2">
        <f t="shared" si="67"/>
        <v>101</v>
      </c>
      <c r="V887" s="2">
        <v>916</v>
      </c>
      <c r="W887" s="2">
        <v>1831</v>
      </c>
      <c r="X887" s="2">
        <f t="shared" si="68"/>
        <v>1831</v>
      </c>
      <c r="Y887" s="2">
        <v>2015</v>
      </c>
      <c r="Z887" t="str" cm="1">
        <f t="array" ref="Z887">_xlfn.IFS(OR(R887&gt;66, S887&gt;38), "High Engagement", OR(AND(R887&gt;32, R887&lt;=66), AND(S887&gt;19, S887&lt;=38)), "Medium-High Engagement", OR(AND(R887&gt;4, R887&lt;=32), AND(S887&gt;6, S887&lt;=19)),"Medium Engagement", TRUE, "Low Engagement"
)</f>
        <v>Low Engagement</v>
      </c>
      <c r="AA887">
        <f t="shared" si="69"/>
        <v>1.1004915346805024</v>
      </c>
    </row>
    <row r="888" spans="1:27" x14ac:dyDescent="0.35">
      <c r="A888" s="2">
        <v>8792009665</v>
      </c>
      <c r="B888" s="2" t="s">
        <v>73</v>
      </c>
      <c r="C888" s="2">
        <f>VLOOKUP(user_activity!A229,users_details!$A$1:$G$34,5,0)</f>
        <v>24</v>
      </c>
      <c r="D888" s="2" t="str" cm="1">
        <f t="array" ref="D888">_xlfn.IFS( AND(C888&gt;=18, C888&lt;=25), "Emerging Adults",  AND(C888&gt;=26, C888&lt;=35),  "Young Adults",  AND(C888&gt;=36, C888&lt;=45),  "Midlife Adults",  AND(C888&gt;=46, C888&lt;=55), "Mature Adults", C888&gt;=56,  "Older Adults", TRUE, "Age Not Mentioned")</f>
        <v>Emerging Adults</v>
      </c>
      <c r="E888" s="2" t="str">
        <f>VLOOKUP(user_activity!A229,users_details!$A$1:$G$34,6,0)</f>
        <v>East Village, Manhattan</v>
      </c>
      <c r="F888" s="2" t="str">
        <f>VLOOKUP(user_activity!A229,users_details!$A$1:$G$34,7,0)</f>
        <v>East Village</v>
      </c>
      <c r="G888" s="2" t="s">
        <v>72</v>
      </c>
      <c r="H888" s="7">
        <v>42526</v>
      </c>
      <c r="I888" s="9" t="str">
        <f t="shared" si="65"/>
        <v>Sunday</v>
      </c>
      <c r="J888" s="9" t="str">
        <f t="shared" si="66"/>
        <v>June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f t="shared" si="67"/>
        <v>0</v>
      </c>
      <c r="V888" s="2">
        <v>1440</v>
      </c>
      <c r="W888" s="2">
        <v>0</v>
      </c>
      <c r="X888" s="2">
        <f t="shared" si="68"/>
        <v>7405.5</v>
      </c>
      <c r="Y888" s="2">
        <v>1688</v>
      </c>
      <c r="Z888" t="str" cm="1">
        <f t="array" ref="Z888">_xlfn.IFS(OR(R888&gt;66, S888&gt;38), "High Engagement", OR(AND(R888&gt;32, R888&lt;=66), AND(S888&gt;19, S888&lt;=38)), "Medium-High Engagement", OR(AND(R888&gt;4, R888&lt;=32), AND(S888&gt;6, S888&lt;=19)),"Medium Engagement", TRUE, "Low Engagement"
)</f>
        <v>Low Engagement</v>
      </c>
      <c r="AA888">
        <f t="shared" si="69"/>
        <v>0</v>
      </c>
    </row>
    <row r="889" spans="1:27" x14ac:dyDescent="0.35">
      <c r="A889" s="2">
        <v>8792009665</v>
      </c>
      <c r="B889" s="2" t="s">
        <v>73</v>
      </c>
      <c r="C889" s="2">
        <f>VLOOKUP(user_activity!A242,users_details!$A$1:$G$34,5,0)</f>
        <v>29</v>
      </c>
      <c r="D889" s="2" t="str" cm="1">
        <f t="array" ref="D889">_xlfn.IFS( AND(C889&gt;=18, C889&lt;=25), "Emerging Adults",  AND(C889&gt;=26, C889&lt;=35),  "Young Adults",  AND(C889&gt;=36, C889&lt;=45),  "Midlife Adults",  AND(C889&gt;=46, C889&lt;=55), "Mature Adults", C889&gt;=56,  "Older Adults", TRUE, "Age Not Mentioned")</f>
        <v>Young Adults</v>
      </c>
      <c r="E889" s="2" t="str">
        <f>VLOOKUP(user_activity!A242,users_details!$A$1:$G$34,6,0)</f>
        <v>East Village, Manhattan</v>
      </c>
      <c r="F889" s="2" t="str">
        <f>VLOOKUP(user_activity!A242,users_details!$A$1:$G$34,7,0)</f>
        <v>East Village</v>
      </c>
      <c r="G889" s="2" t="s">
        <v>72</v>
      </c>
      <c r="H889" s="7">
        <v>42482</v>
      </c>
      <c r="I889" s="9" t="str">
        <f t="shared" si="65"/>
        <v>Friday</v>
      </c>
      <c r="J889" s="9" t="str">
        <f t="shared" si="66"/>
        <v>April</v>
      </c>
      <c r="K889" s="2">
        <v>2.5999999049999998</v>
      </c>
      <c r="L889" s="2">
        <v>2.5999999049999998</v>
      </c>
      <c r="M889" s="2">
        <v>0</v>
      </c>
      <c r="N889" s="2">
        <v>5.0000001000000002E-2</v>
      </c>
      <c r="O889" s="2">
        <v>0.280000001</v>
      </c>
      <c r="P889" s="2">
        <v>2.2699999809999998</v>
      </c>
      <c r="Q889" s="2">
        <v>0</v>
      </c>
      <c r="R889" s="2">
        <v>1</v>
      </c>
      <c r="S889" s="2">
        <v>20</v>
      </c>
      <c r="T889" s="2">
        <v>195</v>
      </c>
      <c r="U889" s="2">
        <f t="shared" si="67"/>
        <v>216</v>
      </c>
      <c r="V889" s="2">
        <v>817</v>
      </c>
      <c r="W889" s="2">
        <v>4068</v>
      </c>
      <c r="X889" s="2">
        <f t="shared" si="68"/>
        <v>4068</v>
      </c>
      <c r="Y889" s="2">
        <v>2419</v>
      </c>
      <c r="Z889" t="str" cm="1">
        <f t="array" ref="Z889">_xlfn.IFS(OR(R889&gt;66, S889&gt;38), "High Engagement", OR(AND(R889&gt;32, R889&lt;=66), AND(S889&gt;19, S889&lt;=38)), "Medium-High Engagement", OR(AND(R889&gt;4, R889&lt;=32), AND(S889&gt;6, S889&lt;=19)),"Medium Engagement", TRUE, "Low Engagement"
)</f>
        <v>Medium-High Engagement</v>
      </c>
      <c r="AA889">
        <f t="shared" si="69"/>
        <v>0.59464110127826941</v>
      </c>
    </row>
    <row r="890" spans="1:27" x14ac:dyDescent="0.35">
      <c r="A890" s="2">
        <v>8792009665</v>
      </c>
      <c r="B890" s="2" t="s">
        <v>73</v>
      </c>
      <c r="C890" s="2">
        <f>VLOOKUP(user_activity!A245,users_details!$A$1:$G$34,5,0)</f>
        <v>29</v>
      </c>
      <c r="D890" s="2" t="str" cm="1">
        <f t="array" ref="D890">_xlfn.IFS( AND(C890&gt;=18, C890&lt;=25), "Emerging Adults",  AND(C890&gt;=26, C890&lt;=35),  "Young Adults",  AND(C890&gt;=36, C890&lt;=45),  "Midlife Adults",  AND(C890&gt;=46, C890&lt;=55), "Mature Adults", C890&gt;=56,  "Older Adults", TRUE, "Age Not Mentioned")</f>
        <v>Young Adults</v>
      </c>
      <c r="E890" s="2" t="str">
        <f>VLOOKUP(user_activity!A245,users_details!$A$1:$G$34,6,0)</f>
        <v>East Village, Manhattan</v>
      </c>
      <c r="F890" s="2" t="str">
        <f>VLOOKUP(user_activity!A245,users_details!$A$1:$G$34,7,0)</f>
        <v>East Village</v>
      </c>
      <c r="G890" s="2" t="s">
        <v>72</v>
      </c>
      <c r="H890" s="7">
        <v>42465</v>
      </c>
      <c r="I890" s="9" t="str">
        <f t="shared" si="65"/>
        <v>Tuesday</v>
      </c>
      <c r="J890" s="9" t="str">
        <f t="shared" si="66"/>
        <v>April</v>
      </c>
      <c r="K890" s="2">
        <v>1.460000038</v>
      </c>
      <c r="L890" s="2">
        <v>1.460000038</v>
      </c>
      <c r="M890" s="2">
        <v>0</v>
      </c>
      <c r="N890" s="2">
        <v>0</v>
      </c>
      <c r="O890" s="2">
        <v>0</v>
      </c>
      <c r="P890" s="2">
        <v>1.460000038</v>
      </c>
      <c r="Q890" s="2">
        <v>0</v>
      </c>
      <c r="R890" s="2">
        <v>0</v>
      </c>
      <c r="S890" s="2">
        <v>0</v>
      </c>
      <c r="T890" s="2">
        <v>129</v>
      </c>
      <c r="U890" s="2">
        <f t="shared" si="67"/>
        <v>129</v>
      </c>
      <c r="V890" s="2">
        <v>848</v>
      </c>
      <c r="W890" s="2">
        <v>2283</v>
      </c>
      <c r="X890" s="2">
        <f t="shared" si="68"/>
        <v>2283</v>
      </c>
      <c r="Y890" s="2">
        <v>2067</v>
      </c>
      <c r="Z890" t="str" cm="1">
        <f t="array" ref="Z890">_xlfn.IFS(OR(R890&gt;66, S890&gt;38), "High Engagement", OR(AND(R890&gt;32, R890&lt;=66), AND(S890&gt;19, S890&lt;=38)), "Medium-High Engagement", OR(AND(R890&gt;4, R890&lt;=32), AND(S890&gt;6, S890&lt;=19)),"Medium Engagement", TRUE, "Low Engagement"
)</f>
        <v>Low Engagement</v>
      </c>
      <c r="AA890">
        <f t="shared" si="69"/>
        <v>0.90538764783180026</v>
      </c>
    </row>
    <row r="891" spans="1:27" x14ac:dyDescent="0.35">
      <c r="A891" s="2">
        <v>8792009665</v>
      </c>
      <c r="B891" s="2" t="s">
        <v>73</v>
      </c>
      <c r="C891" s="2">
        <f>VLOOKUP(user_activity!A269,users_details!$A$1:$G$34,5,0)</f>
        <v>29</v>
      </c>
      <c r="D891" s="2" t="str" cm="1">
        <f t="array" ref="D891">_xlfn.IFS( AND(C891&gt;=18, C891&lt;=25), "Emerging Adults",  AND(C891&gt;=26, C891&lt;=35),  "Young Adults",  AND(C891&gt;=36, C891&lt;=45),  "Midlife Adults",  AND(C891&gt;=46, C891&lt;=55), "Mature Adults", C891&gt;=56,  "Older Adults", TRUE, "Age Not Mentioned")</f>
        <v>Young Adults</v>
      </c>
      <c r="E891" s="2" t="str">
        <f>VLOOKUP(user_activity!A269,users_details!$A$1:$G$34,6,0)</f>
        <v>Crown Heights, Brooklyn</v>
      </c>
      <c r="F891" s="2" t="str">
        <f>VLOOKUP(user_activity!A269,users_details!$A$1:$G$34,7,0)</f>
        <v>Crown Heights</v>
      </c>
      <c r="G891" s="2" t="s">
        <v>72</v>
      </c>
      <c r="H891" s="7">
        <v>42483</v>
      </c>
      <c r="I891" s="9" t="str">
        <f t="shared" si="65"/>
        <v>Saturday</v>
      </c>
      <c r="J891" s="9" t="str">
        <f t="shared" si="66"/>
        <v>April</v>
      </c>
      <c r="K891" s="2">
        <v>3.3599998950000001</v>
      </c>
      <c r="L891" s="2">
        <v>3.3599998950000001</v>
      </c>
      <c r="M891" s="2">
        <v>0</v>
      </c>
      <c r="N891" s="2">
        <v>0.15999999600000001</v>
      </c>
      <c r="O891" s="2">
        <v>0.439999998</v>
      </c>
      <c r="P891" s="2">
        <v>2.75</v>
      </c>
      <c r="Q891" s="2">
        <v>0</v>
      </c>
      <c r="R891" s="2">
        <v>8</v>
      </c>
      <c r="S891" s="2">
        <v>45</v>
      </c>
      <c r="T891" s="2">
        <v>232</v>
      </c>
      <c r="U891" s="2">
        <f t="shared" si="67"/>
        <v>285</v>
      </c>
      <c r="V891" s="2">
        <v>795</v>
      </c>
      <c r="W891" s="2">
        <v>5245</v>
      </c>
      <c r="X891" s="2">
        <f t="shared" si="68"/>
        <v>5245</v>
      </c>
      <c r="Y891" s="2">
        <v>2748</v>
      </c>
      <c r="Z891" t="str" cm="1">
        <f t="array" ref="Z891">_xlfn.IFS(OR(R891&gt;66, S891&gt;38), "High Engagement", OR(AND(R891&gt;32, R891&lt;=66), AND(S891&gt;19, S891&lt;=38)), "Medium-High Engagement", OR(AND(R891&gt;4, R891&lt;=32), AND(S891&gt;6, S891&lt;=19)),"Medium Engagement", TRUE, "Low Engagement"
)</f>
        <v>High Engagement</v>
      </c>
      <c r="AA891">
        <f t="shared" si="69"/>
        <v>0.52392755004766445</v>
      </c>
    </row>
    <row r="892" spans="1:27" x14ac:dyDescent="0.35">
      <c r="A892" s="2">
        <v>8792009665</v>
      </c>
      <c r="B892" s="2" t="s">
        <v>73</v>
      </c>
      <c r="C892" s="2">
        <f>VLOOKUP(user_activity!A271,users_details!$A$1:$G$34,5,0)</f>
        <v>29</v>
      </c>
      <c r="D892" s="2" t="str" cm="1">
        <f t="array" ref="D892">_xlfn.IFS( AND(C892&gt;=18, C892&lt;=25), "Emerging Adults",  AND(C892&gt;=26, C892&lt;=35),  "Young Adults",  AND(C892&gt;=36, C892&lt;=45),  "Midlife Adults",  AND(C892&gt;=46, C892&lt;=55), "Mature Adults", C892&gt;=56,  "Older Adults", TRUE, "Age Not Mentioned")</f>
        <v>Young Adults</v>
      </c>
      <c r="E892" s="2" t="str">
        <f>VLOOKUP(user_activity!A271,users_details!$A$1:$G$34,6,0)</f>
        <v>Crown Heights, Brooklyn</v>
      </c>
      <c r="F892" s="2" t="str">
        <f>VLOOKUP(user_activity!A271,users_details!$A$1:$G$34,7,0)</f>
        <v>Crown Heights</v>
      </c>
      <c r="G892" s="2" t="s">
        <v>72</v>
      </c>
      <c r="H892" s="7">
        <v>42434</v>
      </c>
      <c r="I892" s="9" t="str">
        <f t="shared" si="65"/>
        <v>Saturday</v>
      </c>
      <c r="J892" s="9" t="str">
        <f t="shared" si="66"/>
        <v>March</v>
      </c>
      <c r="K892" s="2">
        <v>1.5499999520000001</v>
      </c>
      <c r="L892" s="2">
        <v>1.5499999520000001</v>
      </c>
      <c r="M892" s="2">
        <v>0</v>
      </c>
      <c r="N892" s="2">
        <v>0</v>
      </c>
      <c r="O892" s="2">
        <v>0</v>
      </c>
      <c r="P892" s="2">
        <v>1.5499999520000001</v>
      </c>
      <c r="Q892" s="2">
        <v>0</v>
      </c>
      <c r="R892" s="2">
        <v>0</v>
      </c>
      <c r="S892" s="2">
        <v>0</v>
      </c>
      <c r="T892" s="2">
        <v>156</v>
      </c>
      <c r="U892" s="2">
        <f t="shared" si="67"/>
        <v>156</v>
      </c>
      <c r="V892" s="2">
        <v>739</v>
      </c>
      <c r="W892" s="2">
        <v>2421</v>
      </c>
      <c r="X892" s="2">
        <f t="shared" si="68"/>
        <v>2421</v>
      </c>
      <c r="Y892" s="2">
        <v>2297</v>
      </c>
      <c r="Z892" t="str" cm="1">
        <f t="array" ref="Z892">_xlfn.IFS(OR(R892&gt;66, S892&gt;38), "High Engagement", OR(AND(R892&gt;32, R892&lt;=66), AND(S892&gt;19, S892&lt;=38)), "Medium-High Engagement", OR(AND(R892&gt;4, R892&lt;=32), AND(S892&gt;6, S892&lt;=19)),"Medium Engagement", TRUE, "Low Engagement"
)</f>
        <v>Low Engagement</v>
      </c>
      <c r="AA892">
        <f t="shared" si="69"/>
        <v>0.94878149524989674</v>
      </c>
    </row>
    <row r="893" spans="1:27" x14ac:dyDescent="0.35">
      <c r="A893" s="2">
        <v>8792009665</v>
      </c>
      <c r="B893" s="2" t="s">
        <v>73</v>
      </c>
      <c r="C893" s="2">
        <f>VLOOKUP(user_activity!A304,users_details!$A$1:$G$34,5,0)</f>
        <v>30</v>
      </c>
      <c r="D893" s="2" t="str" cm="1">
        <f t="array" ref="D893">_xlfn.IFS( AND(C893&gt;=18, C893&lt;=25), "Emerging Adults",  AND(C893&gt;=26, C893&lt;=35),  "Young Adults",  AND(C893&gt;=36, C893&lt;=45),  "Midlife Adults",  AND(C893&gt;=46, C893&lt;=55), "Mature Adults", C893&gt;=56,  "Older Adults", TRUE, "Age Not Mentioned")</f>
        <v>Young Adults</v>
      </c>
      <c r="E893" s="2" t="str">
        <f>VLOOKUP(user_activity!A304,users_details!$A$1:$G$34,6,0)</f>
        <v>Midtown, Manhattan</v>
      </c>
      <c r="F893" s="2" t="str">
        <f>VLOOKUP(user_activity!A304,users_details!$A$1:$G$34,7,0)</f>
        <v>Midtown</v>
      </c>
      <c r="G893" s="2" t="s">
        <v>72</v>
      </c>
      <c r="H893" s="7">
        <v>42708</v>
      </c>
      <c r="I893" s="9" t="str">
        <f t="shared" si="65"/>
        <v>Sunday</v>
      </c>
      <c r="J893" s="9" t="str">
        <f t="shared" si="66"/>
        <v>December</v>
      </c>
      <c r="K893" s="2">
        <v>1.6399999860000001</v>
      </c>
      <c r="L893" s="2">
        <v>1.6399999860000001</v>
      </c>
      <c r="M893" s="2">
        <v>0</v>
      </c>
      <c r="N893" s="2">
        <v>0</v>
      </c>
      <c r="O893" s="2">
        <v>0</v>
      </c>
      <c r="P893" s="2">
        <v>1.6399999860000001</v>
      </c>
      <c r="Q893" s="2">
        <v>0</v>
      </c>
      <c r="R893" s="2">
        <v>0</v>
      </c>
      <c r="S893" s="2">
        <v>0</v>
      </c>
      <c r="T893" s="2">
        <v>116</v>
      </c>
      <c r="U893" s="2">
        <f t="shared" si="67"/>
        <v>116</v>
      </c>
      <c r="V893" s="2">
        <v>831</v>
      </c>
      <c r="W893" s="2">
        <v>2564</v>
      </c>
      <c r="X893" s="2">
        <f t="shared" si="68"/>
        <v>2564</v>
      </c>
      <c r="Y893" s="2">
        <v>2044</v>
      </c>
      <c r="Z893" t="str" cm="1">
        <f t="array" ref="Z893">_xlfn.IFS(OR(R893&gt;66, S893&gt;38), "High Engagement", OR(AND(R893&gt;32, R893&lt;=66), AND(S893&gt;19, S893&lt;=38)), "Medium-High Engagement", OR(AND(R893&gt;4, R893&lt;=32), AND(S893&gt;6, S893&lt;=19)),"Medium Engagement", TRUE, "Low Engagement"
)</f>
        <v>Low Engagement</v>
      </c>
      <c r="AA893">
        <f t="shared" si="69"/>
        <v>0.79719188767550697</v>
      </c>
    </row>
    <row r="894" spans="1:27" x14ac:dyDescent="0.35">
      <c r="A894" s="2">
        <v>8792009665</v>
      </c>
      <c r="B894" s="2" t="s">
        <v>73</v>
      </c>
      <c r="C894" s="2">
        <f>VLOOKUP(user_activity!A352,users_details!$A$1:$G$34,5,0)</f>
        <v>31</v>
      </c>
      <c r="D894" s="2" t="str" cm="1">
        <f t="array" ref="D894">_xlfn.IFS( AND(C894&gt;=18, C894&lt;=25), "Emerging Adults",  AND(C894&gt;=26, C894&lt;=35),  "Young Adults",  AND(C894&gt;=36, C894&lt;=45),  "Midlife Adults",  AND(C894&gt;=46, C894&lt;=55), "Mature Adults", C894&gt;=56,  "Older Adults", TRUE, "Age Not Mentioned")</f>
        <v>Young Adults</v>
      </c>
      <c r="E894" s="2" t="str">
        <f>VLOOKUP(user_activity!A352,users_details!$A$1:$G$34,6,0)</f>
        <v>Midtown, Manhattan</v>
      </c>
      <c r="F894" s="2" t="str">
        <f>VLOOKUP(user_activity!A352,users_details!$A$1:$G$34,7,0)</f>
        <v>Midtown</v>
      </c>
      <c r="G894" s="2" t="s">
        <v>72</v>
      </c>
      <c r="H894" s="7">
        <v>42489</v>
      </c>
      <c r="I894" s="9" t="str">
        <f t="shared" si="65"/>
        <v>Friday</v>
      </c>
      <c r="J894" s="9" t="str">
        <f t="shared" si="66"/>
        <v>April</v>
      </c>
      <c r="K894" s="2">
        <v>5.3499999049999998</v>
      </c>
      <c r="L894" s="2">
        <v>5.3499999049999998</v>
      </c>
      <c r="M894" s="2">
        <v>0</v>
      </c>
      <c r="N894" s="2">
        <v>0.14000000100000001</v>
      </c>
      <c r="O894" s="2">
        <v>0.280000001</v>
      </c>
      <c r="P894" s="2">
        <v>4.9299998279999997</v>
      </c>
      <c r="Q894" s="2">
        <v>0</v>
      </c>
      <c r="R894" s="2">
        <v>6</v>
      </c>
      <c r="S894" s="2">
        <v>14</v>
      </c>
      <c r="T894" s="2">
        <v>380</v>
      </c>
      <c r="U894" s="2">
        <f t="shared" si="67"/>
        <v>400</v>
      </c>
      <c r="V894" s="2">
        <v>634</v>
      </c>
      <c r="W894" s="2">
        <v>8360</v>
      </c>
      <c r="X894" s="2">
        <f t="shared" si="68"/>
        <v>8360</v>
      </c>
      <c r="Y894" s="2">
        <v>3101</v>
      </c>
      <c r="Z894" t="str" cm="1">
        <f t="array" ref="Z894">_xlfn.IFS(OR(R894&gt;66, S894&gt;38), "High Engagement", OR(AND(R894&gt;32, R894&lt;=66), AND(S894&gt;19, S894&lt;=38)), "Medium-High Engagement", OR(AND(R894&gt;4, R894&lt;=32), AND(S894&gt;6, S894&lt;=19)),"Medium Engagement", TRUE, "Low Engagement"
)</f>
        <v>Medium Engagement</v>
      </c>
      <c r="AA894">
        <f t="shared" si="69"/>
        <v>0.370933014354067</v>
      </c>
    </row>
    <row r="895" spans="1:27" x14ac:dyDescent="0.35">
      <c r="A895" s="2">
        <v>8792009665</v>
      </c>
      <c r="B895" s="2" t="s">
        <v>73</v>
      </c>
      <c r="C895" s="2">
        <f>VLOOKUP(user_activity!A454,users_details!$A$1:$G$34,5,0)</f>
        <v>33</v>
      </c>
      <c r="D895" s="2" t="str" cm="1">
        <f t="array" ref="D895">_xlfn.IFS( AND(C895&gt;=18, C895&lt;=25), "Emerging Adults",  AND(C895&gt;=26, C895&lt;=35),  "Young Adults",  AND(C895&gt;=36, C895&lt;=45),  "Midlife Adults",  AND(C895&gt;=46, C895&lt;=55), "Mature Adults", C895&gt;=56,  "Older Adults", TRUE, "Age Not Mentioned")</f>
        <v>Young Adults</v>
      </c>
      <c r="E895" s="2" t="str">
        <f>VLOOKUP(user_activity!A454,users_details!$A$1:$G$34,6,0)</f>
        <v>Harlem, Manhattan</v>
      </c>
      <c r="F895" s="2" t="str">
        <f>VLOOKUP(user_activity!A454,users_details!$A$1:$G$34,7,0)</f>
        <v>Harlem</v>
      </c>
      <c r="G895" s="2" t="s">
        <v>72</v>
      </c>
      <c r="H895" s="7">
        <v>42479</v>
      </c>
      <c r="I895" s="9" t="str">
        <f t="shared" si="65"/>
        <v>Tuesday</v>
      </c>
      <c r="J895" s="9" t="str">
        <f t="shared" si="66"/>
        <v>April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f t="shared" si="67"/>
        <v>0</v>
      </c>
      <c r="V895" s="2">
        <v>1440</v>
      </c>
      <c r="W895" s="2">
        <v>0</v>
      </c>
      <c r="X895" s="2">
        <f t="shared" si="68"/>
        <v>7405.5</v>
      </c>
      <c r="Y895" s="2">
        <v>1688</v>
      </c>
      <c r="Z895" t="str" cm="1">
        <f t="array" ref="Z895">_xlfn.IFS(OR(R895&gt;66, S895&gt;38), "High Engagement", OR(AND(R895&gt;32, R895&lt;=66), AND(S895&gt;19, S895&lt;=38)), "Medium-High Engagement", OR(AND(R895&gt;4, R895&lt;=32), AND(S895&gt;6, S895&lt;=19)),"Medium Engagement", TRUE, "Low Engagement"
)</f>
        <v>Low Engagement</v>
      </c>
      <c r="AA895">
        <f t="shared" si="69"/>
        <v>0</v>
      </c>
    </row>
    <row r="896" spans="1:27" x14ac:dyDescent="0.35">
      <c r="A896" s="2">
        <v>8792009665</v>
      </c>
      <c r="B896" s="2" t="s">
        <v>73</v>
      </c>
      <c r="C896" s="2">
        <f>VLOOKUP(user_activity!A469,users_details!$A$1:$G$34,5,0)</f>
        <v>33</v>
      </c>
      <c r="D896" s="2" t="str" cm="1">
        <f t="array" ref="D896">_xlfn.IFS( AND(C896&gt;=18, C896&lt;=25), "Emerging Adults",  AND(C896&gt;=26, C896&lt;=35),  "Young Adults",  AND(C896&gt;=36, C896&lt;=45),  "Midlife Adults",  AND(C896&gt;=46, C896&lt;=55), "Mature Adults", C896&gt;=56,  "Older Adults", TRUE, "Age Not Mentioned")</f>
        <v>Young Adults</v>
      </c>
      <c r="E896" s="2" t="str">
        <f>VLOOKUP(user_activity!A469,users_details!$A$1:$G$34,6,0)</f>
        <v>Harlem, Manhattan</v>
      </c>
      <c r="F896" s="2" t="str">
        <f>VLOOKUP(user_activity!A469,users_details!$A$1:$G$34,7,0)</f>
        <v>Harlem</v>
      </c>
      <c r="G896" s="2" t="s">
        <v>72</v>
      </c>
      <c r="H896" s="7">
        <v>42487</v>
      </c>
      <c r="I896" s="9" t="str">
        <f t="shared" si="65"/>
        <v>Wednesday</v>
      </c>
      <c r="J896" s="9" t="str">
        <f t="shared" si="66"/>
        <v>April</v>
      </c>
      <c r="K896" s="2">
        <v>1.1299999949999999</v>
      </c>
      <c r="L896" s="2">
        <v>1.1299999949999999</v>
      </c>
      <c r="M896" s="2">
        <v>0</v>
      </c>
      <c r="N896" s="2">
        <v>0</v>
      </c>
      <c r="O896" s="2">
        <v>0</v>
      </c>
      <c r="P896" s="2">
        <v>1.1299999949999999</v>
      </c>
      <c r="Q896" s="2">
        <v>0</v>
      </c>
      <c r="R896" s="2">
        <v>0</v>
      </c>
      <c r="S896" s="2">
        <v>0</v>
      </c>
      <c r="T896" s="2">
        <v>112</v>
      </c>
      <c r="U896" s="2">
        <f t="shared" si="67"/>
        <v>112</v>
      </c>
      <c r="V896" s="2">
        <v>900</v>
      </c>
      <c r="W896" s="2">
        <v>1758</v>
      </c>
      <c r="X896" s="2">
        <f t="shared" si="68"/>
        <v>1758</v>
      </c>
      <c r="Y896" s="2">
        <v>2067</v>
      </c>
      <c r="Z896" t="str" cm="1">
        <f t="array" ref="Z896">_xlfn.IFS(OR(R896&gt;66, S896&gt;38), "High Engagement", OR(AND(R896&gt;32, R896&lt;=66), AND(S896&gt;19, S896&lt;=38)), "Medium-High Engagement", OR(AND(R896&gt;4, R896&lt;=32), AND(S896&gt;6, S896&lt;=19)),"Medium Engagement", TRUE, "Low Engagement"
)</f>
        <v>Low Engagement</v>
      </c>
      <c r="AA896">
        <f t="shared" si="69"/>
        <v>1.1757679180887373</v>
      </c>
    </row>
    <row r="897" spans="1:27" x14ac:dyDescent="0.35">
      <c r="A897" s="2">
        <v>8792009665</v>
      </c>
      <c r="B897" s="2" t="s">
        <v>73</v>
      </c>
      <c r="C897" s="2">
        <f>VLOOKUP(user_activity!A488,users_details!$A$1:$G$34,5,0)</f>
        <v>33</v>
      </c>
      <c r="D897" s="2" t="str" cm="1">
        <f t="array" ref="D897">_xlfn.IFS( AND(C897&gt;=18, C897&lt;=25), "Emerging Adults",  AND(C897&gt;=26, C897&lt;=35),  "Young Adults",  AND(C897&gt;=36, C897&lt;=45),  "Midlife Adults",  AND(C897&gt;=46, C897&lt;=55), "Mature Adults", C897&gt;=56,  "Older Adults", TRUE, "Age Not Mentioned")</f>
        <v>Young Adults</v>
      </c>
      <c r="E897" s="2" t="str">
        <f>VLOOKUP(user_activity!A488,users_details!$A$1:$G$34,6,0)</f>
        <v>Greenpoint, Brooklyn</v>
      </c>
      <c r="F897" s="2" t="str">
        <f>VLOOKUP(user_activity!A488,users_details!$A$1:$G$34,7,0)</f>
        <v>Greenpoint</v>
      </c>
      <c r="G897" s="2" t="s">
        <v>72</v>
      </c>
      <c r="H897" s="7">
        <v>42485</v>
      </c>
      <c r="I897" s="9" t="str">
        <f t="shared" si="65"/>
        <v>Monday</v>
      </c>
      <c r="J897" s="9" t="str">
        <f t="shared" si="66"/>
        <v>April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f t="shared" si="67"/>
        <v>0</v>
      </c>
      <c r="V897" s="2">
        <v>1440</v>
      </c>
      <c r="W897" s="2">
        <v>0</v>
      </c>
      <c r="X897" s="2">
        <f t="shared" si="68"/>
        <v>7405.5</v>
      </c>
      <c r="Y897" s="2">
        <v>1688</v>
      </c>
      <c r="Z897" t="str" cm="1">
        <f t="array" ref="Z897">_xlfn.IFS(OR(R897&gt;66, S897&gt;38), "High Engagement", OR(AND(R897&gt;32, R897&lt;=66), AND(S897&gt;19, S897&lt;=38)), "Medium-High Engagement", OR(AND(R897&gt;4, R897&lt;=32), AND(S897&gt;6, S897&lt;=19)),"Medium Engagement", TRUE, "Low Engagement"
)</f>
        <v>Low Engagement</v>
      </c>
      <c r="AA897">
        <f t="shared" si="69"/>
        <v>0</v>
      </c>
    </row>
    <row r="898" spans="1:27" x14ac:dyDescent="0.35">
      <c r="A898" s="2">
        <v>8792009665</v>
      </c>
      <c r="B898" s="2" t="s">
        <v>73</v>
      </c>
      <c r="C898" s="2">
        <f>VLOOKUP(user_activity!A511,users_details!$A$1:$G$34,5,0)</f>
        <v>36</v>
      </c>
      <c r="D898" s="2" t="str" cm="1">
        <f t="array" ref="D898">_xlfn.IFS( AND(C898&gt;=18, C898&lt;=25), "Emerging Adults",  AND(C898&gt;=26, C898&lt;=35),  "Young Adults",  AND(C898&gt;=36, C898&lt;=45),  "Midlife Adults",  AND(C898&gt;=46, C898&lt;=55), "Mature Adults", C898&gt;=56,  "Older Adults", TRUE, "Age Not Mentioned")</f>
        <v>Midlife Adults</v>
      </c>
      <c r="E898" s="2" t="str">
        <f>VLOOKUP(user_activity!A511,users_details!$A$1:$G$34,6,0)</f>
        <v>Williamsburg, Brooklyn</v>
      </c>
      <c r="F898" s="2" t="str">
        <f>VLOOKUP(user_activity!A511,users_details!$A$1:$G$34,7,0)</f>
        <v>Williamsburg</v>
      </c>
      <c r="G898" s="2" t="s">
        <v>72</v>
      </c>
      <c r="H898" s="7">
        <v>42476</v>
      </c>
      <c r="I898" s="9" t="str">
        <f t="shared" ref="I898:I961" si="70">TEXT(H898, "dddd")</f>
        <v>Saturday</v>
      </c>
      <c r="J898" s="9" t="str">
        <f t="shared" ref="J898:J941" si="71">TEXT(H898, "mmmm")</f>
        <v>April</v>
      </c>
      <c r="K898" s="2">
        <v>0.15999999600000001</v>
      </c>
      <c r="L898" s="2">
        <v>0.15999999600000001</v>
      </c>
      <c r="M898" s="2">
        <v>0</v>
      </c>
      <c r="N898" s="2">
        <v>0</v>
      </c>
      <c r="O898" s="2">
        <v>0</v>
      </c>
      <c r="P898" s="2">
        <v>0.15999999600000001</v>
      </c>
      <c r="Q898" s="2">
        <v>0</v>
      </c>
      <c r="R898" s="2">
        <v>0</v>
      </c>
      <c r="S898" s="2">
        <v>0</v>
      </c>
      <c r="T898" s="2">
        <v>12</v>
      </c>
      <c r="U898" s="2">
        <f t="shared" ref="U898:U961" si="72">R898+S898+T898</f>
        <v>12</v>
      </c>
      <c r="V898" s="2">
        <v>1428</v>
      </c>
      <c r="W898" s="2">
        <v>244</v>
      </c>
      <c r="X898" s="2">
        <f t="shared" ref="X898:X961" si="73">IF(W898=0,MEDIAN($W$2:$W$941),W898)</f>
        <v>244</v>
      </c>
      <c r="Y898" s="2">
        <v>1721</v>
      </c>
      <c r="Z898" t="str" cm="1">
        <f t="array" ref="Z898">_xlfn.IFS(OR(R898&gt;66, S898&gt;38), "High Engagement", OR(AND(R898&gt;32, R898&lt;=66), AND(S898&gt;19, S898&lt;=38)), "Medium-High Engagement", OR(AND(R898&gt;4, R898&lt;=32), AND(S898&gt;6, S898&lt;=19)),"Medium Engagement", TRUE, "Low Engagement"
)</f>
        <v>Low Engagement</v>
      </c>
      <c r="AA898">
        <f t="shared" si="69"/>
        <v>7.0532786885245899</v>
      </c>
    </row>
    <row r="899" spans="1:27" x14ac:dyDescent="0.35">
      <c r="A899" s="2">
        <v>8792009665</v>
      </c>
      <c r="B899" s="2" t="s">
        <v>73</v>
      </c>
      <c r="C899" s="2">
        <f>VLOOKUP(user_activity!A535,users_details!$A$1:$G$34,5,0)</f>
        <v>38</v>
      </c>
      <c r="D899" s="2" t="str" cm="1">
        <f t="array" ref="D899">_xlfn.IFS( AND(C899&gt;=18, C899&lt;=25), "Emerging Adults",  AND(C899&gt;=26, C899&lt;=35),  "Young Adults",  AND(C899&gt;=36, C899&lt;=45),  "Midlife Adults",  AND(C899&gt;=46, C899&lt;=55), "Mature Adults", C899&gt;=56,  "Older Adults", TRUE, "Age Not Mentioned")</f>
        <v>Midlife Adults</v>
      </c>
      <c r="E899" s="2" t="str">
        <f>VLOOKUP(user_activity!A535,users_details!$A$1:$G$34,6,0)</f>
        <v>East Harlem, Manhattan</v>
      </c>
      <c r="F899" s="2" t="str">
        <f>VLOOKUP(user_activity!A535,users_details!$A$1:$G$34,7,0)</f>
        <v>East Harlem</v>
      </c>
      <c r="G899" s="2" t="s">
        <v>72</v>
      </c>
      <c r="H899" s="7">
        <v>42618</v>
      </c>
      <c r="I899" s="9" t="str">
        <f t="shared" si="70"/>
        <v>Monday</v>
      </c>
      <c r="J899" s="9" t="str">
        <f t="shared" si="71"/>
        <v>September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f t="shared" si="72"/>
        <v>0</v>
      </c>
      <c r="V899" s="2">
        <v>1440</v>
      </c>
      <c r="W899" s="2">
        <v>0</v>
      </c>
      <c r="X899" s="2">
        <f t="shared" si="73"/>
        <v>7405.5</v>
      </c>
      <c r="Y899" s="2">
        <v>1688</v>
      </c>
      <c r="Z899" t="str" cm="1">
        <f t="array" ref="Z899">_xlfn.IFS(OR(R899&gt;66, S899&gt;38), "High Engagement", OR(AND(R899&gt;32, R899&lt;=66), AND(S899&gt;19, S899&lt;=38)), "Medium-High Engagement", OR(AND(R899&gt;4, R899&lt;=32), AND(S899&gt;6, S899&lt;=19)),"Medium Engagement", TRUE, "Low Engagement"
)</f>
        <v>Low Engagement</v>
      </c>
      <c r="AA899">
        <f t="shared" ref="AA899:AA941" si="74">IF(W899&gt;0, Y899/W899, 0)</f>
        <v>0</v>
      </c>
    </row>
    <row r="900" spans="1:27" x14ac:dyDescent="0.35">
      <c r="A900" s="2">
        <v>8792009665</v>
      </c>
      <c r="B900" s="2" t="s">
        <v>73</v>
      </c>
      <c r="C900" s="2">
        <f>VLOOKUP(user_activity!A569,users_details!$A$1:$G$34,5,0)</f>
        <v>38</v>
      </c>
      <c r="D900" s="2" t="str" cm="1">
        <f t="array" ref="D900">_xlfn.IFS( AND(C900&gt;=18, C900&lt;=25), "Emerging Adults",  AND(C900&gt;=26, C900&lt;=35),  "Young Adults",  AND(C900&gt;=36, C900&lt;=45),  "Midlife Adults",  AND(C900&gt;=46, C900&lt;=55), "Mature Adults", C900&gt;=56,  "Older Adults", TRUE, "Age Not Mentioned")</f>
        <v>Midlife Adults</v>
      </c>
      <c r="E900" s="2" t="str">
        <f>VLOOKUP(user_activity!A569,users_details!$A$1:$G$34,6,0)</f>
        <v>Midtown, Manhattan</v>
      </c>
      <c r="F900" s="2" t="str">
        <f>VLOOKUP(user_activity!A569,users_details!$A$1:$G$34,7,0)</f>
        <v>Midtown</v>
      </c>
      <c r="G900" s="2" t="s">
        <v>72</v>
      </c>
      <c r="H900" s="7">
        <v>42556</v>
      </c>
      <c r="I900" s="9" t="str">
        <f t="shared" si="70"/>
        <v>Tuesday</v>
      </c>
      <c r="J900" s="9" t="str">
        <f t="shared" si="71"/>
        <v>July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f t="shared" si="72"/>
        <v>0</v>
      </c>
      <c r="V900" s="2">
        <v>1440</v>
      </c>
      <c r="W900" s="2">
        <v>0</v>
      </c>
      <c r="X900" s="2">
        <f t="shared" si="73"/>
        <v>7405.5</v>
      </c>
      <c r="Y900" s="2">
        <v>1688</v>
      </c>
      <c r="Z900" t="str" cm="1">
        <f t="array" ref="Z900">_xlfn.IFS(OR(R900&gt;66, S900&gt;38), "High Engagement", OR(AND(R900&gt;32, R900&lt;=66), AND(S900&gt;19, S900&lt;=38)), "Medium-High Engagement", OR(AND(R900&gt;4, R900&lt;=32), AND(S900&gt;6, S900&lt;=19)),"Medium Engagement", TRUE, "Low Engagement"
)</f>
        <v>Low Engagement</v>
      </c>
      <c r="AA900">
        <f t="shared" si="74"/>
        <v>0</v>
      </c>
    </row>
    <row r="901" spans="1:27" x14ac:dyDescent="0.35">
      <c r="A901" s="2">
        <v>8792009665</v>
      </c>
      <c r="B901" s="2" t="s">
        <v>73</v>
      </c>
      <c r="C901" s="2">
        <f>VLOOKUP(user_activity!A601,users_details!$A$1:$G$34,5,0)</f>
        <v>39</v>
      </c>
      <c r="D901" s="2" t="str" cm="1">
        <f t="array" ref="D901">_xlfn.IFS( AND(C901&gt;=18, C901&lt;=25), "Emerging Adults",  AND(C901&gt;=26, C901&lt;=35),  "Young Adults",  AND(C901&gt;=36, C901&lt;=45),  "Midlife Adults",  AND(C901&gt;=46, C901&lt;=55), "Mature Adults", C901&gt;=56,  "Older Adults", TRUE, "Age Not Mentioned")</f>
        <v>Midlife Adults</v>
      </c>
      <c r="E901" s="2" t="str">
        <f>VLOOKUP(user_activity!A601,users_details!$A$1:$G$34,6,0)</f>
        <v>East Village, Manhattan</v>
      </c>
      <c r="F901" s="2" t="str">
        <f>VLOOKUP(user_activity!A601,users_details!$A$1:$G$34,7,0)</f>
        <v>East Village</v>
      </c>
      <c r="G901" s="2" t="s">
        <v>72</v>
      </c>
      <c r="H901" s="7">
        <v>42484</v>
      </c>
      <c r="I901" s="9" t="str">
        <f t="shared" si="70"/>
        <v>Sunday</v>
      </c>
      <c r="J901" s="9" t="str">
        <f t="shared" si="71"/>
        <v>April</v>
      </c>
      <c r="K901" s="2">
        <v>0.25999999000000001</v>
      </c>
      <c r="L901" s="2">
        <v>0.25999999000000001</v>
      </c>
      <c r="M901" s="2">
        <v>0</v>
      </c>
      <c r="N901" s="2">
        <v>3.9999999000000001E-2</v>
      </c>
      <c r="O901" s="2">
        <v>5.0000001000000002E-2</v>
      </c>
      <c r="P901" s="2">
        <v>0.15999999600000001</v>
      </c>
      <c r="Q901" s="2">
        <v>0</v>
      </c>
      <c r="R901" s="2">
        <v>3</v>
      </c>
      <c r="S901" s="2">
        <v>8</v>
      </c>
      <c r="T901" s="2">
        <v>19</v>
      </c>
      <c r="U901" s="2">
        <f t="shared" si="72"/>
        <v>30</v>
      </c>
      <c r="V901" s="2">
        <v>1410</v>
      </c>
      <c r="W901" s="2">
        <v>400</v>
      </c>
      <c r="X901" s="2">
        <f t="shared" si="73"/>
        <v>400</v>
      </c>
      <c r="Y901" s="2">
        <v>1799</v>
      </c>
      <c r="Z901" t="str" cm="1">
        <f t="array" ref="Z901">_xlfn.IFS(OR(R901&gt;66, S901&gt;38), "High Engagement", OR(AND(R901&gt;32, R901&lt;=66), AND(S901&gt;19, S901&lt;=38)), "Medium-High Engagement", OR(AND(R901&gt;4, R901&lt;=32), AND(S901&gt;6, S901&lt;=19)),"Medium Engagement", TRUE, "Low Engagement"
)</f>
        <v>Medium Engagement</v>
      </c>
      <c r="AA901">
        <f t="shared" si="74"/>
        <v>4.4974999999999996</v>
      </c>
    </row>
    <row r="902" spans="1:27" x14ac:dyDescent="0.35">
      <c r="A902" s="2">
        <v>8792009665</v>
      </c>
      <c r="B902" s="2" t="s">
        <v>73</v>
      </c>
      <c r="C902" s="2">
        <f>VLOOKUP(user_activity!A605,users_details!$A$1:$G$34,5,0)</f>
        <v>39</v>
      </c>
      <c r="D902" s="2" t="str" cm="1">
        <f t="array" ref="D902">_xlfn.IFS( AND(C902&gt;=18, C902&lt;=25), "Emerging Adults",  AND(C902&gt;=26, C902&lt;=35),  "Young Adults",  AND(C902&gt;=36, C902&lt;=45),  "Midlife Adults",  AND(C902&gt;=46, C902&lt;=55), "Mature Adults", C902&gt;=56,  "Older Adults", TRUE, "Age Not Mentioned")</f>
        <v>Midlife Adults</v>
      </c>
      <c r="E902" s="2" t="str">
        <f>VLOOKUP(user_activity!A605,users_details!$A$1:$G$34,6,0)</f>
        <v>East Village, Manhattan</v>
      </c>
      <c r="F902" s="2" t="str">
        <f>VLOOKUP(user_activity!A605,users_details!$A$1:$G$34,7,0)</f>
        <v>East Village</v>
      </c>
      <c r="G902" s="2" t="s">
        <v>72</v>
      </c>
      <c r="H902" s="7">
        <v>42587</v>
      </c>
      <c r="I902" s="9" t="str">
        <f t="shared" si="70"/>
        <v>Friday</v>
      </c>
      <c r="J902" s="9" t="str">
        <f t="shared" si="71"/>
        <v>August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f t="shared" si="72"/>
        <v>0</v>
      </c>
      <c r="V902" s="2">
        <v>1440</v>
      </c>
      <c r="W902" s="2">
        <v>0</v>
      </c>
      <c r="X902" s="2">
        <f t="shared" si="73"/>
        <v>7405.5</v>
      </c>
      <c r="Y902" s="2">
        <v>1688</v>
      </c>
      <c r="Z902" t="str" cm="1">
        <f t="array" ref="Z902">_xlfn.IFS(OR(R902&gt;66, S902&gt;38), "High Engagement", OR(AND(R902&gt;32, R902&lt;=66), AND(S902&gt;19, S902&lt;=38)), "Medium-High Engagement", OR(AND(R902&gt;4, R902&lt;=32), AND(S902&gt;6, S902&lt;=19)),"Medium Engagement", TRUE, "Low Engagement"
)</f>
        <v>Low Engagement</v>
      </c>
      <c r="AA902">
        <f t="shared" si="74"/>
        <v>0</v>
      </c>
    </row>
    <row r="903" spans="1:27" x14ac:dyDescent="0.35">
      <c r="A903" s="2">
        <v>8792009665</v>
      </c>
      <c r="B903" s="2" t="s">
        <v>73</v>
      </c>
      <c r="C903" s="2">
        <f>VLOOKUP(user_activity!A608,users_details!$A$1:$G$34,5,0)</f>
        <v>39</v>
      </c>
      <c r="D903" s="2" t="str" cm="1">
        <f t="array" ref="D903">_xlfn.IFS( AND(C903&gt;=18, C903&lt;=25), "Emerging Adults",  AND(C903&gt;=26, C903&lt;=35),  "Young Adults",  AND(C903&gt;=36, C903&lt;=45),  "Midlife Adults",  AND(C903&gt;=46, C903&lt;=55), "Mature Adults", C903&gt;=56,  "Older Adults", TRUE, "Age Not Mentioned")</f>
        <v>Midlife Adults</v>
      </c>
      <c r="E903" s="2" t="str">
        <f>VLOOKUP(user_activity!A608,users_details!$A$1:$G$34,6,0)</f>
        <v>East Village, Manhattan</v>
      </c>
      <c r="F903" s="2" t="str">
        <f>VLOOKUP(user_activity!A608,users_details!$A$1:$G$34,7,0)</f>
        <v>East Village</v>
      </c>
      <c r="G903" s="2" t="s">
        <v>72</v>
      </c>
      <c r="H903" s="7">
        <v>42648</v>
      </c>
      <c r="I903" s="9" t="str">
        <f t="shared" si="70"/>
        <v>Wednesday</v>
      </c>
      <c r="J903" s="9" t="str">
        <f t="shared" si="71"/>
        <v>October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f t="shared" si="72"/>
        <v>0</v>
      </c>
      <c r="V903" s="2">
        <v>48</v>
      </c>
      <c r="W903" s="2">
        <v>0</v>
      </c>
      <c r="X903" s="2">
        <f t="shared" si="73"/>
        <v>7405.5</v>
      </c>
      <c r="Y903" s="2">
        <v>57</v>
      </c>
      <c r="Z903" t="str" cm="1">
        <f t="array" ref="Z903">_xlfn.IFS(OR(R903&gt;66, S903&gt;38), "High Engagement", OR(AND(R903&gt;32, R903&lt;=66), AND(S903&gt;19, S903&lt;=38)), "Medium-High Engagement", OR(AND(R903&gt;4, R903&lt;=32), AND(S903&gt;6, S903&lt;=19)),"Medium Engagement", TRUE, "Low Engagement"
)</f>
        <v>Low Engagement</v>
      </c>
      <c r="AA903">
        <f t="shared" si="74"/>
        <v>0</v>
      </c>
    </row>
    <row r="904" spans="1:27" x14ac:dyDescent="0.35">
      <c r="A904" s="2">
        <v>8792009665</v>
      </c>
      <c r="B904" s="2" t="s">
        <v>73</v>
      </c>
      <c r="C904" s="2">
        <f>VLOOKUP(user_activity!A638,users_details!$A$1:$G$34,5,0)</f>
        <v>41</v>
      </c>
      <c r="D904" s="2" t="str" cm="1">
        <f t="array" ref="D904">_xlfn.IFS( AND(C904&gt;=18, C904&lt;=25), "Emerging Adults",  AND(C904&gt;=26, C904&lt;=35),  "Young Adults",  AND(C904&gt;=36, C904&lt;=45),  "Midlife Adults",  AND(C904&gt;=46, C904&lt;=55), "Mature Adults", C904&gt;=56,  "Older Adults", TRUE, "Age Not Mentioned")</f>
        <v>Midlife Adults</v>
      </c>
      <c r="E904" s="2" t="str">
        <f>VLOOKUP(user_activity!A638,users_details!$A$1:$G$34,6,0)</f>
        <v>East Harlem, Manhattan</v>
      </c>
      <c r="F904" s="2" t="str">
        <f>VLOOKUP(user_activity!A638,users_details!$A$1:$G$34,7,0)</f>
        <v>East Harlem</v>
      </c>
      <c r="G904" s="2" t="s">
        <v>72</v>
      </c>
      <c r="H904" s="7">
        <v>42478</v>
      </c>
      <c r="I904" s="9" t="str">
        <f t="shared" si="70"/>
        <v>Monday</v>
      </c>
      <c r="J904" s="9" t="str">
        <f t="shared" si="71"/>
        <v>April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f t="shared" si="72"/>
        <v>0</v>
      </c>
      <c r="V904" s="2">
        <v>1440</v>
      </c>
      <c r="W904" s="2">
        <v>0</v>
      </c>
      <c r="X904" s="2">
        <f t="shared" si="73"/>
        <v>7405.5</v>
      </c>
      <c r="Y904" s="2">
        <v>1688</v>
      </c>
      <c r="Z904" t="str" cm="1">
        <f t="array" ref="Z904">_xlfn.IFS(OR(R904&gt;66, S904&gt;38), "High Engagement", OR(AND(R904&gt;32, R904&lt;=66), AND(S904&gt;19, S904&lt;=38)), "Medium-High Engagement", OR(AND(R904&gt;4, R904&lt;=32), AND(S904&gt;6, S904&lt;=19)),"Medium Engagement", TRUE, "Low Engagement"
)</f>
        <v>Low Engagement</v>
      </c>
      <c r="AA904">
        <f t="shared" si="74"/>
        <v>0</v>
      </c>
    </row>
    <row r="905" spans="1:27" x14ac:dyDescent="0.35">
      <c r="A905" s="2">
        <v>8792009665</v>
      </c>
      <c r="B905" s="2" t="s">
        <v>73</v>
      </c>
      <c r="C905" s="2">
        <f>VLOOKUP(user_activity!A648,users_details!$A$1:$G$34,5,0)</f>
        <v>45</v>
      </c>
      <c r="D905" s="2" t="str" cm="1">
        <f t="array" ref="D905">_xlfn.IFS( AND(C905&gt;=18, C905&lt;=25), "Emerging Adults",  AND(C905&gt;=26, C905&lt;=35),  "Young Adults",  AND(C905&gt;=36, C905&lt;=45),  "Midlife Adults",  AND(C905&gt;=46, C905&lt;=55), "Mature Adults", C905&gt;=56,  "Older Adults", TRUE, "Age Not Mentioned")</f>
        <v>Midlife Adults</v>
      </c>
      <c r="E905" s="2" t="str">
        <f>VLOOKUP(user_activity!A648,users_details!$A$1:$G$34,6,0)</f>
        <v>Harlem, Manhattan</v>
      </c>
      <c r="F905" s="2" t="str">
        <f>VLOOKUP(user_activity!A648,users_details!$A$1:$G$34,7,0)</f>
        <v>Harlem</v>
      </c>
      <c r="G905" s="2" t="s">
        <v>72</v>
      </c>
      <c r="H905" s="7">
        <v>42488</v>
      </c>
      <c r="I905" s="9" t="str">
        <f t="shared" si="70"/>
        <v>Thursday</v>
      </c>
      <c r="J905" s="9" t="str">
        <f t="shared" si="71"/>
        <v>April</v>
      </c>
      <c r="K905" s="2">
        <v>3.9400000569999998</v>
      </c>
      <c r="L905" s="2">
        <v>3.9400000569999998</v>
      </c>
      <c r="M905" s="2">
        <v>0</v>
      </c>
      <c r="N905" s="2">
        <v>0</v>
      </c>
      <c r="O905" s="2">
        <v>0</v>
      </c>
      <c r="P905" s="2">
        <v>3.9400000569999998</v>
      </c>
      <c r="Q905" s="2">
        <v>0</v>
      </c>
      <c r="R905" s="2">
        <v>0</v>
      </c>
      <c r="S905" s="2">
        <v>0</v>
      </c>
      <c r="T905" s="2">
        <v>310</v>
      </c>
      <c r="U905" s="2">
        <f t="shared" si="72"/>
        <v>310</v>
      </c>
      <c r="V905" s="2">
        <v>714</v>
      </c>
      <c r="W905" s="2">
        <v>6157</v>
      </c>
      <c r="X905" s="2">
        <f t="shared" si="73"/>
        <v>6157</v>
      </c>
      <c r="Y905" s="2">
        <v>2780</v>
      </c>
      <c r="Z905" t="str" cm="1">
        <f t="array" ref="Z905">_xlfn.IFS(OR(R905&gt;66, S905&gt;38), "High Engagement", OR(AND(R905&gt;32, R905&lt;=66), AND(S905&gt;19, S905&lt;=38)), "Medium-High Engagement", OR(AND(R905&gt;4, R905&lt;=32), AND(S905&gt;6, S905&lt;=19)),"Medium Engagement", TRUE, "Low Engagement"
)</f>
        <v>Low Engagement</v>
      </c>
      <c r="AA905">
        <f t="shared" si="74"/>
        <v>0.45151859671918143</v>
      </c>
    </row>
    <row r="906" spans="1:27" x14ac:dyDescent="0.35">
      <c r="A906" s="2">
        <v>8792009665</v>
      </c>
      <c r="B906" s="2" t="s">
        <v>73</v>
      </c>
      <c r="C906" s="2">
        <f>VLOOKUP(user_activity!A678,users_details!$A$1:$G$34,5,0)</f>
        <v>49</v>
      </c>
      <c r="D906" s="2" t="str" cm="1">
        <f t="array" ref="D906">_xlfn.IFS( AND(C906&gt;=18, C906&lt;=25), "Emerging Adults",  AND(C906&gt;=26, C906&lt;=35),  "Young Adults",  AND(C906&gt;=36, C906&lt;=45),  "Midlife Adults",  AND(C906&gt;=46, C906&lt;=55), "Mature Adults", C906&gt;=56,  "Older Adults", TRUE, "Age Not Mentioned")</f>
        <v>Mature Adults</v>
      </c>
      <c r="E906" s="2" t="str">
        <f>VLOOKUP(user_activity!A678,users_details!$A$1:$G$34,6,0)</f>
        <v>Upper West Side, Manhattan</v>
      </c>
      <c r="F906" s="2" t="str">
        <f>VLOOKUP(user_activity!A678,users_details!$A$1:$G$34,7,0)</f>
        <v>Upper West Side</v>
      </c>
      <c r="G906" s="2" t="s">
        <v>72</v>
      </c>
      <c r="H906" s="7">
        <v>42374</v>
      </c>
      <c r="I906" s="9" t="str">
        <f t="shared" si="70"/>
        <v>Tuesday</v>
      </c>
      <c r="J906" s="9" t="str">
        <f t="shared" si="71"/>
        <v>January</v>
      </c>
      <c r="K906" s="2">
        <v>1.039999962</v>
      </c>
      <c r="L906" s="2">
        <v>1.039999962</v>
      </c>
      <c r="M906" s="2">
        <v>0</v>
      </c>
      <c r="N906" s="2">
        <v>0</v>
      </c>
      <c r="O906" s="2">
        <v>0</v>
      </c>
      <c r="P906" s="2">
        <v>1.039999962</v>
      </c>
      <c r="Q906" s="2">
        <v>0</v>
      </c>
      <c r="R906" s="2">
        <v>0</v>
      </c>
      <c r="S906" s="2">
        <v>0</v>
      </c>
      <c r="T906" s="2">
        <v>79</v>
      </c>
      <c r="U906" s="2">
        <f t="shared" si="72"/>
        <v>79</v>
      </c>
      <c r="V906" s="2">
        <v>834</v>
      </c>
      <c r="W906" s="2">
        <v>1619</v>
      </c>
      <c r="X906" s="2">
        <f t="shared" si="73"/>
        <v>1619</v>
      </c>
      <c r="Y906" s="2">
        <v>1962</v>
      </c>
      <c r="Z906" t="str" cm="1">
        <f t="array" ref="Z906">_xlfn.IFS(OR(R906&gt;66, S906&gt;38), "High Engagement", OR(AND(R906&gt;32, R906&lt;=66), AND(S906&gt;19, S906&lt;=38)), "Medium-High Engagement", OR(AND(R906&gt;4, R906&lt;=32), AND(S906&gt;6, S906&lt;=19)),"Medium Engagement", TRUE, "Low Engagement"
)</f>
        <v>Low Engagement</v>
      </c>
      <c r="AA906">
        <f t="shared" si="74"/>
        <v>1.2118591723285979</v>
      </c>
    </row>
    <row r="907" spans="1:27" x14ac:dyDescent="0.35">
      <c r="A907" s="2">
        <v>8792009665</v>
      </c>
      <c r="B907" s="2" t="s">
        <v>73</v>
      </c>
      <c r="C907" s="2">
        <f>VLOOKUP(user_activity!A698,users_details!$A$1:$G$34,5,0)</f>
        <v>53</v>
      </c>
      <c r="D907" s="2" t="str" cm="1">
        <f t="array" ref="D907">_xlfn.IFS( AND(C907&gt;=18, C907&lt;=25), "Emerging Adults",  AND(C907&gt;=26, C907&lt;=35),  "Young Adults",  AND(C907&gt;=36, C907&lt;=45),  "Midlife Adults",  AND(C907&gt;=46, C907&lt;=55), "Mature Adults", C907&gt;=56,  "Older Adults", TRUE, "Age Not Mentioned")</f>
        <v>Mature Adults</v>
      </c>
      <c r="E907" s="2" t="str">
        <f>VLOOKUP(user_activity!A698,users_details!$A$1:$G$34,6,0)</f>
        <v>Williamsburg, Brooklyn</v>
      </c>
      <c r="F907" s="2" t="str">
        <f>VLOOKUP(user_activity!A698,users_details!$A$1:$G$34,7,0)</f>
        <v>Williamsburg</v>
      </c>
      <c r="G907" s="2" t="s">
        <v>72</v>
      </c>
      <c r="H907" s="7">
        <v>42495</v>
      </c>
      <c r="I907" s="9" t="str">
        <f t="shared" si="70"/>
        <v>Thursday</v>
      </c>
      <c r="J907" s="9" t="str">
        <f t="shared" si="71"/>
        <v>May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f t="shared" si="72"/>
        <v>0</v>
      </c>
      <c r="V907" s="2">
        <v>1440</v>
      </c>
      <c r="W907" s="2">
        <v>0</v>
      </c>
      <c r="X907" s="2">
        <f t="shared" si="73"/>
        <v>7405.5</v>
      </c>
      <c r="Y907" s="2">
        <v>1688</v>
      </c>
      <c r="Z907" t="str" cm="1">
        <f t="array" ref="Z907">_xlfn.IFS(OR(R907&gt;66, S907&gt;38), "High Engagement", OR(AND(R907&gt;32, R907&lt;=66), AND(S907&gt;19, S907&lt;=38)), "Medium-High Engagement", OR(AND(R907&gt;4, R907&lt;=32), AND(S907&gt;6, S907&lt;=19)),"Medium Engagement", TRUE, "Low Engagement"
)</f>
        <v>Low Engagement</v>
      </c>
      <c r="AA907">
        <f t="shared" si="74"/>
        <v>0</v>
      </c>
    </row>
    <row r="908" spans="1:27" x14ac:dyDescent="0.35">
      <c r="A908" s="2">
        <v>8792009665</v>
      </c>
      <c r="B908" s="2" t="s">
        <v>73</v>
      </c>
      <c r="C908" s="2">
        <f>VLOOKUP(user_activity!A723,users_details!$A$1:$G$34,5,0)</f>
        <v>53</v>
      </c>
      <c r="D908" s="2" t="str" cm="1">
        <f t="array" ref="D908">_xlfn.IFS( AND(C908&gt;=18, C908&lt;=25), "Emerging Adults",  AND(C908&gt;=26, C908&lt;=35),  "Young Adults",  AND(C908&gt;=36, C908&lt;=45),  "Midlife Adults",  AND(C908&gt;=46, C908&lt;=55), "Mature Adults", C908&gt;=56,  "Older Adults", TRUE, "Age Not Mentioned")</f>
        <v>Mature Adults</v>
      </c>
      <c r="E908" s="2" t="str">
        <f>VLOOKUP(user_activity!A723,users_details!$A$1:$G$34,6,0)</f>
        <v>Harlem, Manhattan</v>
      </c>
      <c r="F908" s="2" t="str">
        <f>VLOOKUP(user_activity!A723,users_details!$A$1:$G$34,7,0)</f>
        <v>Harlem</v>
      </c>
      <c r="G908" s="2" t="s">
        <v>72</v>
      </c>
      <c r="H908" s="7">
        <v>42480</v>
      </c>
      <c r="I908" s="9" t="str">
        <f t="shared" si="70"/>
        <v>Wednesday</v>
      </c>
      <c r="J908" s="9" t="str">
        <f t="shared" si="71"/>
        <v>April</v>
      </c>
      <c r="K908" s="2">
        <v>2.0099999899999998</v>
      </c>
      <c r="L908" s="2">
        <v>2.0099999899999998</v>
      </c>
      <c r="M908" s="2">
        <v>0</v>
      </c>
      <c r="N908" s="2">
        <v>0</v>
      </c>
      <c r="O908" s="2">
        <v>0.280000001</v>
      </c>
      <c r="P908" s="2">
        <v>1.7400000099999999</v>
      </c>
      <c r="Q908" s="2">
        <v>0</v>
      </c>
      <c r="R908" s="2">
        <v>0</v>
      </c>
      <c r="S908" s="2">
        <v>10</v>
      </c>
      <c r="T908" s="2">
        <v>139</v>
      </c>
      <c r="U908" s="2">
        <f t="shared" si="72"/>
        <v>149</v>
      </c>
      <c r="V908" s="2">
        <v>744</v>
      </c>
      <c r="W908" s="2">
        <v>3147</v>
      </c>
      <c r="X908" s="2">
        <f t="shared" si="73"/>
        <v>3147</v>
      </c>
      <c r="Y908" s="2">
        <v>2188</v>
      </c>
      <c r="Z908" t="str" cm="1">
        <f t="array" ref="Z908">_xlfn.IFS(OR(R908&gt;66, S908&gt;38), "High Engagement", OR(AND(R908&gt;32, R908&lt;=66), AND(S908&gt;19, S908&lt;=38)), "Medium-High Engagement", OR(AND(R908&gt;4, R908&lt;=32), AND(S908&gt;6, S908&lt;=19)),"Medium Engagement", TRUE, "Low Engagement"
)</f>
        <v>Medium Engagement</v>
      </c>
      <c r="AA908">
        <f t="shared" si="74"/>
        <v>0.69526533206228158</v>
      </c>
    </row>
    <row r="909" spans="1:27" x14ac:dyDescent="0.35">
      <c r="A909" s="2">
        <v>8792009665</v>
      </c>
      <c r="B909" s="2" t="s">
        <v>73</v>
      </c>
      <c r="C909" s="2">
        <f>VLOOKUP(user_activity!A740,users_details!$A$1:$G$34,5,0)</f>
        <v>53</v>
      </c>
      <c r="D909" s="2" t="str" cm="1">
        <f t="array" ref="D909">_xlfn.IFS( AND(C909&gt;=18, C909&lt;=25), "Emerging Adults",  AND(C909&gt;=26, C909&lt;=35),  "Young Adults",  AND(C909&gt;=36, C909&lt;=45),  "Midlife Adults",  AND(C909&gt;=46, C909&lt;=55), "Mature Adults", C909&gt;=56,  "Older Adults", TRUE, "Age Not Mentioned")</f>
        <v>Mature Adults</v>
      </c>
      <c r="E909" s="2" t="str">
        <f>VLOOKUP(user_activity!A740,users_details!$A$1:$G$34,6,0)</f>
        <v>Harlem, Manhattan</v>
      </c>
      <c r="F909" s="2" t="str">
        <f>VLOOKUP(user_activity!A740,users_details!$A$1:$G$34,7,0)</f>
        <v>Harlem</v>
      </c>
      <c r="G909" s="2" t="s">
        <v>72</v>
      </c>
      <c r="H909" s="7">
        <v>42486</v>
      </c>
      <c r="I909" s="9" t="str">
        <f t="shared" si="70"/>
        <v>Tuesday</v>
      </c>
      <c r="J909" s="9" t="str">
        <f t="shared" si="71"/>
        <v>April</v>
      </c>
      <c r="K909" s="2">
        <v>0.85000002399999997</v>
      </c>
      <c r="L909" s="2">
        <v>0.85000002399999997</v>
      </c>
      <c r="M909" s="2">
        <v>0</v>
      </c>
      <c r="N909" s="2">
        <v>0</v>
      </c>
      <c r="O909" s="2">
        <v>0</v>
      </c>
      <c r="P909" s="2">
        <v>0.85000002399999997</v>
      </c>
      <c r="Q909" s="2">
        <v>0</v>
      </c>
      <c r="R909" s="2">
        <v>0</v>
      </c>
      <c r="S909" s="2">
        <v>0</v>
      </c>
      <c r="T909" s="2">
        <v>80</v>
      </c>
      <c r="U909" s="2">
        <f t="shared" si="72"/>
        <v>80</v>
      </c>
      <c r="V909" s="2">
        <v>1360</v>
      </c>
      <c r="W909" s="2">
        <v>1321</v>
      </c>
      <c r="X909" s="2">
        <f t="shared" si="73"/>
        <v>1321</v>
      </c>
      <c r="Y909" s="2">
        <v>1928</v>
      </c>
      <c r="Z909" t="str" cm="1">
        <f t="array" ref="Z909">_xlfn.IFS(OR(R909&gt;66, S909&gt;38), "High Engagement", OR(AND(R909&gt;32, R909&lt;=66), AND(S909&gt;19, S909&lt;=38)), "Medium-High Engagement", OR(AND(R909&gt;4, R909&lt;=32), AND(S909&gt;6, S909&lt;=19)),"Medium Engagement", TRUE, "Low Engagement"
)</f>
        <v>Low Engagement</v>
      </c>
      <c r="AA909">
        <f t="shared" si="74"/>
        <v>1.4595003785011356</v>
      </c>
    </row>
    <row r="910" spans="1:27" x14ac:dyDescent="0.35">
      <c r="A910" s="2">
        <v>8792009665</v>
      </c>
      <c r="B910" s="2" t="s">
        <v>73</v>
      </c>
      <c r="C910" s="2">
        <f>VLOOKUP(user_activity!A754,users_details!$A$1:$G$34,5,0)</f>
        <v>53</v>
      </c>
      <c r="D910" s="2" t="str" cm="1">
        <f t="array" ref="D910">_xlfn.IFS( AND(C910&gt;=18, C910&lt;=25), "Emerging Adults",  AND(C910&gt;=26, C910&lt;=35),  "Young Adults",  AND(C910&gt;=36, C910&lt;=45),  "Midlife Adults",  AND(C910&gt;=46, C910&lt;=55), "Mature Adults", C910&gt;=56,  "Older Adults", TRUE, "Age Not Mentioned")</f>
        <v>Mature Adults</v>
      </c>
      <c r="E910" s="2" t="str">
        <f>VLOOKUP(user_activity!A754,users_details!$A$1:$G$34,6,0)</f>
        <v>Williamsburg, Brooklyn</v>
      </c>
      <c r="F910" s="2" t="str">
        <f>VLOOKUP(user_activity!A754,users_details!$A$1:$G$34,7,0)</f>
        <v>Williamsburg</v>
      </c>
      <c r="G910" s="2" t="s">
        <v>72</v>
      </c>
      <c r="H910" s="7">
        <v>42490</v>
      </c>
      <c r="I910" s="9" t="str">
        <f t="shared" si="70"/>
        <v>Saturday</v>
      </c>
      <c r="J910" s="9" t="str">
        <f t="shared" si="71"/>
        <v>April</v>
      </c>
      <c r="K910" s="2">
        <v>4.5900001530000001</v>
      </c>
      <c r="L910" s="2">
        <v>4.5900001530000001</v>
      </c>
      <c r="M910" s="2">
        <v>0</v>
      </c>
      <c r="N910" s="2">
        <v>0.33000001299999998</v>
      </c>
      <c r="O910" s="2">
        <v>0.36000001399999998</v>
      </c>
      <c r="P910" s="2">
        <v>3.9100000860000002</v>
      </c>
      <c r="Q910" s="2">
        <v>0</v>
      </c>
      <c r="R910" s="2">
        <v>10</v>
      </c>
      <c r="S910" s="2">
        <v>20</v>
      </c>
      <c r="T910" s="2">
        <v>301</v>
      </c>
      <c r="U910" s="2">
        <f t="shared" si="72"/>
        <v>331</v>
      </c>
      <c r="V910" s="2">
        <v>749</v>
      </c>
      <c r="W910" s="2">
        <v>7174</v>
      </c>
      <c r="X910" s="2">
        <f t="shared" si="73"/>
        <v>7174</v>
      </c>
      <c r="Y910" s="2">
        <v>2896</v>
      </c>
      <c r="Z910" t="str" cm="1">
        <f t="array" ref="Z910">_xlfn.IFS(OR(R910&gt;66, S910&gt;38), "High Engagement", OR(AND(R910&gt;32, R910&lt;=66), AND(S910&gt;19, S910&lt;=38)), "Medium-High Engagement", OR(AND(R910&gt;4, R910&lt;=32), AND(S910&gt;6, S910&lt;=19)),"Medium Engagement", TRUE, "Low Engagement"
)</f>
        <v>Medium-High Engagement</v>
      </c>
      <c r="AA910">
        <f t="shared" si="74"/>
        <v>0.40367995539448009</v>
      </c>
    </row>
    <row r="911" spans="1:27" x14ac:dyDescent="0.35">
      <c r="A911" s="2">
        <v>8792009665</v>
      </c>
      <c r="B911" s="2" t="s">
        <v>73</v>
      </c>
      <c r="C911" s="2">
        <f>VLOOKUP(user_activity!A768,users_details!$A$1:$G$34,5,0)</f>
        <v>53</v>
      </c>
      <c r="D911" s="2" t="str" cm="1">
        <f t="array" ref="D911">_xlfn.IFS( AND(C911&gt;=18, C911&lt;=25), "Emerging Adults",  AND(C911&gt;=26, C911&lt;=35),  "Young Adults",  AND(C911&gt;=36, C911&lt;=45),  "Midlife Adults",  AND(C911&gt;=46, C911&lt;=55), "Mature Adults", C911&gt;=56,  "Older Adults", TRUE, "Age Not Mentioned")</f>
        <v>Mature Adults</v>
      </c>
      <c r="E911" s="2" t="str">
        <f>VLOOKUP(user_activity!A768,users_details!$A$1:$G$34,6,0)</f>
        <v>Williamsburg, Brooklyn</v>
      </c>
      <c r="F911" s="2" t="str">
        <f>VLOOKUP(user_activity!A768,users_details!$A$1:$G$34,7,0)</f>
        <v>Williamsburg</v>
      </c>
      <c r="G911" s="2" t="s">
        <v>72</v>
      </c>
      <c r="H911" s="7">
        <v>42477</v>
      </c>
      <c r="I911" s="9" t="str">
        <f t="shared" si="70"/>
        <v>Sunday</v>
      </c>
      <c r="J911" s="9" t="str">
        <f t="shared" si="71"/>
        <v>April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f t="shared" si="72"/>
        <v>0</v>
      </c>
      <c r="V911" s="2">
        <v>1440</v>
      </c>
      <c r="W911" s="2">
        <v>0</v>
      </c>
      <c r="X911" s="2">
        <f t="shared" si="73"/>
        <v>7405.5</v>
      </c>
      <c r="Y911" s="2">
        <v>1688</v>
      </c>
      <c r="Z911" t="str" cm="1">
        <f t="array" ref="Z911">_xlfn.IFS(OR(R911&gt;66, S911&gt;38), "High Engagement", OR(AND(R911&gt;32, R911&lt;=66), AND(S911&gt;19, S911&lt;=38)), "Medium-High Engagement", OR(AND(R911&gt;4, R911&lt;=32), AND(S911&gt;6, S911&lt;=19)),"Medium Engagement", TRUE, "Low Engagement"
)</f>
        <v>Low Engagement</v>
      </c>
      <c r="AA911">
        <f t="shared" si="74"/>
        <v>0</v>
      </c>
    </row>
    <row r="912" spans="1:27" x14ac:dyDescent="0.35">
      <c r="A912" s="2">
        <v>3977333714</v>
      </c>
      <c r="B912" s="2" t="s">
        <v>81</v>
      </c>
      <c r="C912" s="2">
        <f>VLOOKUP(user_activity!A12,users_details!$A$1:$G$34,5,0)</f>
        <v>18</v>
      </c>
      <c r="D912" s="2" t="str" cm="1">
        <f t="array" ref="D912">_xlfn.IFS( AND(C912&gt;=18, C912&lt;=25), "Emerging Adults",  AND(C912&gt;=26, C912&lt;=35),  "Young Adults",  AND(C912&gt;=36, C912&lt;=45),  "Midlife Adults",  AND(C912&gt;=46, C912&lt;=55), "Mature Adults", C912&gt;=56,  "Older Adults", TRUE, "Age Not Mentioned")</f>
        <v>Emerging Adults</v>
      </c>
      <c r="E912" s="2" t="str">
        <f>VLOOKUP(user_activity!A12,users_details!$A$1:$G$34,6,0)</f>
        <v>Upper West Side, Manhattan</v>
      </c>
      <c r="F912" s="2" t="str">
        <f>VLOOKUP(user_activity!A12,users_details!$A$1:$G$34,7,0)</f>
        <v>Upper West Side</v>
      </c>
      <c r="G912" s="2" t="s">
        <v>72</v>
      </c>
      <c r="H912" s="7">
        <v>42490</v>
      </c>
      <c r="I912" s="9" t="str">
        <f t="shared" si="70"/>
        <v>Saturday</v>
      </c>
      <c r="J912" s="9" t="str">
        <f t="shared" si="71"/>
        <v>April</v>
      </c>
      <c r="K912" s="2">
        <v>9.1999998089999995</v>
      </c>
      <c r="L912" s="2">
        <v>9.1999998089999995</v>
      </c>
      <c r="M912" s="2">
        <v>0</v>
      </c>
      <c r="N912" s="2">
        <v>3.6900000569999998</v>
      </c>
      <c r="O912" s="2">
        <v>2.0999999049999998</v>
      </c>
      <c r="P912" s="2">
        <v>3.4100000860000002</v>
      </c>
      <c r="Q912" s="2">
        <v>0</v>
      </c>
      <c r="R912" s="2">
        <v>43</v>
      </c>
      <c r="S912" s="2">
        <v>52</v>
      </c>
      <c r="T912" s="2">
        <v>194</v>
      </c>
      <c r="U912" s="2">
        <f t="shared" si="72"/>
        <v>289</v>
      </c>
      <c r="V912" s="2">
        <v>687</v>
      </c>
      <c r="W912" s="2">
        <v>13238</v>
      </c>
      <c r="X912" s="2">
        <f t="shared" si="73"/>
        <v>13238</v>
      </c>
      <c r="Y912" s="2">
        <v>1650</v>
      </c>
      <c r="Z912" t="str" cm="1">
        <f t="array" ref="Z912">_xlfn.IFS(OR(R912&gt;66, S912&gt;38), "High Engagement", OR(AND(R912&gt;32, R912&lt;=66), AND(S912&gt;19, S912&lt;=38)), "Medium-High Engagement", OR(AND(R912&gt;4, R912&lt;=32), AND(S912&gt;6, S912&lt;=19)),"Medium Engagement", TRUE, "Low Engagement"
)</f>
        <v>High Engagement</v>
      </c>
      <c r="AA912">
        <f t="shared" si="74"/>
        <v>0.12464118446895302</v>
      </c>
    </row>
    <row r="913" spans="1:27" x14ac:dyDescent="0.35">
      <c r="A913" s="2">
        <v>3977333714</v>
      </c>
      <c r="B913" s="2" t="s">
        <v>81</v>
      </c>
      <c r="C913" s="2">
        <f>VLOOKUP(user_activity!A21,users_details!$A$1:$G$34,5,0)</f>
        <v>18</v>
      </c>
      <c r="D913" s="2" t="str" cm="1">
        <f t="array" ref="D913">_xlfn.IFS( AND(C913&gt;=18, C913&lt;=25), "Emerging Adults",  AND(C913&gt;=26, C913&lt;=35),  "Young Adults",  AND(C913&gt;=36, C913&lt;=45),  "Midlife Adults",  AND(C913&gt;=46, C913&lt;=55), "Mature Adults", C913&gt;=56,  "Older Adults", TRUE, "Age Not Mentioned")</f>
        <v>Emerging Adults</v>
      </c>
      <c r="E913" s="2" t="str">
        <f>VLOOKUP(user_activity!A21,users_details!$A$1:$G$34,6,0)</f>
        <v>Upper West Side, Manhattan</v>
      </c>
      <c r="F913" s="2" t="str">
        <f>VLOOKUP(user_activity!A21,users_details!$A$1:$G$34,7,0)</f>
        <v>Upper West Side</v>
      </c>
      <c r="G913" s="2" t="s">
        <v>72</v>
      </c>
      <c r="H913" s="7">
        <v>42484</v>
      </c>
      <c r="I913" s="9" t="str">
        <f t="shared" si="70"/>
        <v>Sunday</v>
      </c>
      <c r="J913" s="9" t="str">
        <f t="shared" si="71"/>
        <v>April</v>
      </c>
      <c r="K913" s="2">
        <v>10</v>
      </c>
      <c r="L913" s="2">
        <v>10</v>
      </c>
      <c r="M913" s="2">
        <v>0</v>
      </c>
      <c r="N913" s="2">
        <v>3.2699999809999998</v>
      </c>
      <c r="O913" s="2">
        <v>4.5599999430000002</v>
      </c>
      <c r="P913" s="2">
        <v>2.170000076</v>
      </c>
      <c r="Q913" s="2">
        <v>0</v>
      </c>
      <c r="R913" s="2">
        <v>30</v>
      </c>
      <c r="S913" s="2">
        <v>95</v>
      </c>
      <c r="T913" s="2">
        <v>129</v>
      </c>
      <c r="U913" s="2">
        <f t="shared" si="72"/>
        <v>254</v>
      </c>
      <c r="V913" s="2">
        <v>660</v>
      </c>
      <c r="W913" s="2">
        <v>14112</v>
      </c>
      <c r="X913" s="2">
        <f t="shared" si="73"/>
        <v>14112</v>
      </c>
      <c r="Y913" s="2">
        <v>1655</v>
      </c>
      <c r="Z913" t="str" cm="1">
        <f t="array" ref="Z913">_xlfn.IFS(OR(R913&gt;66, S913&gt;38), "High Engagement", OR(AND(R913&gt;32, R913&lt;=66), AND(S913&gt;19, S913&lt;=38)), "Medium-High Engagement", OR(AND(R913&gt;4, R913&lt;=32), AND(S913&gt;6, S913&lt;=19)),"Medium Engagement", TRUE, "Low Engagement"
)</f>
        <v>High Engagement</v>
      </c>
      <c r="AA913">
        <f t="shared" si="74"/>
        <v>0.11727607709750566</v>
      </c>
    </row>
    <row r="914" spans="1:27" x14ac:dyDescent="0.35">
      <c r="A914" s="2">
        <v>3977333714</v>
      </c>
      <c r="B914" s="2" t="s">
        <v>81</v>
      </c>
      <c r="C914" s="2">
        <f>VLOOKUP(user_activity!A32,users_details!$A$1:$G$34,5,0)</f>
        <v>18</v>
      </c>
      <c r="D914" s="2" t="str" cm="1">
        <f t="array" ref="D914">_xlfn.IFS( AND(C914&gt;=18, C914&lt;=25), "Emerging Adults",  AND(C914&gt;=26, C914&lt;=35),  "Young Adults",  AND(C914&gt;=36, C914&lt;=45),  "Midlife Adults",  AND(C914&gt;=46, C914&lt;=55), "Mature Adults", C914&gt;=56,  "Older Adults", TRUE, "Age Not Mentioned")</f>
        <v>Emerging Adults</v>
      </c>
      <c r="E914" s="2" t="str">
        <f>VLOOKUP(user_activity!A32,users_details!$A$1:$G$34,6,0)</f>
        <v>Upper West Side, Manhattan</v>
      </c>
      <c r="F914" s="2" t="str">
        <f>VLOOKUP(user_activity!A32,users_details!$A$1:$G$34,7,0)</f>
        <v>Upper West Side</v>
      </c>
      <c r="G914" s="2" t="s">
        <v>72</v>
      </c>
      <c r="H914" s="7">
        <v>42483</v>
      </c>
      <c r="I914" s="9" t="str">
        <f t="shared" si="70"/>
        <v>Saturday</v>
      </c>
      <c r="J914" s="9" t="str">
        <f t="shared" si="71"/>
        <v>April</v>
      </c>
      <c r="K914" s="2">
        <v>8.0699996949999999</v>
      </c>
      <c r="L914" s="2">
        <v>8.0699996949999999</v>
      </c>
      <c r="M914" s="2">
        <v>0</v>
      </c>
      <c r="N914" s="2">
        <v>0</v>
      </c>
      <c r="O914" s="2">
        <v>4.2199997900000001</v>
      </c>
      <c r="P914" s="2">
        <v>3.8499999049999998</v>
      </c>
      <c r="Q914" s="2">
        <v>0</v>
      </c>
      <c r="R914" s="2">
        <v>0</v>
      </c>
      <c r="S914" s="2">
        <v>92</v>
      </c>
      <c r="T914" s="2">
        <v>252</v>
      </c>
      <c r="U914" s="2">
        <f t="shared" si="72"/>
        <v>344</v>
      </c>
      <c r="V914" s="2">
        <v>724</v>
      </c>
      <c r="W914" s="2">
        <v>12058</v>
      </c>
      <c r="X914" s="2">
        <f t="shared" si="73"/>
        <v>12058</v>
      </c>
      <c r="Y914" s="2">
        <v>1638</v>
      </c>
      <c r="Z914" t="str" cm="1">
        <f t="array" ref="Z914">_xlfn.IFS(OR(R914&gt;66, S914&gt;38), "High Engagement", OR(AND(R914&gt;32, R914&lt;=66), AND(S914&gt;19, S914&lt;=38)), "Medium-High Engagement", OR(AND(R914&gt;4, R914&lt;=32), AND(S914&gt;6, S914&lt;=19)),"Medium Engagement", TRUE, "Low Engagement"
)</f>
        <v>High Engagement</v>
      </c>
      <c r="AA914">
        <f t="shared" si="74"/>
        <v>0.13584342345330902</v>
      </c>
    </row>
    <row r="915" spans="1:27" x14ac:dyDescent="0.35">
      <c r="A915" s="2">
        <v>3977333714</v>
      </c>
      <c r="B915" s="2" t="s">
        <v>81</v>
      </c>
      <c r="C915" s="2">
        <f>VLOOKUP(user_activity!A60,users_details!$A$1:$G$34,5,0)</f>
        <v>18</v>
      </c>
      <c r="D915" s="2" t="str" cm="1">
        <f t="array" ref="D915">_xlfn.IFS( AND(C915&gt;=18, C915&lt;=25), "Emerging Adults",  AND(C915&gt;=26, C915&lt;=35),  "Young Adults",  AND(C915&gt;=36, C915&lt;=45),  "Midlife Adults",  AND(C915&gt;=46, C915&lt;=55), "Mature Adults", C915&gt;=56,  "Older Adults", TRUE, "Age Not Mentioned")</f>
        <v>Emerging Adults</v>
      </c>
      <c r="E915" s="2" t="str">
        <f>VLOOKUP(user_activity!A60,users_details!$A$1:$G$34,6,0)</f>
        <v>Hell's Kitchen, Manhattan</v>
      </c>
      <c r="F915" s="2" t="str">
        <f>VLOOKUP(user_activity!A60,users_details!$A$1:$G$34,7,0)</f>
        <v>Hell's Kitchen</v>
      </c>
      <c r="G915" s="2" t="s">
        <v>72</v>
      </c>
      <c r="H915" s="7">
        <v>42475</v>
      </c>
      <c r="I915" s="9" t="str">
        <f t="shared" si="70"/>
        <v>Friday</v>
      </c>
      <c r="J915" s="9" t="str">
        <f t="shared" si="71"/>
        <v>April</v>
      </c>
      <c r="K915" s="2">
        <v>6.0599999430000002</v>
      </c>
      <c r="L915" s="2">
        <v>6.0599999430000002</v>
      </c>
      <c r="M915" s="2">
        <v>0</v>
      </c>
      <c r="N915" s="2">
        <v>1.0499999520000001</v>
      </c>
      <c r="O915" s="2">
        <v>1.75</v>
      </c>
      <c r="P915" s="2">
        <v>3.2599999899999998</v>
      </c>
      <c r="Q915" s="2">
        <v>0</v>
      </c>
      <c r="R915" s="2">
        <v>15</v>
      </c>
      <c r="S915" s="2">
        <v>42</v>
      </c>
      <c r="T915" s="2">
        <v>183</v>
      </c>
      <c r="U915" s="2">
        <f t="shared" si="72"/>
        <v>240</v>
      </c>
      <c r="V915" s="2">
        <v>644</v>
      </c>
      <c r="W915" s="2">
        <v>9010</v>
      </c>
      <c r="X915" s="2">
        <f t="shared" si="73"/>
        <v>9010</v>
      </c>
      <c r="Y915" s="2">
        <v>1468</v>
      </c>
      <c r="Z915" t="str" cm="1">
        <f t="array" ref="Z915">_xlfn.IFS(OR(R915&gt;66, S915&gt;38), "High Engagement", OR(AND(R915&gt;32, R915&lt;=66), AND(S915&gt;19, S915&lt;=38)), "Medium-High Engagement", OR(AND(R915&gt;4, R915&lt;=32), AND(S915&gt;6, S915&lt;=19)),"Medium Engagement", TRUE, "Low Engagement"
)</f>
        <v>High Engagement</v>
      </c>
      <c r="AA915">
        <f t="shared" si="74"/>
        <v>0.16293007769145393</v>
      </c>
    </row>
    <row r="916" spans="1:27" x14ac:dyDescent="0.35">
      <c r="A916" s="2">
        <v>3977333714</v>
      </c>
      <c r="B916" s="2" t="s">
        <v>81</v>
      </c>
      <c r="C916" s="2">
        <f>VLOOKUP(user_activity!A61,users_details!$A$1:$G$34,5,0)</f>
        <v>18</v>
      </c>
      <c r="D916" s="2" t="str" cm="1">
        <f t="array" ref="D916">_xlfn.IFS( AND(C916&gt;=18, C916&lt;=25), "Emerging Adults",  AND(C916&gt;=26, C916&lt;=35),  "Young Adults",  AND(C916&gt;=36, C916&lt;=45),  "Midlife Adults",  AND(C916&gt;=46, C916&lt;=55), "Mature Adults", C916&gt;=56,  "Older Adults", TRUE, "Age Not Mentioned")</f>
        <v>Emerging Adults</v>
      </c>
      <c r="E916" s="2" t="str">
        <f>VLOOKUP(user_activity!A61,users_details!$A$1:$G$34,6,0)</f>
        <v>Upper West Side, Manhattan</v>
      </c>
      <c r="F916" s="2" t="str">
        <f>VLOOKUP(user_activity!A61,users_details!$A$1:$G$34,7,0)</f>
        <v>Upper West Side</v>
      </c>
      <c r="G916" s="2" t="s">
        <v>72</v>
      </c>
      <c r="H916" s="7">
        <v>42479</v>
      </c>
      <c r="I916" s="9" t="str">
        <f t="shared" si="70"/>
        <v>Tuesday</v>
      </c>
      <c r="J916" s="9" t="str">
        <f t="shared" si="71"/>
        <v>April</v>
      </c>
      <c r="K916" s="2">
        <v>8.7799997330000004</v>
      </c>
      <c r="L916" s="2">
        <v>8.7799997330000004</v>
      </c>
      <c r="M916" s="2">
        <v>0</v>
      </c>
      <c r="N916" s="2">
        <v>2.2400000100000002</v>
      </c>
      <c r="O916" s="2">
        <v>2.4500000480000002</v>
      </c>
      <c r="P916" s="2">
        <v>3.960000038</v>
      </c>
      <c r="Q916" s="2">
        <v>0</v>
      </c>
      <c r="R916" s="2">
        <v>19</v>
      </c>
      <c r="S916" s="2">
        <v>67</v>
      </c>
      <c r="T916" s="2">
        <v>221</v>
      </c>
      <c r="U916" s="2">
        <f t="shared" si="72"/>
        <v>307</v>
      </c>
      <c r="V916" s="2">
        <v>738</v>
      </c>
      <c r="W916" s="2">
        <v>12414</v>
      </c>
      <c r="X916" s="2">
        <f t="shared" si="73"/>
        <v>12414</v>
      </c>
      <c r="Y916" s="2">
        <v>1638</v>
      </c>
      <c r="Z916" t="str" cm="1">
        <f t="array" ref="Z916">_xlfn.IFS(OR(R916&gt;66, S916&gt;38), "High Engagement", OR(AND(R916&gt;32, R916&lt;=66), AND(S916&gt;19, S916&lt;=38)), "Medium-High Engagement", OR(AND(R916&gt;4, R916&lt;=32), AND(S916&gt;6, S916&lt;=19)),"Medium Engagement", TRUE, "Low Engagement"
)</f>
        <v>High Engagement</v>
      </c>
      <c r="AA916">
        <f t="shared" si="74"/>
        <v>0.1319478008699855</v>
      </c>
    </row>
    <row r="917" spans="1:27" x14ac:dyDescent="0.35">
      <c r="A917" s="2">
        <v>3977333714</v>
      </c>
      <c r="B917" s="2" t="s">
        <v>81</v>
      </c>
      <c r="C917" s="2">
        <f>VLOOKUP(user_activity!A66,users_details!$A$1:$G$34,5,0)</f>
        <v>21</v>
      </c>
      <c r="D917" s="2" t="str" cm="1">
        <f t="array" ref="D917">_xlfn.IFS( AND(C917&gt;=18, C917&lt;=25), "Emerging Adults",  AND(C917&gt;=26, C917&lt;=35),  "Young Adults",  AND(C917&gt;=36, C917&lt;=45),  "Midlife Adults",  AND(C917&gt;=46, C917&lt;=55), "Mature Adults", C917&gt;=56,  "Older Adults", TRUE, "Age Not Mentioned")</f>
        <v>Emerging Adults</v>
      </c>
      <c r="E917" s="2" t="str">
        <f>VLOOKUP(user_activity!A66,users_details!$A$1:$G$34,6,0)</f>
        <v>Bushwick, Brooklyn</v>
      </c>
      <c r="F917" s="2" t="str">
        <f>VLOOKUP(user_activity!A66,users_details!$A$1:$G$34,7,0)</f>
        <v>Bushwick</v>
      </c>
      <c r="G917" s="2" t="s">
        <v>72</v>
      </c>
      <c r="H917" s="7">
        <v>42489</v>
      </c>
      <c r="I917" s="9" t="str">
        <f t="shared" si="70"/>
        <v>Friday</v>
      </c>
      <c r="J917" s="9" t="str">
        <f t="shared" si="71"/>
        <v>April</v>
      </c>
      <c r="K917" s="2">
        <v>7.75</v>
      </c>
      <c r="L917" s="2">
        <v>7.75</v>
      </c>
      <c r="M917" s="2">
        <v>0</v>
      </c>
      <c r="N917" s="2">
        <v>3.7400000100000002</v>
      </c>
      <c r="O917" s="2">
        <v>1.2999999520000001</v>
      </c>
      <c r="P917" s="2">
        <v>2.710000038</v>
      </c>
      <c r="Q917" s="2">
        <v>0</v>
      </c>
      <c r="R917" s="2">
        <v>36</v>
      </c>
      <c r="S917" s="2">
        <v>32</v>
      </c>
      <c r="T917" s="2">
        <v>150</v>
      </c>
      <c r="U917" s="2">
        <f t="shared" si="72"/>
        <v>218</v>
      </c>
      <c r="V917" s="2">
        <v>744</v>
      </c>
      <c r="W917" s="2">
        <v>10645</v>
      </c>
      <c r="X917" s="2">
        <f t="shared" si="73"/>
        <v>10645</v>
      </c>
      <c r="Y917" s="2">
        <v>1545</v>
      </c>
      <c r="Z917" t="str" cm="1">
        <f t="array" ref="Z917">_xlfn.IFS(OR(R917&gt;66, S917&gt;38), "High Engagement", OR(AND(R917&gt;32, R917&lt;=66), AND(S917&gt;19, S917&lt;=38)), "Medium-High Engagement", OR(AND(R917&gt;4, R917&lt;=32), AND(S917&gt;6, S917&lt;=19)),"Medium Engagement", TRUE, "Low Engagement"
)</f>
        <v>Medium-High Engagement</v>
      </c>
      <c r="AA917">
        <f t="shared" si="74"/>
        <v>0.14513856270549555</v>
      </c>
    </row>
    <row r="918" spans="1:27" x14ac:dyDescent="0.35">
      <c r="A918" s="2">
        <v>3977333714</v>
      </c>
      <c r="B918" s="2" t="s">
        <v>81</v>
      </c>
      <c r="C918" s="2">
        <f>VLOOKUP(user_activity!A89,users_details!$A$1:$G$34,5,0)</f>
        <v>21</v>
      </c>
      <c r="D918" s="2" t="str" cm="1">
        <f t="array" ref="D918">_xlfn.IFS( AND(C918&gt;=18, C918&lt;=25), "Emerging Adults",  AND(C918&gt;=26, C918&lt;=35),  "Young Adults",  AND(C918&gt;=36, C918&lt;=45),  "Midlife Adults",  AND(C918&gt;=46, C918&lt;=55), "Mature Adults", C918&gt;=56,  "Older Adults", TRUE, "Age Not Mentioned")</f>
        <v>Emerging Adults</v>
      </c>
      <c r="E918" s="2" t="str">
        <f>VLOOKUP(user_activity!A89,users_details!$A$1:$G$34,6,0)</f>
        <v>Bushwick, Brooklyn</v>
      </c>
      <c r="F918" s="2" t="str">
        <f>VLOOKUP(user_activity!A89,users_details!$A$1:$G$34,7,0)</f>
        <v>Bushwick</v>
      </c>
      <c r="G918" s="2" t="s">
        <v>72</v>
      </c>
      <c r="H918" s="7">
        <v>42488</v>
      </c>
      <c r="I918" s="9" t="str">
        <f t="shared" si="70"/>
        <v>Thursday</v>
      </c>
      <c r="J918" s="9" t="str">
        <f t="shared" si="71"/>
        <v>April</v>
      </c>
      <c r="K918" s="2">
        <v>4.8800001139999996</v>
      </c>
      <c r="L918" s="2">
        <v>4.8800001139999996</v>
      </c>
      <c r="M918" s="2">
        <v>0</v>
      </c>
      <c r="N918" s="2">
        <v>1.3700000050000001</v>
      </c>
      <c r="O918" s="2">
        <v>0.28999999199999998</v>
      </c>
      <c r="P918" s="2">
        <v>3.2200000289999999</v>
      </c>
      <c r="Q918" s="2">
        <v>0</v>
      </c>
      <c r="R918" s="2">
        <v>15</v>
      </c>
      <c r="S918" s="2">
        <v>8</v>
      </c>
      <c r="T918" s="2">
        <v>190</v>
      </c>
      <c r="U918" s="2">
        <f t="shared" si="72"/>
        <v>213</v>
      </c>
      <c r="V918" s="2">
        <v>804</v>
      </c>
      <c r="W918" s="2">
        <v>7114</v>
      </c>
      <c r="X918" s="2">
        <f t="shared" si="73"/>
        <v>7114</v>
      </c>
      <c r="Y918" s="2">
        <v>1407</v>
      </c>
      <c r="Z918" t="str" cm="1">
        <f t="array" ref="Z918">_xlfn.IFS(OR(R918&gt;66, S918&gt;38), "High Engagement", OR(AND(R918&gt;32, R918&lt;=66), AND(S918&gt;19, S918&lt;=38)), "Medium-High Engagement", OR(AND(R918&gt;4, R918&lt;=32), AND(S918&gt;6, S918&lt;=19)),"Medium Engagement", TRUE, "Low Engagement"
)</f>
        <v>Medium Engagement</v>
      </c>
      <c r="AA918">
        <f t="shared" si="74"/>
        <v>0.19777902727017149</v>
      </c>
    </row>
    <row r="919" spans="1:27" x14ac:dyDescent="0.35">
      <c r="A919" s="2">
        <v>3977333714</v>
      </c>
      <c r="B919" s="2" t="s">
        <v>81</v>
      </c>
      <c r="C919" s="2">
        <f>VLOOKUP(user_activity!A138,users_details!$A$1:$G$34,5,0)</f>
        <v>22</v>
      </c>
      <c r="D919" s="2" t="str" cm="1">
        <f t="array" ref="D919">_xlfn.IFS( AND(C919&gt;=18, C919&lt;=25), "Emerging Adults",  AND(C919&gt;=26, C919&lt;=35),  "Young Adults",  AND(C919&gt;=36, C919&lt;=45),  "Midlife Adults",  AND(C919&gt;=46, C919&lt;=55), "Mature Adults", C919&gt;=56,  "Older Adults", TRUE, "Age Not Mentioned")</f>
        <v>Emerging Adults</v>
      </c>
      <c r="E919" s="2" t="str">
        <f>VLOOKUP(user_activity!A138,users_details!$A$1:$G$34,6,0)</f>
        <v>Washington Heights, Manhattan</v>
      </c>
      <c r="F919" s="2" t="str">
        <f>VLOOKUP(user_activity!A138,users_details!$A$1:$G$34,7,0)</f>
        <v>Washington Heights</v>
      </c>
      <c r="G919" s="2" t="s">
        <v>72</v>
      </c>
      <c r="H919" s="7">
        <v>42482</v>
      </c>
      <c r="I919" s="9" t="str">
        <f t="shared" si="70"/>
        <v>Friday</v>
      </c>
      <c r="J919" s="9" t="str">
        <f t="shared" si="71"/>
        <v>April</v>
      </c>
      <c r="K919" s="2">
        <v>5.9600000380000004</v>
      </c>
      <c r="L919" s="2">
        <v>5.9600000380000004</v>
      </c>
      <c r="M919" s="2">
        <v>0</v>
      </c>
      <c r="N919" s="2">
        <v>2.329999924</v>
      </c>
      <c r="O919" s="2">
        <v>0.579999983</v>
      </c>
      <c r="P919" s="2">
        <v>3.0599999430000002</v>
      </c>
      <c r="Q919" s="2">
        <v>0</v>
      </c>
      <c r="R919" s="2">
        <v>33</v>
      </c>
      <c r="S919" s="2">
        <v>12</v>
      </c>
      <c r="T919" s="2">
        <v>188</v>
      </c>
      <c r="U919" s="2">
        <f t="shared" si="72"/>
        <v>233</v>
      </c>
      <c r="V919" s="2">
        <v>731</v>
      </c>
      <c r="W919" s="2">
        <v>8911</v>
      </c>
      <c r="X919" s="2">
        <f t="shared" si="73"/>
        <v>8911</v>
      </c>
      <c r="Y919" s="2">
        <v>1481</v>
      </c>
      <c r="Z919" t="str" cm="1">
        <f t="array" ref="Z919">_xlfn.IFS(OR(R919&gt;66, S919&gt;38), "High Engagement", OR(AND(R919&gt;32, R919&lt;=66), AND(S919&gt;19, S919&lt;=38)), "Medium-High Engagement", OR(AND(R919&gt;4, R919&lt;=32), AND(S919&gt;6, S919&lt;=19)),"Medium Engagement", TRUE, "Low Engagement"
)</f>
        <v>Medium-High Engagement</v>
      </c>
      <c r="AA919">
        <f t="shared" si="74"/>
        <v>0.16619907978902479</v>
      </c>
    </row>
    <row r="920" spans="1:27" x14ac:dyDescent="0.35">
      <c r="A920" s="2">
        <v>3977333714</v>
      </c>
      <c r="B920" s="2" t="s">
        <v>81</v>
      </c>
      <c r="C920" s="2">
        <f>VLOOKUP(user_activity!A165,users_details!$A$1:$G$34,5,0)</f>
        <v>23</v>
      </c>
      <c r="D920" s="2" t="str" cm="1">
        <f t="array" ref="D920">_xlfn.IFS( AND(C920&gt;=18, C920&lt;=25), "Emerging Adults",  AND(C920&gt;=26, C920&lt;=35),  "Young Adults",  AND(C920&gt;=36, C920&lt;=45),  "Midlife Adults",  AND(C920&gt;=46, C920&lt;=55), "Mature Adults", C920&gt;=56,  "Older Adults", TRUE, "Age Not Mentioned")</f>
        <v>Emerging Adults</v>
      </c>
      <c r="E920" s="2" t="str">
        <f>VLOOKUP(user_activity!A165,users_details!$A$1:$G$34,6,0)</f>
        <v>Washington Heights, Manhattan</v>
      </c>
      <c r="F920" s="2" t="str">
        <f>VLOOKUP(user_activity!A165,users_details!$A$1:$G$34,7,0)</f>
        <v>Washington Heights</v>
      </c>
      <c r="G920" s="2" t="s">
        <v>72</v>
      </c>
      <c r="H920" s="7">
        <v>42648</v>
      </c>
      <c r="I920" s="9" t="str">
        <f t="shared" si="70"/>
        <v>Wednesday</v>
      </c>
      <c r="J920" s="9" t="str">
        <f t="shared" si="71"/>
        <v>October</v>
      </c>
      <c r="K920" s="2">
        <v>8.7799997330000004</v>
      </c>
      <c r="L920" s="2">
        <v>8.7799997330000004</v>
      </c>
      <c r="M920" s="2">
        <v>0</v>
      </c>
      <c r="N920" s="2">
        <v>7.0000000000000007E-2</v>
      </c>
      <c r="O920" s="2">
        <v>5.4000000950000002</v>
      </c>
      <c r="P920" s="2">
        <v>3.3099999430000002</v>
      </c>
      <c r="Q920" s="2">
        <v>0</v>
      </c>
      <c r="R920" s="2">
        <v>1</v>
      </c>
      <c r="S920" s="2">
        <v>115</v>
      </c>
      <c r="T920" s="2">
        <v>196</v>
      </c>
      <c r="U920" s="2">
        <f t="shared" si="72"/>
        <v>312</v>
      </c>
      <c r="V920" s="2">
        <v>676</v>
      </c>
      <c r="W920" s="2">
        <v>13072</v>
      </c>
      <c r="X920" s="2">
        <f t="shared" si="73"/>
        <v>13072</v>
      </c>
      <c r="Y920" s="2">
        <v>1630</v>
      </c>
      <c r="Z920" t="str" cm="1">
        <f t="array" ref="Z920">_xlfn.IFS(OR(R920&gt;66, S920&gt;38), "High Engagement", OR(AND(R920&gt;32, R920&lt;=66), AND(S920&gt;19, S920&lt;=38)), "Medium-High Engagement", OR(AND(R920&gt;4, R920&lt;=32), AND(S920&gt;6, S920&lt;=19)),"Medium Engagement", TRUE, "Low Engagement"
)</f>
        <v>High Engagement</v>
      </c>
      <c r="AA920">
        <f t="shared" si="74"/>
        <v>0.12469400244798041</v>
      </c>
    </row>
    <row r="921" spans="1:27" x14ac:dyDescent="0.35">
      <c r="A921" s="2">
        <v>3977333714</v>
      </c>
      <c r="B921" s="2" t="s">
        <v>81</v>
      </c>
      <c r="C921" s="2">
        <f>VLOOKUP(user_activity!A218,users_details!$A$1:$G$34,5,0)</f>
        <v>24</v>
      </c>
      <c r="D921" s="2" t="str" cm="1">
        <f t="array" ref="D921">_xlfn.IFS( AND(C921&gt;=18, C921&lt;=25), "Emerging Adults",  AND(C921&gt;=26, C921&lt;=35),  "Young Adults",  AND(C921&gt;=36, C921&lt;=45),  "Midlife Adults",  AND(C921&gt;=46, C921&lt;=55), "Mature Adults", C921&gt;=56,  "Older Adults", TRUE, "Age Not Mentioned")</f>
        <v>Emerging Adults</v>
      </c>
      <c r="E921" s="2" t="str">
        <f>VLOOKUP(user_activity!A218,users_details!$A$1:$G$34,6,0)</f>
        <v>East Village, Manhattan</v>
      </c>
      <c r="F921" s="2" t="str">
        <f>VLOOKUP(user_activity!A218,users_details!$A$1:$G$34,7,0)</f>
        <v>East Village</v>
      </c>
      <c r="G921" s="2" t="s">
        <v>72</v>
      </c>
      <c r="H921" s="7">
        <v>42487</v>
      </c>
      <c r="I921" s="9" t="str">
        <f t="shared" si="70"/>
        <v>Wednesday</v>
      </c>
      <c r="J921" s="9" t="str">
        <f t="shared" si="71"/>
        <v>April</v>
      </c>
      <c r="K921" s="2">
        <v>5.0399999619999996</v>
      </c>
      <c r="L921" s="2">
        <v>5.0399999619999996</v>
      </c>
      <c r="M921" s="2">
        <v>0</v>
      </c>
      <c r="N921" s="2">
        <v>0</v>
      </c>
      <c r="O921" s="2">
        <v>0.41999998700000002</v>
      </c>
      <c r="P921" s="2">
        <v>4.6199998860000004</v>
      </c>
      <c r="Q921" s="2">
        <v>0</v>
      </c>
      <c r="R921" s="2">
        <v>0</v>
      </c>
      <c r="S921" s="2">
        <v>10</v>
      </c>
      <c r="T921" s="2">
        <v>176</v>
      </c>
      <c r="U921" s="2">
        <f t="shared" si="72"/>
        <v>186</v>
      </c>
      <c r="V921" s="2">
        <v>714</v>
      </c>
      <c r="W921" s="2">
        <v>7193</v>
      </c>
      <c r="X921" s="2">
        <f t="shared" si="73"/>
        <v>7193</v>
      </c>
      <c r="Y921" s="2">
        <v>1377</v>
      </c>
      <c r="Z921" t="str" cm="1">
        <f t="array" ref="Z921">_xlfn.IFS(OR(R921&gt;66, S921&gt;38), "High Engagement", OR(AND(R921&gt;32, R921&lt;=66), AND(S921&gt;19, S921&lt;=38)), "Medium-High Engagement", OR(AND(R921&gt;4, R921&lt;=32), AND(S921&gt;6, S921&lt;=19)),"Medium Engagement", TRUE, "Low Engagement"
)</f>
        <v>Medium Engagement</v>
      </c>
      <c r="AA921">
        <f t="shared" si="74"/>
        <v>0.19143611844849159</v>
      </c>
    </row>
    <row r="922" spans="1:27" x14ac:dyDescent="0.35">
      <c r="A922" s="2">
        <v>3977333714</v>
      </c>
      <c r="B922" s="2" t="s">
        <v>81</v>
      </c>
      <c r="C922" s="2">
        <f>VLOOKUP(user_activity!A224,users_details!$A$1:$G$34,5,0)</f>
        <v>24</v>
      </c>
      <c r="D922" s="2" t="str" cm="1">
        <f t="array" ref="D922">_xlfn.IFS( AND(C922&gt;=18, C922&lt;=25), "Emerging Adults",  AND(C922&gt;=26, C922&lt;=35),  "Young Adults",  AND(C922&gt;=36, C922&lt;=45),  "Midlife Adults",  AND(C922&gt;=46, C922&lt;=55), "Mature Adults", C922&gt;=56,  "Older Adults", TRUE, "Age Not Mentioned")</f>
        <v>Emerging Adults</v>
      </c>
      <c r="E922" s="2" t="str">
        <f>VLOOKUP(user_activity!A224,users_details!$A$1:$G$34,6,0)</f>
        <v>East Village, Manhattan</v>
      </c>
      <c r="F922" s="2" t="str">
        <f>VLOOKUP(user_activity!A224,users_details!$A$1:$G$34,7,0)</f>
        <v>East Village</v>
      </c>
      <c r="G922" s="2" t="s">
        <v>72</v>
      </c>
      <c r="H922" s="7">
        <v>42587</v>
      </c>
      <c r="I922" s="9" t="str">
        <f t="shared" si="70"/>
        <v>Friday</v>
      </c>
      <c r="J922" s="9" t="str">
        <f t="shared" si="71"/>
        <v>August</v>
      </c>
      <c r="K922" s="2">
        <v>9.0900001530000001</v>
      </c>
      <c r="L922" s="2">
        <v>9.0900001530000001</v>
      </c>
      <c r="M922" s="2">
        <v>0</v>
      </c>
      <c r="N922" s="2">
        <v>0.68000000699999996</v>
      </c>
      <c r="O922" s="2">
        <v>5.2399997709999999</v>
      </c>
      <c r="P922" s="2">
        <v>3.170000076</v>
      </c>
      <c r="Q922" s="2">
        <v>0</v>
      </c>
      <c r="R922" s="2">
        <v>9</v>
      </c>
      <c r="S922" s="2">
        <v>116</v>
      </c>
      <c r="T922" s="2">
        <v>171</v>
      </c>
      <c r="U922" s="2">
        <f t="shared" si="72"/>
        <v>296</v>
      </c>
      <c r="V922" s="2">
        <v>688</v>
      </c>
      <c r="W922" s="2">
        <v>13585</v>
      </c>
      <c r="X922" s="2">
        <f t="shared" si="73"/>
        <v>13585</v>
      </c>
      <c r="Y922" s="2">
        <v>1633</v>
      </c>
      <c r="Z922" t="str" cm="1">
        <f t="array" ref="Z922">_xlfn.IFS(OR(R922&gt;66, S922&gt;38), "High Engagement", OR(AND(R922&gt;32, R922&lt;=66), AND(S922&gt;19, S922&lt;=38)), "Medium-High Engagement", OR(AND(R922&gt;4, R922&lt;=32), AND(S922&gt;6, S922&lt;=19)),"Medium Engagement", TRUE, "Low Engagement"
)</f>
        <v>High Engagement</v>
      </c>
      <c r="AA922">
        <f t="shared" si="74"/>
        <v>0.12020610967979389</v>
      </c>
    </row>
    <row r="923" spans="1:27" x14ac:dyDescent="0.35">
      <c r="A923" s="2">
        <v>3977333714</v>
      </c>
      <c r="B923" s="2" t="s">
        <v>81</v>
      </c>
      <c r="C923" s="2">
        <f>VLOOKUP(user_activity!A228,users_details!$A$1:$G$34,5,0)</f>
        <v>24</v>
      </c>
      <c r="D923" s="2" t="str" cm="1">
        <f t="array" ref="D923">_xlfn.IFS( AND(C923&gt;=18, C923&lt;=25), "Emerging Adults",  AND(C923&gt;=26, C923&lt;=35),  "Young Adults",  AND(C923&gt;=36, C923&lt;=45),  "Midlife Adults",  AND(C923&gt;=46, C923&lt;=55), "Mature Adults", C923&gt;=56,  "Older Adults", TRUE, "Age Not Mentioned")</f>
        <v>Emerging Adults</v>
      </c>
      <c r="E923" s="2" t="str">
        <f>VLOOKUP(user_activity!A228,users_details!$A$1:$G$34,6,0)</f>
        <v>East Village, Manhattan</v>
      </c>
      <c r="F923" s="2" t="str">
        <f>VLOOKUP(user_activity!A228,users_details!$A$1:$G$34,7,0)</f>
        <v>East Village</v>
      </c>
      <c r="G923" s="2" t="s">
        <v>72</v>
      </c>
      <c r="H923" s="7">
        <v>42708</v>
      </c>
      <c r="I923" s="9" t="str">
        <f t="shared" si="70"/>
        <v>Sunday</v>
      </c>
      <c r="J923" s="9" t="str">
        <f t="shared" si="71"/>
        <v>December</v>
      </c>
      <c r="K923" s="2">
        <v>5.9800000190000002</v>
      </c>
      <c r="L923" s="2">
        <v>5.9800000190000002</v>
      </c>
      <c r="M923" s="2">
        <v>0</v>
      </c>
      <c r="N923" s="2">
        <v>3.0599999430000002</v>
      </c>
      <c r="O923" s="2">
        <v>0.91000002599999996</v>
      </c>
      <c r="P923" s="2">
        <v>2.0099999899999998</v>
      </c>
      <c r="Q923" s="2">
        <v>0</v>
      </c>
      <c r="R923" s="2">
        <v>44</v>
      </c>
      <c r="S923" s="2">
        <v>19</v>
      </c>
      <c r="T923" s="2">
        <v>131</v>
      </c>
      <c r="U923" s="2">
        <f t="shared" si="72"/>
        <v>194</v>
      </c>
      <c r="V923" s="2">
        <v>777</v>
      </c>
      <c r="W923" s="2">
        <v>8856</v>
      </c>
      <c r="X923" s="2">
        <f t="shared" si="73"/>
        <v>8856</v>
      </c>
      <c r="Y923" s="2">
        <v>1450</v>
      </c>
      <c r="Z923" t="str" cm="1">
        <f t="array" ref="Z923">_xlfn.IFS(OR(R923&gt;66, S923&gt;38), "High Engagement", OR(AND(R923&gt;32, R923&lt;=66), AND(S923&gt;19, S923&lt;=38)), "Medium-High Engagement", OR(AND(R923&gt;4, R923&lt;=32), AND(S923&gt;6, S923&lt;=19)),"Medium Engagement", TRUE, "Low Engagement"
)</f>
        <v>Medium-High Engagement</v>
      </c>
      <c r="AA923">
        <f t="shared" si="74"/>
        <v>0.16373080397470641</v>
      </c>
    </row>
    <row r="924" spans="1:27" x14ac:dyDescent="0.35">
      <c r="A924" s="2">
        <v>3977333714</v>
      </c>
      <c r="B924" s="2" t="s">
        <v>81</v>
      </c>
      <c r="C924" s="2">
        <f>VLOOKUP(user_activity!A282,users_details!$A$1:$G$34,5,0)</f>
        <v>29</v>
      </c>
      <c r="D924" s="2" t="str" cm="1">
        <f t="array" ref="D924">_xlfn.IFS( AND(C924&gt;=18, C924&lt;=25), "Emerging Adults",  AND(C924&gt;=26, C924&lt;=35),  "Young Adults",  AND(C924&gt;=36, C924&lt;=45),  "Midlife Adults",  AND(C924&gt;=46, C924&lt;=55), "Mature Adults", C924&gt;=56,  "Older Adults", TRUE, "Age Not Mentioned")</f>
        <v>Young Adults</v>
      </c>
      <c r="E924" s="2" t="str">
        <f>VLOOKUP(user_activity!A282,users_details!$A$1:$G$34,6,0)</f>
        <v>Crown Heights, Brooklyn</v>
      </c>
      <c r="F924" s="2" t="str">
        <f>VLOOKUP(user_activity!A282,users_details!$A$1:$G$34,7,0)</f>
        <v>Crown Heights</v>
      </c>
      <c r="G924" s="2" t="s">
        <v>72</v>
      </c>
      <c r="H924" s="7">
        <v>42474</v>
      </c>
      <c r="I924" s="9" t="str">
        <f t="shared" si="70"/>
        <v>Thursday</v>
      </c>
      <c r="J924" s="9" t="str">
        <f t="shared" si="71"/>
        <v>April</v>
      </c>
      <c r="K924" s="2">
        <v>5.1100001339999999</v>
      </c>
      <c r="L924" s="2">
        <v>5.1100001339999999</v>
      </c>
      <c r="M924" s="2">
        <v>0</v>
      </c>
      <c r="N924" s="2">
        <v>0.31999999299999998</v>
      </c>
      <c r="O924" s="2">
        <v>0.97000002900000004</v>
      </c>
      <c r="P924" s="2">
        <v>3.8199999330000001</v>
      </c>
      <c r="Q924" s="2">
        <v>0</v>
      </c>
      <c r="R924" s="2">
        <v>5</v>
      </c>
      <c r="S924" s="2">
        <v>23</v>
      </c>
      <c r="T924" s="2">
        <v>214</v>
      </c>
      <c r="U924" s="2">
        <f t="shared" si="72"/>
        <v>242</v>
      </c>
      <c r="V924" s="2">
        <v>801</v>
      </c>
      <c r="W924" s="2">
        <v>7641</v>
      </c>
      <c r="X924" s="2">
        <f t="shared" si="73"/>
        <v>7641</v>
      </c>
      <c r="Y924" s="2">
        <v>1433</v>
      </c>
      <c r="Z924" t="str" cm="1">
        <f t="array" ref="Z924">_xlfn.IFS(OR(R924&gt;66, S924&gt;38), "High Engagement", OR(AND(R924&gt;32, R924&lt;=66), AND(S924&gt;19, S924&lt;=38)), "Medium-High Engagement", OR(AND(R924&gt;4, R924&lt;=32), AND(S924&gt;6, S924&lt;=19)),"Medium Engagement", TRUE, "Low Engagement"
)</f>
        <v>Medium-High Engagement</v>
      </c>
      <c r="AA924">
        <f t="shared" si="74"/>
        <v>0.18754089778824762</v>
      </c>
    </row>
    <row r="925" spans="1:27" x14ac:dyDescent="0.35">
      <c r="A925" s="2">
        <v>3977333714</v>
      </c>
      <c r="B925" s="2" t="s">
        <v>81</v>
      </c>
      <c r="C925" s="2">
        <f>VLOOKUP(user_activity!A297,users_details!$A$1:$G$34,5,0)</f>
        <v>29</v>
      </c>
      <c r="D925" s="2" t="str" cm="1">
        <f t="array" ref="D925">_xlfn.IFS( AND(C925&gt;=18, C925&lt;=25), "Emerging Adults",  AND(C925&gt;=26, C925&lt;=35),  "Young Adults",  AND(C925&gt;=36, C925&lt;=45),  "Midlife Adults",  AND(C925&gt;=46, C925&lt;=55), "Mature Adults", C925&gt;=56,  "Older Adults", TRUE, "Age Not Mentioned")</f>
        <v>Young Adults</v>
      </c>
      <c r="E925" s="2" t="str">
        <f>VLOOKUP(user_activity!A297,users_details!$A$1:$G$34,6,0)</f>
        <v>East Village, Manhattan</v>
      </c>
      <c r="F925" s="2" t="str">
        <f>VLOOKUP(user_activity!A297,users_details!$A$1:$G$34,7,0)</f>
        <v>East Village</v>
      </c>
      <c r="G925" s="2" t="s">
        <v>72</v>
      </c>
      <c r="H925" s="7">
        <v>42477</v>
      </c>
      <c r="I925" s="9" t="str">
        <f t="shared" si="70"/>
        <v>Sunday</v>
      </c>
      <c r="J925" s="9" t="str">
        <f t="shared" si="71"/>
        <v>April</v>
      </c>
      <c r="K925" s="2">
        <v>6.9699997900000001</v>
      </c>
      <c r="L925" s="2">
        <v>6.9699997900000001</v>
      </c>
      <c r="M925" s="2">
        <v>0</v>
      </c>
      <c r="N925" s="2">
        <v>0.69999998799999996</v>
      </c>
      <c r="O925" s="2">
        <v>2.3499999049999998</v>
      </c>
      <c r="P925" s="2">
        <v>3.920000076</v>
      </c>
      <c r="Q925" s="2">
        <v>0</v>
      </c>
      <c r="R925" s="2">
        <v>11</v>
      </c>
      <c r="S925" s="2">
        <v>58</v>
      </c>
      <c r="T925" s="2">
        <v>205</v>
      </c>
      <c r="U925" s="2">
        <f t="shared" si="72"/>
        <v>274</v>
      </c>
      <c r="V925" s="2">
        <v>600</v>
      </c>
      <c r="W925" s="2">
        <v>10415</v>
      </c>
      <c r="X925" s="2">
        <f t="shared" si="73"/>
        <v>10415</v>
      </c>
      <c r="Y925" s="2">
        <v>1529</v>
      </c>
      <c r="Z925" t="str" cm="1">
        <f t="array" ref="Z925">_xlfn.IFS(OR(R925&gt;66, S925&gt;38), "High Engagement", OR(AND(R925&gt;32, R925&lt;=66), AND(S925&gt;19, S925&lt;=38)), "Medium-High Engagement", OR(AND(R925&gt;4, R925&lt;=32), AND(S925&gt;6, S925&lt;=19)),"Medium Engagement", TRUE, "Low Engagement"
)</f>
        <v>High Engagement</v>
      </c>
      <c r="AA925">
        <f t="shared" si="74"/>
        <v>0.14680748919827172</v>
      </c>
    </row>
    <row r="926" spans="1:27" x14ac:dyDescent="0.35">
      <c r="A926" s="2">
        <v>3977333714</v>
      </c>
      <c r="B926" s="2" t="s">
        <v>81</v>
      </c>
      <c r="C926" s="2">
        <f>VLOOKUP(user_activity!A354,users_details!$A$1:$G$34,5,0)</f>
        <v>31</v>
      </c>
      <c r="D926" s="2" t="str" cm="1">
        <f t="array" ref="D926">_xlfn.IFS( AND(C926&gt;=18, C926&lt;=25), "Emerging Adults",  AND(C926&gt;=26, C926&lt;=35),  "Young Adults",  AND(C926&gt;=36, C926&lt;=45),  "Midlife Adults",  AND(C926&gt;=46, C926&lt;=55), "Mature Adults", C926&gt;=56,  "Older Adults", TRUE, "Age Not Mentioned")</f>
        <v>Young Adults</v>
      </c>
      <c r="E926" s="2" t="str">
        <f>VLOOKUP(user_activity!A354,users_details!$A$1:$G$34,6,0)</f>
        <v>Midtown, Manhattan</v>
      </c>
      <c r="F926" s="2" t="str">
        <f>VLOOKUP(user_activity!A354,users_details!$A$1:$G$34,7,0)</f>
        <v>Midtown</v>
      </c>
      <c r="G926" s="2" t="s">
        <v>72</v>
      </c>
      <c r="H926" s="7">
        <v>42465</v>
      </c>
      <c r="I926" s="9" t="str">
        <f t="shared" si="70"/>
        <v>Tuesday</v>
      </c>
      <c r="J926" s="9" t="str">
        <f t="shared" si="71"/>
        <v>April</v>
      </c>
      <c r="K926" s="2">
        <v>9.4399995800000003</v>
      </c>
      <c r="L926" s="2">
        <v>9.4399995800000003</v>
      </c>
      <c r="M926" s="2">
        <v>0</v>
      </c>
      <c r="N926" s="2">
        <v>1.809999943</v>
      </c>
      <c r="O926" s="2">
        <v>4.579999924</v>
      </c>
      <c r="P926" s="2">
        <v>2.8900001049999999</v>
      </c>
      <c r="Q926" s="2">
        <v>0</v>
      </c>
      <c r="R926" s="2">
        <v>14</v>
      </c>
      <c r="S926" s="2">
        <v>96</v>
      </c>
      <c r="T926" s="2">
        <v>142</v>
      </c>
      <c r="U926" s="2">
        <f t="shared" si="72"/>
        <v>252</v>
      </c>
      <c r="V926" s="2">
        <v>852</v>
      </c>
      <c r="W926" s="2">
        <v>13559</v>
      </c>
      <c r="X926" s="2">
        <f t="shared" si="73"/>
        <v>13559</v>
      </c>
      <c r="Y926" s="2">
        <v>1628</v>
      </c>
      <c r="Z926" t="str" cm="1">
        <f t="array" ref="Z926">_xlfn.IFS(OR(R926&gt;66, S926&gt;38), "High Engagement", OR(AND(R926&gt;32, R926&lt;=66), AND(S926&gt;19, S926&lt;=38)), "Medium-High Engagement", OR(AND(R926&gt;4, R926&lt;=32), AND(S926&gt;6, S926&lt;=19)),"Medium Engagement", TRUE, "Low Engagement"
)</f>
        <v>High Engagement</v>
      </c>
      <c r="AA926">
        <f t="shared" si="74"/>
        <v>0.12006785161147578</v>
      </c>
    </row>
    <row r="927" spans="1:27" x14ac:dyDescent="0.35">
      <c r="A927" s="2">
        <v>3977333714</v>
      </c>
      <c r="B927" s="2" t="s">
        <v>81</v>
      </c>
      <c r="C927" s="2">
        <f>VLOOKUP(user_activity!A408,users_details!$A$1:$G$34,5,0)</f>
        <v>32</v>
      </c>
      <c r="D927" s="2" t="str" cm="1">
        <f t="array" ref="D927">_xlfn.IFS( AND(C927&gt;=18, C927&lt;=25), "Emerging Adults",  AND(C927&gt;=26, C927&lt;=35),  "Young Adults",  AND(C927&gt;=36, C927&lt;=45),  "Midlife Adults",  AND(C927&gt;=46, C927&lt;=55), "Mature Adults", C927&gt;=56,  "Older Adults", TRUE, "Age Not Mentioned")</f>
        <v>Young Adults</v>
      </c>
      <c r="E927" s="2" t="str">
        <f>VLOOKUP(user_activity!A408,users_details!$A$1:$G$34,6,0)</f>
        <v>East Harlem, Manhattan</v>
      </c>
      <c r="F927" s="2" t="str">
        <f>VLOOKUP(user_activity!A408,users_details!$A$1:$G$34,7,0)</f>
        <v>East Harlem</v>
      </c>
      <c r="G927" s="2" t="s">
        <v>72</v>
      </c>
      <c r="H927" s="7">
        <v>42405</v>
      </c>
      <c r="I927" s="9" t="str">
        <f t="shared" si="70"/>
        <v>Friday</v>
      </c>
      <c r="J927" s="9" t="str">
        <f t="shared" si="71"/>
        <v>February</v>
      </c>
      <c r="K927" s="2">
        <v>11.05000019</v>
      </c>
      <c r="L927" s="2">
        <v>11.05000019</v>
      </c>
      <c r="M927" s="2">
        <v>0</v>
      </c>
      <c r="N927" s="2">
        <v>1.539999962</v>
      </c>
      <c r="O927" s="2">
        <v>6.4800000190000002</v>
      </c>
      <c r="P927" s="2">
        <v>3.0199999809999998</v>
      </c>
      <c r="Q927" s="2">
        <v>0</v>
      </c>
      <c r="R927" s="2">
        <v>24</v>
      </c>
      <c r="S927" s="2">
        <v>143</v>
      </c>
      <c r="T927" s="2">
        <v>176</v>
      </c>
      <c r="U927" s="2">
        <f t="shared" si="72"/>
        <v>343</v>
      </c>
      <c r="V927" s="2">
        <v>713</v>
      </c>
      <c r="W927" s="2">
        <v>16520</v>
      </c>
      <c r="X927" s="2">
        <f t="shared" si="73"/>
        <v>16520</v>
      </c>
      <c r="Y927" s="2">
        <v>1760</v>
      </c>
      <c r="Z927" t="str" cm="1">
        <f t="array" ref="Z927">_xlfn.IFS(OR(R927&gt;66, S927&gt;38), "High Engagement", OR(AND(R927&gt;32, R927&lt;=66), AND(S927&gt;19, S927&lt;=38)), "Medium-High Engagement", OR(AND(R927&gt;4, R927&lt;=32), AND(S927&gt;6, S927&lt;=19)),"Medium Engagement", TRUE, "Low Engagement"
)</f>
        <v>High Engagement</v>
      </c>
      <c r="AA927">
        <f t="shared" si="74"/>
        <v>0.10653753026634383</v>
      </c>
    </row>
    <row r="928" spans="1:27" x14ac:dyDescent="0.35">
      <c r="A928" s="2">
        <v>3977333714</v>
      </c>
      <c r="B928" s="2" t="s">
        <v>81</v>
      </c>
      <c r="C928" s="2">
        <f>VLOOKUP(user_activity!A421,users_details!$A$1:$G$34,5,0)</f>
        <v>32</v>
      </c>
      <c r="D928" s="2" t="str" cm="1">
        <f t="array" ref="D928">_xlfn.IFS( AND(C928&gt;=18, C928&lt;=25), "Emerging Adults",  AND(C928&gt;=26, C928&lt;=35),  "Young Adults",  AND(C928&gt;=36, C928&lt;=45),  "Midlife Adults",  AND(C928&gt;=46, C928&lt;=55), "Mature Adults", C928&gt;=56,  "Older Adults", TRUE, "Age Not Mentioned")</f>
        <v>Young Adults</v>
      </c>
      <c r="E928" s="2" t="str">
        <f>VLOOKUP(user_activity!A421,users_details!$A$1:$G$34,6,0)</f>
        <v>East Harlem, Manhattan</v>
      </c>
      <c r="F928" s="2" t="str">
        <f>VLOOKUP(user_activity!A421,users_details!$A$1:$G$34,7,0)</f>
        <v>East Harlem</v>
      </c>
      <c r="G928" s="2" t="s">
        <v>72</v>
      </c>
      <c r="H928" s="7">
        <v>42485</v>
      </c>
      <c r="I928" s="9" t="str">
        <f t="shared" si="70"/>
        <v>Monday</v>
      </c>
      <c r="J928" s="9" t="str">
        <f t="shared" si="71"/>
        <v>April</v>
      </c>
      <c r="K928" s="2">
        <v>8.4799995419999998</v>
      </c>
      <c r="L928" s="2">
        <v>8.4799995419999998</v>
      </c>
      <c r="M928" s="2">
        <v>0</v>
      </c>
      <c r="N928" s="2">
        <v>5.6199998860000004</v>
      </c>
      <c r="O928" s="2">
        <v>0.43000000700000002</v>
      </c>
      <c r="P928" s="2">
        <v>2.4100000860000002</v>
      </c>
      <c r="Q928" s="2">
        <v>0</v>
      </c>
      <c r="R928" s="2">
        <v>50</v>
      </c>
      <c r="S928" s="2">
        <v>9</v>
      </c>
      <c r="T928" s="2">
        <v>133</v>
      </c>
      <c r="U928" s="2">
        <f t="shared" si="72"/>
        <v>192</v>
      </c>
      <c r="V928" s="2">
        <v>781</v>
      </c>
      <c r="W928" s="2">
        <v>11177</v>
      </c>
      <c r="X928" s="2">
        <f t="shared" si="73"/>
        <v>11177</v>
      </c>
      <c r="Y928" s="2">
        <v>1570</v>
      </c>
      <c r="Z928" t="str" cm="1">
        <f t="array" ref="Z928">_xlfn.IFS(OR(R928&gt;66, S928&gt;38), "High Engagement", OR(AND(R928&gt;32, R928&lt;=66), AND(S928&gt;19, S928&lt;=38)), "Medium-High Engagement", OR(AND(R928&gt;4, R928&lt;=32), AND(S928&gt;6, S928&lt;=19)),"Medium Engagement", TRUE, "Low Engagement"
)</f>
        <v>Medium-High Engagement</v>
      </c>
      <c r="AA928">
        <f t="shared" si="74"/>
        <v>0.14046703050908116</v>
      </c>
    </row>
    <row r="929" spans="1:27" x14ac:dyDescent="0.35">
      <c r="A929" s="2">
        <v>3977333714</v>
      </c>
      <c r="B929" s="2" t="s">
        <v>81</v>
      </c>
      <c r="C929" s="2">
        <f>VLOOKUP(user_activity!A441,users_details!$A$1:$G$34,5,0)</f>
        <v>33</v>
      </c>
      <c r="D929" s="2" t="str" cm="1">
        <f t="array" ref="D929">_xlfn.IFS( AND(C929&gt;=18, C929&lt;=25), "Emerging Adults",  AND(C929&gt;=26, C929&lt;=35),  "Young Adults",  AND(C929&gt;=36, C929&lt;=45),  "Midlife Adults",  AND(C929&gt;=46, C929&lt;=55), "Mature Adults", C929&gt;=56,  "Older Adults", TRUE, "Age Not Mentioned")</f>
        <v>Young Adults</v>
      </c>
      <c r="E929" s="2" t="str">
        <f>VLOOKUP(user_activity!A441,users_details!$A$1:$G$34,6,0)</f>
        <v>Harlem, Manhattan</v>
      </c>
      <c r="F929" s="2" t="str">
        <f>VLOOKUP(user_activity!A441,users_details!$A$1:$G$34,7,0)</f>
        <v>Harlem</v>
      </c>
      <c r="G929" s="2" t="s">
        <v>72</v>
      </c>
      <c r="H929" s="7">
        <v>42374</v>
      </c>
      <c r="I929" s="9" t="str">
        <f t="shared" si="70"/>
        <v>Tuesday</v>
      </c>
      <c r="J929" s="9" t="str">
        <f t="shared" si="71"/>
        <v>January</v>
      </c>
      <c r="K929" s="2">
        <v>7.0700001720000003</v>
      </c>
      <c r="L929" s="2">
        <v>7.0700001720000003</v>
      </c>
      <c r="M929" s="2">
        <v>0</v>
      </c>
      <c r="N929" s="2">
        <v>2.670000076</v>
      </c>
      <c r="O929" s="2">
        <v>1.980000019</v>
      </c>
      <c r="P929" s="2">
        <v>2.4100000860000002</v>
      </c>
      <c r="Q929" s="2">
        <v>0</v>
      </c>
      <c r="R929" s="2">
        <v>41</v>
      </c>
      <c r="S929" s="2">
        <v>40</v>
      </c>
      <c r="T929" s="2">
        <v>124</v>
      </c>
      <c r="U929" s="2">
        <f t="shared" si="72"/>
        <v>205</v>
      </c>
      <c r="V929" s="2">
        <v>691</v>
      </c>
      <c r="W929" s="2">
        <v>10414</v>
      </c>
      <c r="X929" s="2">
        <f t="shared" si="73"/>
        <v>10414</v>
      </c>
      <c r="Y929" s="2">
        <v>1501</v>
      </c>
      <c r="Z929" t="str" cm="1">
        <f t="array" ref="Z929">_xlfn.IFS(OR(R929&gt;66, S929&gt;38), "High Engagement", OR(AND(R929&gt;32, R929&lt;=66), AND(S929&gt;19, S929&lt;=38)), "Medium-High Engagement", OR(AND(R929&gt;4, R929&lt;=32), AND(S929&gt;6, S929&lt;=19)),"Medium Engagement", TRUE, "Low Engagement"
)</f>
        <v>High Engagement</v>
      </c>
      <c r="AA929">
        <f t="shared" si="74"/>
        <v>0.14413289802189361</v>
      </c>
    </row>
    <row r="930" spans="1:27" x14ac:dyDescent="0.35">
      <c r="A930" s="2">
        <v>3977333714</v>
      </c>
      <c r="B930" s="2" t="s">
        <v>81</v>
      </c>
      <c r="C930" s="2">
        <f>VLOOKUP(user_activity!A456,users_details!$A$1:$G$34,5,0)</f>
        <v>33</v>
      </c>
      <c r="D930" s="2" t="str" cm="1">
        <f t="array" ref="D930">_xlfn.IFS( AND(C930&gt;=18, C930&lt;=25), "Emerging Adults",  AND(C930&gt;=26, C930&lt;=35),  "Young Adults",  AND(C930&gt;=36, C930&lt;=45),  "Midlife Adults",  AND(C930&gt;=46, C930&lt;=55), "Mature Adults", C930&gt;=56,  "Older Adults", TRUE, "Age Not Mentioned")</f>
        <v>Young Adults</v>
      </c>
      <c r="E930" s="2" t="str">
        <f>VLOOKUP(user_activity!A456,users_details!$A$1:$G$34,6,0)</f>
        <v>Harlem, Manhattan</v>
      </c>
      <c r="F930" s="2" t="str">
        <f>VLOOKUP(user_activity!A456,users_details!$A$1:$G$34,7,0)</f>
        <v>Harlem</v>
      </c>
      <c r="G930" s="2" t="s">
        <v>72</v>
      </c>
      <c r="H930" s="7">
        <v>42480</v>
      </c>
      <c r="I930" s="9" t="str">
        <f t="shared" si="70"/>
        <v>Wednesday</v>
      </c>
      <c r="J930" s="9" t="str">
        <f t="shared" si="71"/>
        <v>April</v>
      </c>
      <c r="K930" s="2">
        <v>7.829999924</v>
      </c>
      <c r="L930" s="2">
        <v>7.829999924</v>
      </c>
      <c r="M930" s="2">
        <v>0</v>
      </c>
      <c r="N930" s="2">
        <v>0.20000000300000001</v>
      </c>
      <c r="O930" s="2">
        <v>4.3499999049999998</v>
      </c>
      <c r="P930" s="2">
        <v>3.2799999710000001</v>
      </c>
      <c r="Q930" s="2">
        <v>0</v>
      </c>
      <c r="R930" s="2">
        <v>2</v>
      </c>
      <c r="S930" s="2">
        <v>98</v>
      </c>
      <c r="T930" s="2">
        <v>164</v>
      </c>
      <c r="U930" s="2">
        <f t="shared" si="72"/>
        <v>264</v>
      </c>
      <c r="V930" s="2">
        <v>845</v>
      </c>
      <c r="W930" s="2">
        <v>11658</v>
      </c>
      <c r="X930" s="2">
        <f t="shared" si="73"/>
        <v>11658</v>
      </c>
      <c r="Y930" s="2">
        <v>1554</v>
      </c>
      <c r="Z930" t="str" cm="1">
        <f t="array" ref="Z930">_xlfn.IFS(OR(R930&gt;66, S930&gt;38), "High Engagement", OR(AND(R930&gt;32, R930&lt;=66), AND(S930&gt;19, S930&lt;=38)), "Medium-High Engagement", OR(AND(R930&gt;4, R930&lt;=32), AND(S930&gt;6, S930&lt;=19)),"Medium Engagement", TRUE, "Low Engagement"
)</f>
        <v>High Engagement</v>
      </c>
      <c r="AA930">
        <f t="shared" si="74"/>
        <v>0.13329902213072567</v>
      </c>
    </row>
    <row r="931" spans="1:27" x14ac:dyDescent="0.35">
      <c r="A931" s="2">
        <v>3977333714</v>
      </c>
      <c r="B931" s="2" t="s">
        <v>81</v>
      </c>
      <c r="C931" s="2">
        <f>VLOOKUP(user_activity!A467,users_details!$A$1:$G$34,5,0)</f>
        <v>33</v>
      </c>
      <c r="D931" s="2" t="str" cm="1">
        <f t="array" ref="D931">_xlfn.IFS( AND(C931&gt;=18, C931&lt;=25), "Emerging Adults",  AND(C931&gt;=26, C931&lt;=35),  "Young Adults",  AND(C931&gt;=36, C931&lt;=45),  "Midlife Adults",  AND(C931&gt;=46, C931&lt;=55), "Mature Adults", C931&gt;=56,  "Older Adults", TRUE, "Age Not Mentioned")</f>
        <v>Young Adults</v>
      </c>
      <c r="E931" s="2" t="str">
        <f>VLOOKUP(user_activity!A467,users_details!$A$1:$G$34,6,0)</f>
        <v>Greenpoint, Brooklyn</v>
      </c>
      <c r="F931" s="2" t="str">
        <f>VLOOKUP(user_activity!A467,users_details!$A$1:$G$34,7,0)</f>
        <v>Greenpoint</v>
      </c>
      <c r="G931" s="2" t="s">
        <v>72</v>
      </c>
      <c r="H931" s="7">
        <v>42526</v>
      </c>
      <c r="I931" s="9" t="str">
        <f t="shared" si="70"/>
        <v>Sunday</v>
      </c>
      <c r="J931" s="9" t="str">
        <f t="shared" si="71"/>
        <v>June</v>
      </c>
      <c r="K931" s="2">
        <v>8.2799997330000004</v>
      </c>
      <c r="L931" s="2">
        <v>8.2799997330000004</v>
      </c>
      <c r="M931" s="2">
        <v>0</v>
      </c>
      <c r="N931" s="2">
        <v>3.1099998950000001</v>
      </c>
      <c r="O931" s="2">
        <v>2.5099999899999998</v>
      </c>
      <c r="P931" s="2">
        <v>2.670000076</v>
      </c>
      <c r="Q931" s="2">
        <v>0</v>
      </c>
      <c r="R931" s="2">
        <v>29</v>
      </c>
      <c r="S931" s="2">
        <v>55</v>
      </c>
      <c r="T931" s="2">
        <v>168</v>
      </c>
      <c r="U931" s="2">
        <f t="shared" si="72"/>
        <v>252</v>
      </c>
      <c r="V931" s="2">
        <v>676</v>
      </c>
      <c r="W931" s="2">
        <v>11677</v>
      </c>
      <c r="X931" s="2">
        <f t="shared" si="73"/>
        <v>11677</v>
      </c>
      <c r="Y931" s="2">
        <v>1590</v>
      </c>
      <c r="Z931" t="str" cm="1">
        <f t="array" ref="Z931">_xlfn.IFS(OR(R931&gt;66, S931&gt;38), "High Engagement", OR(AND(R931&gt;32, R931&lt;=66), AND(S931&gt;19, S931&lt;=38)), "Medium-High Engagement", OR(AND(R931&gt;4, R931&lt;=32), AND(S931&gt;6, S931&lt;=19)),"Medium Engagement", TRUE, "Low Engagement"
)</f>
        <v>High Engagement</v>
      </c>
      <c r="AA931">
        <f t="shared" si="74"/>
        <v>0.13616511090177272</v>
      </c>
    </row>
    <row r="932" spans="1:27" x14ac:dyDescent="0.35">
      <c r="A932" s="2">
        <v>3977333714</v>
      </c>
      <c r="B932" s="2" t="s">
        <v>81</v>
      </c>
      <c r="C932" s="2">
        <f>VLOOKUP(user_activity!A534,users_details!$A$1:$G$34,5,0)</f>
        <v>38</v>
      </c>
      <c r="D932" s="2" t="str" cm="1">
        <f t="array" ref="D932">_xlfn.IFS( AND(C932&gt;=18, C932&lt;=25), "Emerging Adults",  AND(C932&gt;=26, C932&lt;=35),  "Young Adults",  AND(C932&gt;=36, C932&lt;=45),  "Midlife Adults",  AND(C932&gt;=46, C932&lt;=55), "Mature Adults", C932&gt;=56,  "Older Adults", TRUE, "Age Not Mentioned")</f>
        <v>Midlife Adults</v>
      </c>
      <c r="E932" s="2" t="str">
        <f>VLOOKUP(user_activity!A534,users_details!$A$1:$G$34,6,0)</f>
        <v>Midtown, Manhattan</v>
      </c>
      <c r="F932" s="2" t="str">
        <f>VLOOKUP(user_activity!A534,users_details!$A$1:$G$34,7,0)</f>
        <v>Midtown</v>
      </c>
      <c r="G932" s="2" t="s">
        <v>72</v>
      </c>
      <c r="H932" s="7">
        <v>42556</v>
      </c>
      <c r="I932" s="9" t="str">
        <f t="shared" si="70"/>
        <v>Tuesday</v>
      </c>
      <c r="J932" s="9" t="str">
        <f t="shared" si="71"/>
        <v>July</v>
      </c>
      <c r="K932" s="2">
        <v>7.7300000190000002</v>
      </c>
      <c r="L932" s="2">
        <v>7.7300000190000002</v>
      </c>
      <c r="M932" s="2">
        <v>0</v>
      </c>
      <c r="N932" s="2">
        <v>0</v>
      </c>
      <c r="O932" s="2">
        <v>4.1300001139999996</v>
      </c>
      <c r="P932" s="2">
        <v>3.5899999139999998</v>
      </c>
      <c r="Q932" s="2">
        <v>0</v>
      </c>
      <c r="R932" s="2">
        <v>0</v>
      </c>
      <c r="S932" s="2">
        <v>86</v>
      </c>
      <c r="T932" s="2">
        <v>208</v>
      </c>
      <c r="U932" s="2">
        <f t="shared" si="72"/>
        <v>294</v>
      </c>
      <c r="V932" s="2">
        <v>703</v>
      </c>
      <c r="W932" s="2">
        <v>11550</v>
      </c>
      <c r="X932" s="2">
        <f t="shared" si="73"/>
        <v>11550</v>
      </c>
      <c r="Y932" s="2">
        <v>1574</v>
      </c>
      <c r="Z932" t="str" cm="1">
        <f t="array" ref="Z932">_xlfn.IFS(OR(R932&gt;66, S932&gt;38), "High Engagement", OR(AND(R932&gt;32, R932&lt;=66), AND(S932&gt;19, S932&lt;=38)), "Medium-High Engagement", OR(AND(R932&gt;4, R932&lt;=32), AND(S932&gt;6, S932&lt;=19)),"Medium Engagement", TRUE, "Low Engagement"
)</f>
        <v>High Engagement</v>
      </c>
      <c r="AA932">
        <f t="shared" si="74"/>
        <v>0.13627705627705627</v>
      </c>
    </row>
    <row r="933" spans="1:27" x14ac:dyDescent="0.35">
      <c r="A933" s="2">
        <v>3977333714</v>
      </c>
      <c r="B933" s="2" t="s">
        <v>81</v>
      </c>
      <c r="C933" s="2">
        <f>VLOOKUP(user_activity!A546,users_details!$A$1:$G$34,5,0)</f>
        <v>38</v>
      </c>
      <c r="D933" s="2" t="str" cm="1">
        <f t="array" ref="D933">_xlfn.IFS( AND(C933&gt;=18, C933&lt;=25), "Emerging Adults",  AND(C933&gt;=26, C933&lt;=35),  "Young Adults",  AND(C933&gt;=36, C933&lt;=45),  "Midlife Adults",  AND(C933&gt;=46, C933&lt;=55), "Mature Adults", C933&gt;=56,  "Older Adults", TRUE, "Age Not Mentioned")</f>
        <v>Midlife Adults</v>
      </c>
      <c r="E933" s="2" t="str">
        <f>VLOOKUP(user_activity!A546,users_details!$A$1:$G$34,6,0)</f>
        <v>East Harlem, Manhattan</v>
      </c>
      <c r="F933" s="2" t="str">
        <f>VLOOKUP(user_activity!A546,users_details!$A$1:$G$34,7,0)</f>
        <v>East Harlem</v>
      </c>
      <c r="G933" s="2" t="s">
        <v>72</v>
      </c>
      <c r="H933" s="7">
        <v>42476</v>
      </c>
      <c r="I933" s="9" t="str">
        <f t="shared" si="70"/>
        <v>Saturday</v>
      </c>
      <c r="J933" s="9" t="str">
        <f t="shared" si="71"/>
        <v>April</v>
      </c>
      <c r="K933" s="2">
        <v>9</v>
      </c>
      <c r="L933" s="2">
        <v>9</v>
      </c>
      <c r="M933" s="2">
        <v>0</v>
      </c>
      <c r="N933" s="2">
        <v>2.0299999710000001</v>
      </c>
      <c r="O933" s="2">
        <v>4</v>
      </c>
      <c r="P933" s="2">
        <v>2.9700000289999999</v>
      </c>
      <c r="Q933" s="2">
        <v>0</v>
      </c>
      <c r="R933" s="2">
        <v>31</v>
      </c>
      <c r="S933" s="2">
        <v>83</v>
      </c>
      <c r="T933" s="2">
        <v>153</v>
      </c>
      <c r="U933" s="2">
        <f t="shared" si="72"/>
        <v>267</v>
      </c>
      <c r="V933" s="2">
        <v>663</v>
      </c>
      <c r="W933" s="2">
        <v>13459</v>
      </c>
      <c r="X933" s="2">
        <f t="shared" si="73"/>
        <v>13459</v>
      </c>
      <c r="Y933" s="2">
        <v>1625</v>
      </c>
      <c r="Z933" t="str" cm="1">
        <f t="array" ref="Z933">_xlfn.IFS(OR(R933&gt;66, S933&gt;38), "High Engagement", OR(AND(R933&gt;32, R933&lt;=66), AND(S933&gt;19, S933&lt;=38)), "Medium-High Engagement", OR(AND(R933&gt;4, R933&lt;=32), AND(S933&gt;6, S933&lt;=19)),"Medium Engagement", TRUE, "Low Engagement"
)</f>
        <v>High Engagement</v>
      </c>
      <c r="AA933">
        <f t="shared" si="74"/>
        <v>0.12073705327290289</v>
      </c>
    </row>
    <row r="934" spans="1:27" x14ac:dyDescent="0.35">
      <c r="A934" s="2">
        <v>3977333714</v>
      </c>
      <c r="B934" s="2" t="s">
        <v>81</v>
      </c>
      <c r="C934" s="2">
        <f>VLOOKUP(user_activity!A566,users_details!$A$1:$G$34,5,0)</f>
        <v>38</v>
      </c>
      <c r="D934" s="2" t="str" cm="1">
        <f t="array" ref="D934">_xlfn.IFS( AND(C934&gt;=18, C934&lt;=25), "Emerging Adults",  AND(C934&gt;=26, C934&lt;=35),  "Young Adults",  AND(C934&gt;=36, C934&lt;=45),  "Midlife Adults",  AND(C934&gt;=46, C934&lt;=55), "Mature Adults", C934&gt;=56,  "Older Adults", TRUE, "Age Not Mentioned")</f>
        <v>Midlife Adults</v>
      </c>
      <c r="E934" s="2" t="str">
        <f>VLOOKUP(user_activity!A566,users_details!$A$1:$G$34,6,0)</f>
        <v>East Harlem, Manhattan</v>
      </c>
      <c r="F934" s="2" t="str">
        <f>VLOOKUP(user_activity!A566,users_details!$A$1:$G$34,7,0)</f>
        <v>East Harlem</v>
      </c>
      <c r="G934" s="2" t="s">
        <v>72</v>
      </c>
      <c r="H934" s="7">
        <v>42478</v>
      </c>
      <c r="I934" s="9" t="str">
        <f t="shared" si="70"/>
        <v>Monday</v>
      </c>
      <c r="J934" s="9" t="str">
        <f t="shared" si="71"/>
        <v>April</v>
      </c>
      <c r="K934" s="2">
        <v>7.8000001909999996</v>
      </c>
      <c r="L934" s="2">
        <v>7.8000001909999996</v>
      </c>
      <c r="M934" s="2">
        <v>0</v>
      </c>
      <c r="N934" s="2">
        <v>0.25</v>
      </c>
      <c r="O934" s="2">
        <v>3.7300000190000002</v>
      </c>
      <c r="P934" s="2">
        <v>3.8199999330000001</v>
      </c>
      <c r="Q934" s="2">
        <v>0</v>
      </c>
      <c r="R934" s="2">
        <v>4</v>
      </c>
      <c r="S934" s="2">
        <v>95</v>
      </c>
      <c r="T934" s="2">
        <v>214</v>
      </c>
      <c r="U934" s="2">
        <f t="shared" si="72"/>
        <v>313</v>
      </c>
      <c r="V934" s="2">
        <v>605</v>
      </c>
      <c r="W934" s="2">
        <v>11663</v>
      </c>
      <c r="X934" s="2">
        <f t="shared" si="73"/>
        <v>11663</v>
      </c>
      <c r="Y934" s="2">
        <v>1584</v>
      </c>
      <c r="Z934" t="str" cm="1">
        <f t="array" ref="Z934">_xlfn.IFS(OR(R934&gt;66, S934&gt;38), "High Engagement", OR(AND(R934&gt;32, R934&lt;=66), AND(S934&gt;19, S934&lt;=38)), "Medium-High Engagement", OR(AND(R934&gt;4, R934&lt;=32), AND(S934&gt;6, S934&lt;=19)),"Medium Engagement", TRUE, "Low Engagement"
)</f>
        <v>High Engagement</v>
      </c>
      <c r="AA934">
        <f t="shared" si="74"/>
        <v>0.13581411300694504</v>
      </c>
    </row>
    <row r="935" spans="1:27" x14ac:dyDescent="0.35">
      <c r="A935" s="2">
        <v>3977333714</v>
      </c>
      <c r="B935" s="2" t="s">
        <v>81</v>
      </c>
      <c r="C935" s="2">
        <f>VLOOKUP(user_activity!A672,users_details!$A$1:$G$34,5,0)</f>
        <v>49</v>
      </c>
      <c r="D935" s="2" t="str" cm="1">
        <f t="array" ref="D935">_xlfn.IFS( AND(C935&gt;=18, C935&lt;=25), "Emerging Adults",  AND(C935&gt;=26, C935&lt;=35),  "Young Adults",  AND(C935&gt;=36, C935&lt;=45),  "Midlife Adults",  AND(C935&gt;=46, C935&lt;=55), "Mature Adults", C935&gt;=56,  "Older Adults", TRUE, "Age Not Mentioned")</f>
        <v>Mature Adults</v>
      </c>
      <c r="E935" s="2" t="str">
        <f>VLOOKUP(user_activity!A672,users_details!$A$1:$G$34,6,0)</f>
        <v>Upper West Side, Manhattan</v>
      </c>
      <c r="F935" s="2" t="str">
        <f>VLOOKUP(user_activity!A672,users_details!$A$1:$G$34,7,0)</f>
        <v>Upper West Side</v>
      </c>
      <c r="G935" s="2" t="s">
        <v>72</v>
      </c>
      <c r="H935" s="7">
        <v>42481</v>
      </c>
      <c r="I935" s="9" t="str">
        <f t="shared" si="70"/>
        <v>Thursday</v>
      </c>
      <c r="J935" s="9" t="str">
        <f t="shared" si="71"/>
        <v>April</v>
      </c>
      <c r="K935" s="2">
        <v>4.079999924</v>
      </c>
      <c r="L935" s="2">
        <v>4.079999924</v>
      </c>
      <c r="M935" s="2">
        <v>0</v>
      </c>
      <c r="N935" s="2">
        <v>0</v>
      </c>
      <c r="O935" s="2">
        <v>0</v>
      </c>
      <c r="P935" s="2">
        <v>4.0599999430000002</v>
      </c>
      <c r="Q935" s="2">
        <v>0</v>
      </c>
      <c r="R935" s="2">
        <v>0</v>
      </c>
      <c r="S935" s="2">
        <v>0</v>
      </c>
      <c r="T935" s="2">
        <v>242</v>
      </c>
      <c r="U935" s="2">
        <f t="shared" si="72"/>
        <v>242</v>
      </c>
      <c r="V935" s="2">
        <v>712</v>
      </c>
      <c r="W935" s="2">
        <v>6093</v>
      </c>
      <c r="X935" s="2">
        <f t="shared" si="73"/>
        <v>6093</v>
      </c>
      <c r="Y935" s="2">
        <v>1397</v>
      </c>
      <c r="Z935" t="str" cm="1">
        <f t="array" ref="Z935">_xlfn.IFS(OR(R935&gt;66, S935&gt;38), "High Engagement", OR(AND(R935&gt;32, R935&lt;=66), AND(S935&gt;19, S935&lt;=38)), "Medium-High Engagement", OR(AND(R935&gt;4, R935&lt;=32), AND(S935&gt;6, S935&lt;=19)),"Medium Engagement", TRUE, "Low Engagement"
)</f>
        <v>Low Engagement</v>
      </c>
      <c r="AA935">
        <f t="shared" si="74"/>
        <v>0.22927950106679795</v>
      </c>
    </row>
    <row r="936" spans="1:27" x14ac:dyDescent="0.35">
      <c r="A936" s="2">
        <v>3977333714</v>
      </c>
      <c r="B936" s="2" t="s">
        <v>81</v>
      </c>
      <c r="C936" s="2">
        <f>VLOOKUP(user_activity!A727,users_details!$A$1:$G$34,5,0)</f>
        <v>53</v>
      </c>
      <c r="D936" s="2" t="str" cm="1">
        <f t="array" ref="D936">_xlfn.IFS( AND(C936&gt;=18, C936&lt;=25), "Emerging Adults",  AND(C936&gt;=26, C936&lt;=35),  "Young Adults",  AND(C936&gt;=36, C936&lt;=45),  "Midlife Adults",  AND(C936&gt;=46, C936&lt;=55), "Mature Adults", C936&gt;=56,  "Older Adults", TRUE, "Age Not Mentioned")</f>
        <v>Mature Adults</v>
      </c>
      <c r="E936" s="2" t="str">
        <f>VLOOKUP(user_activity!A727,users_details!$A$1:$G$34,6,0)</f>
        <v>Williamsburg, Brooklyn</v>
      </c>
      <c r="F936" s="2" t="str">
        <f>VLOOKUP(user_activity!A727,users_details!$A$1:$G$34,7,0)</f>
        <v>Williamsburg</v>
      </c>
      <c r="G936" s="2" t="s">
        <v>72</v>
      </c>
      <c r="H936" s="7">
        <v>42473</v>
      </c>
      <c r="I936" s="9" t="str">
        <f t="shared" si="70"/>
        <v>Wednesday</v>
      </c>
      <c r="J936" s="9" t="str">
        <f t="shared" si="71"/>
        <v>April</v>
      </c>
      <c r="K936" s="2">
        <v>6.7100000380000004</v>
      </c>
      <c r="L936" s="2">
        <v>6.7100000380000004</v>
      </c>
      <c r="M936" s="2">
        <v>0</v>
      </c>
      <c r="N936" s="2">
        <v>2.0299999710000001</v>
      </c>
      <c r="O936" s="2">
        <v>2.130000114</v>
      </c>
      <c r="P936" s="2">
        <v>2.5499999519999998</v>
      </c>
      <c r="Q936" s="2">
        <v>0</v>
      </c>
      <c r="R936" s="2">
        <v>31</v>
      </c>
      <c r="S936" s="2">
        <v>46</v>
      </c>
      <c r="T936" s="2">
        <v>153</v>
      </c>
      <c r="U936" s="2">
        <f t="shared" si="72"/>
        <v>230</v>
      </c>
      <c r="V936" s="2">
        <v>754</v>
      </c>
      <c r="W936" s="2">
        <v>10035</v>
      </c>
      <c r="X936" s="2">
        <f t="shared" si="73"/>
        <v>10035</v>
      </c>
      <c r="Y936" s="2">
        <v>1495</v>
      </c>
      <c r="Z936" t="str" cm="1">
        <f t="array" ref="Z936">_xlfn.IFS(OR(R936&gt;66, S936&gt;38), "High Engagement", OR(AND(R936&gt;32, R936&lt;=66), AND(S936&gt;19, S936&lt;=38)), "Medium-High Engagement", OR(AND(R936&gt;4, R936&lt;=32), AND(S936&gt;6, S936&lt;=19)),"Medium Engagement", TRUE, "Low Engagement"
)</f>
        <v>High Engagement</v>
      </c>
      <c r="AA936">
        <f t="shared" si="74"/>
        <v>0.1489785749875436</v>
      </c>
    </row>
    <row r="937" spans="1:27" x14ac:dyDescent="0.35">
      <c r="A937" s="2">
        <v>3977333714</v>
      </c>
      <c r="B937" s="2" t="s">
        <v>81</v>
      </c>
      <c r="C937" s="2">
        <f>VLOOKUP(user_activity!A835,users_details!$A$1:$G$34,5,0)</f>
        <v>56</v>
      </c>
      <c r="D937" s="2" t="str" cm="1">
        <f t="array" ref="D937">_xlfn.IFS( AND(C937&gt;=18, C937&lt;=25), "Emerging Adults",  AND(C937&gt;=26, C937&lt;=35),  "Young Adults",  AND(C937&gt;=36, C937&lt;=45),  "Midlife Adults",  AND(C937&gt;=46, C937&lt;=55), "Mature Adults", C937&gt;=56,  "Older Adults", TRUE, "Age Not Mentioned")</f>
        <v>Older Adults</v>
      </c>
      <c r="E937" s="2" t="str">
        <f>VLOOKUP(user_activity!A835,users_details!$A$1:$G$34,6,0)</f>
        <v>Flatbush, Brooklyn</v>
      </c>
      <c r="F937" s="2" t="str">
        <f>VLOOKUP(user_activity!A835,users_details!$A$1:$G$34,7,0)</f>
        <v>Flatbush</v>
      </c>
      <c r="G937" s="2" t="s">
        <v>72</v>
      </c>
      <c r="H937" s="7">
        <v>42434</v>
      </c>
      <c r="I937" s="9" t="str">
        <f t="shared" si="70"/>
        <v>Saturday</v>
      </c>
      <c r="J937" s="9" t="str">
        <f t="shared" si="71"/>
        <v>March</v>
      </c>
      <c r="K937" s="2">
        <v>9.5900001530000001</v>
      </c>
      <c r="L937" s="2">
        <v>9.5900001530000001</v>
      </c>
      <c r="M937" s="2">
        <v>0</v>
      </c>
      <c r="N937" s="2">
        <v>3.3199999330000001</v>
      </c>
      <c r="O937" s="2">
        <v>1.7400000099999999</v>
      </c>
      <c r="P937" s="2">
        <v>4.5300002099999999</v>
      </c>
      <c r="Q937" s="2">
        <v>0</v>
      </c>
      <c r="R937" s="2">
        <v>47</v>
      </c>
      <c r="S937" s="2">
        <v>41</v>
      </c>
      <c r="T937" s="2">
        <v>258</v>
      </c>
      <c r="U937" s="2">
        <f t="shared" si="72"/>
        <v>346</v>
      </c>
      <c r="V937" s="2">
        <v>594</v>
      </c>
      <c r="W937" s="2">
        <v>14335</v>
      </c>
      <c r="X937" s="2">
        <f t="shared" si="73"/>
        <v>14335</v>
      </c>
      <c r="Y937" s="2">
        <v>1710</v>
      </c>
      <c r="Z937" t="str" cm="1">
        <f t="array" ref="Z937">_xlfn.IFS(OR(R937&gt;66, S937&gt;38), "High Engagement", OR(AND(R937&gt;32, R937&lt;=66), AND(S937&gt;19, S937&lt;=38)), "Medium-High Engagement", OR(AND(R937&gt;4, R937&lt;=32), AND(S937&gt;6, S937&lt;=19)),"Medium Engagement", TRUE, "Low Engagement"
)</f>
        <v>High Engagement</v>
      </c>
      <c r="AA937">
        <f t="shared" si="74"/>
        <v>0.11928845483083363</v>
      </c>
    </row>
    <row r="938" spans="1:27" x14ac:dyDescent="0.35">
      <c r="A938" s="2">
        <v>3977333714</v>
      </c>
      <c r="B938" s="2" t="s">
        <v>81</v>
      </c>
      <c r="C938" s="2">
        <f>VLOOKUP(user_activity!A872,users_details!$A$1:$G$34,5,0)</f>
        <v>58</v>
      </c>
      <c r="D938" s="2" t="str" cm="1">
        <f t="array" ref="D938">_xlfn.IFS( AND(C938&gt;=18, C938&lt;=25), "Emerging Adults",  AND(C938&gt;=26, C938&lt;=35),  "Young Adults",  AND(C938&gt;=36, C938&lt;=45),  "Midlife Adults",  AND(C938&gt;=46, C938&lt;=55), "Mature Adults", C938&gt;=56,  "Older Adults", TRUE, "Age Not Mentioned")</f>
        <v>Older Adults</v>
      </c>
      <c r="E938" s="2" t="str">
        <f>VLOOKUP(user_activity!A872,users_details!$A$1:$G$34,6,0)</f>
        <v>East Village, Manhattan</v>
      </c>
      <c r="F938" s="2" t="str">
        <f>VLOOKUP(user_activity!A872,users_details!$A$1:$G$34,7,0)</f>
        <v>East Village</v>
      </c>
      <c r="G938" s="2" t="s">
        <v>72</v>
      </c>
      <c r="H938" s="7">
        <v>42495</v>
      </c>
      <c r="I938" s="9" t="str">
        <f t="shared" si="70"/>
        <v>Thursday</v>
      </c>
      <c r="J938" s="9" t="str">
        <f t="shared" si="71"/>
        <v>May</v>
      </c>
      <c r="K938" s="2">
        <v>8.5799999239999991</v>
      </c>
      <c r="L938" s="2">
        <v>8.5799999239999991</v>
      </c>
      <c r="M938" s="2">
        <v>0</v>
      </c>
      <c r="N938" s="2">
        <v>1.7599999900000001</v>
      </c>
      <c r="O938" s="2">
        <v>4.1100001339999999</v>
      </c>
      <c r="P938" s="2">
        <v>2.710000038</v>
      </c>
      <c r="Q938" s="2">
        <v>0</v>
      </c>
      <c r="R938" s="2">
        <v>14</v>
      </c>
      <c r="S938" s="2">
        <v>88</v>
      </c>
      <c r="T938" s="2">
        <v>178</v>
      </c>
      <c r="U938" s="2">
        <f t="shared" si="72"/>
        <v>280</v>
      </c>
      <c r="V938" s="2">
        <v>680</v>
      </c>
      <c r="W938" s="2">
        <v>12312</v>
      </c>
      <c r="X938" s="2">
        <f t="shared" si="73"/>
        <v>12312</v>
      </c>
      <c r="Y938" s="2">
        <v>1618</v>
      </c>
      <c r="Z938" t="str" cm="1">
        <f t="array" ref="Z938">_xlfn.IFS(OR(R938&gt;66, S938&gt;38), "High Engagement", OR(AND(R938&gt;32, R938&lt;=66), AND(S938&gt;19, S938&lt;=38)), "Medium-High Engagement", OR(AND(R938&gt;4, R938&lt;=32), AND(S938&gt;6, S938&lt;=19)),"Medium Engagement", TRUE, "Low Engagement"
)</f>
        <v>High Engagement</v>
      </c>
      <c r="AA938">
        <f t="shared" si="74"/>
        <v>0.13141650422352177</v>
      </c>
    </row>
    <row r="939" spans="1:27" x14ac:dyDescent="0.35">
      <c r="A939" s="2">
        <v>3977333714</v>
      </c>
      <c r="B939" s="2" t="s">
        <v>81</v>
      </c>
      <c r="C939" s="2">
        <f>VLOOKUP(user_activity!A874,users_details!$A$1:$G$34,5,0)</f>
        <v>58</v>
      </c>
      <c r="D939" s="2" t="str" cm="1">
        <f t="array" ref="D939">_xlfn.IFS( AND(C939&gt;=18, C939&lt;=25), "Emerging Adults",  AND(C939&gt;=26, C939&lt;=35),  "Young Adults",  AND(C939&gt;=36, C939&lt;=45),  "Midlife Adults",  AND(C939&gt;=46, C939&lt;=55), "Mature Adults", C939&gt;=56,  "Older Adults", TRUE, "Age Not Mentioned")</f>
        <v>Older Adults</v>
      </c>
      <c r="E939" s="2" t="str">
        <f>VLOOKUP(user_activity!A874,users_details!$A$1:$G$34,6,0)</f>
        <v>East Village, Manhattan</v>
      </c>
      <c r="F939" s="2" t="str">
        <f>VLOOKUP(user_activity!A874,users_details!$A$1:$G$34,7,0)</f>
        <v>East Village</v>
      </c>
      <c r="G939" s="2" t="s">
        <v>72</v>
      </c>
      <c r="H939" s="7">
        <v>42679</v>
      </c>
      <c r="I939" s="9" t="str">
        <f t="shared" si="70"/>
        <v>Saturday</v>
      </c>
      <c r="J939" s="9" t="str">
        <f t="shared" si="71"/>
        <v>November</v>
      </c>
      <c r="K939" s="2">
        <v>0.5</v>
      </c>
      <c r="L939" s="2">
        <v>0.5</v>
      </c>
      <c r="M939" s="2">
        <v>0</v>
      </c>
      <c r="N939" s="2">
        <v>0.37000000500000002</v>
      </c>
      <c r="O939" s="2">
        <v>0</v>
      </c>
      <c r="P939" s="2">
        <v>0.12999999500000001</v>
      </c>
      <c r="Q939" s="2">
        <v>0</v>
      </c>
      <c r="R939" s="2">
        <v>4</v>
      </c>
      <c r="S939" s="2">
        <v>0</v>
      </c>
      <c r="T939" s="2">
        <v>9</v>
      </c>
      <c r="U939" s="2">
        <f t="shared" si="72"/>
        <v>13</v>
      </c>
      <c r="V939" s="2">
        <v>13</v>
      </c>
      <c r="W939" s="2">
        <v>746</v>
      </c>
      <c r="X939" s="2">
        <f t="shared" si="73"/>
        <v>746</v>
      </c>
      <c r="Y939" s="2">
        <v>52</v>
      </c>
      <c r="Z939" t="str" cm="1">
        <f t="array" ref="Z939">_xlfn.IFS(OR(R939&gt;66, S939&gt;38), "High Engagement", OR(AND(R939&gt;32, R939&lt;=66), AND(S939&gt;19, S939&lt;=38)), "Medium-High Engagement", OR(AND(R939&gt;4, R939&lt;=32), AND(S939&gt;6, S939&lt;=19)),"Medium Engagement", TRUE, "Low Engagement"
)</f>
        <v>Low Engagement</v>
      </c>
      <c r="AA939">
        <f t="shared" si="74"/>
        <v>6.9705093833780166E-2</v>
      </c>
    </row>
    <row r="940" spans="1:27" x14ac:dyDescent="0.35">
      <c r="A940" s="2">
        <v>3977333714</v>
      </c>
      <c r="B940" s="2" t="s">
        <v>81</v>
      </c>
      <c r="C940" s="2">
        <f>VLOOKUP(user_activity!A918,users_details!$A$1:$G$34,5,0)</f>
        <v>60</v>
      </c>
      <c r="D940" s="2" t="str" cm="1">
        <f t="array" ref="D940">_xlfn.IFS( AND(C940&gt;=18, C940&lt;=25), "Emerging Adults",  AND(C940&gt;=26, C940&lt;=35),  "Young Adults",  AND(C940&gt;=36, C940&lt;=45),  "Midlife Adults",  AND(C940&gt;=46, C940&lt;=55), "Mature Adults", C940&gt;=56,  "Older Adults", TRUE, "Age Not Mentioned")</f>
        <v>Older Adults</v>
      </c>
      <c r="E940" s="2" t="str">
        <f>VLOOKUP(user_activity!A918,users_details!$A$1:$G$34,6,0)</f>
        <v>East Village, Manhattan</v>
      </c>
      <c r="F940" s="2" t="str">
        <f>VLOOKUP(user_activity!A918,users_details!$A$1:$G$34,7,0)</f>
        <v>East Village</v>
      </c>
      <c r="G940" s="2" t="s">
        <v>72</v>
      </c>
      <c r="H940" s="7">
        <v>42618</v>
      </c>
      <c r="I940" s="9" t="str">
        <f t="shared" si="70"/>
        <v>Monday</v>
      </c>
      <c r="J940" s="9" t="str">
        <f t="shared" si="71"/>
        <v>September</v>
      </c>
      <c r="K940" s="2">
        <v>10.079999920000001</v>
      </c>
      <c r="L940" s="2">
        <v>10.079999920000001</v>
      </c>
      <c r="M940" s="2">
        <v>0</v>
      </c>
      <c r="N940" s="2">
        <v>0.769999981</v>
      </c>
      <c r="O940" s="2">
        <v>5.5999999049999998</v>
      </c>
      <c r="P940" s="2">
        <v>3.5499999519999998</v>
      </c>
      <c r="Q940" s="2">
        <v>0</v>
      </c>
      <c r="R940" s="2">
        <v>8</v>
      </c>
      <c r="S940" s="2">
        <v>122</v>
      </c>
      <c r="T940" s="2">
        <v>151</v>
      </c>
      <c r="U940" s="2">
        <f t="shared" si="72"/>
        <v>281</v>
      </c>
      <c r="V940" s="2">
        <v>1159</v>
      </c>
      <c r="W940" s="2">
        <v>14687</v>
      </c>
      <c r="X940" s="2">
        <f t="shared" si="73"/>
        <v>14687</v>
      </c>
      <c r="Y940" s="2">
        <v>1667</v>
      </c>
      <c r="Z940" t="str" cm="1">
        <f t="array" ref="Z940">_xlfn.IFS(OR(R940&gt;66, S940&gt;38), "High Engagement", OR(AND(R940&gt;32, R940&lt;=66), AND(S940&gt;19, S940&lt;=38)), "Medium-High Engagement", OR(AND(R940&gt;4, R940&lt;=32), AND(S940&gt;6, S940&lt;=19)),"Medium Engagement", TRUE, "Low Engagement"
)</f>
        <v>High Engagement</v>
      </c>
      <c r="AA940">
        <f t="shared" si="74"/>
        <v>0.11350173622931845</v>
      </c>
    </row>
    <row r="941" spans="1:27" x14ac:dyDescent="0.35">
      <c r="A941" s="2">
        <v>3977333714</v>
      </c>
      <c r="B941" s="2" t="s">
        <v>81</v>
      </c>
      <c r="C941" s="2">
        <f>VLOOKUP(user_activity!A929,users_details!$A$1:$G$34,5,0)</f>
        <v>60</v>
      </c>
      <c r="D941" s="2" t="str" cm="1">
        <f t="array" ref="D941">_xlfn.IFS( AND(C941&gt;=18, C941&lt;=25), "Emerging Adults",  AND(C941&gt;=26, C941&lt;=35),  "Young Adults",  AND(C941&gt;=36, C941&lt;=45),  "Midlife Adults",  AND(C941&gt;=46, C941&lt;=55), "Mature Adults", C941&gt;=56,  "Older Adults", TRUE, "Age Not Mentioned")</f>
        <v>Older Adults</v>
      </c>
      <c r="E941" s="2" t="str">
        <f>VLOOKUP(user_activity!A929,users_details!$A$1:$G$34,6,0)</f>
        <v>East Village, Manhattan</v>
      </c>
      <c r="F941" s="2" t="str">
        <f>VLOOKUP(user_activity!A929,users_details!$A$1:$G$34,7,0)</f>
        <v>East Village</v>
      </c>
      <c r="G941" s="2" t="s">
        <v>72</v>
      </c>
      <c r="H941" s="7">
        <v>42486</v>
      </c>
      <c r="I941" s="9" t="str">
        <f t="shared" si="70"/>
        <v>Tuesday</v>
      </c>
      <c r="J941" s="9" t="str">
        <f t="shared" si="71"/>
        <v>April</v>
      </c>
      <c r="K941" s="2">
        <v>7.6199998860000004</v>
      </c>
      <c r="L941" s="2">
        <v>7.6199998860000004</v>
      </c>
      <c r="M941" s="2">
        <v>0</v>
      </c>
      <c r="N941" s="2">
        <v>0.44999998800000002</v>
      </c>
      <c r="O941" s="2">
        <v>4.2199997900000001</v>
      </c>
      <c r="P941" s="2">
        <v>2.9500000480000002</v>
      </c>
      <c r="Q941" s="2">
        <v>0</v>
      </c>
      <c r="R941" s="2">
        <v>7</v>
      </c>
      <c r="S941" s="2">
        <v>95</v>
      </c>
      <c r="T941" s="2">
        <v>170</v>
      </c>
      <c r="U941" s="2">
        <f t="shared" si="72"/>
        <v>272</v>
      </c>
      <c r="V941" s="2">
        <v>797</v>
      </c>
      <c r="W941" s="2">
        <v>11388</v>
      </c>
      <c r="X941" s="2">
        <f t="shared" si="73"/>
        <v>11388</v>
      </c>
      <c r="Y941" s="2">
        <v>1551</v>
      </c>
      <c r="Z941" t="str" cm="1">
        <f t="array" ref="Z941">_xlfn.IFS(OR(R941&gt;66, S941&gt;38), "High Engagement", OR(AND(R941&gt;32, R941&lt;=66), AND(S941&gt;19, S941&lt;=38)), "Medium-High Engagement", OR(AND(R941&gt;4, R941&lt;=32), AND(S941&gt;6, S941&lt;=19)),"Medium Engagement", TRUE, "Low Engagement"
)</f>
        <v>High Engagement</v>
      </c>
      <c r="AA941">
        <f t="shared" si="74"/>
        <v>0.13619599578503688</v>
      </c>
    </row>
  </sheetData>
  <autoFilter ref="A1:Y941" xr:uid="{D8C7A0BA-A9E5-4222-8F26-0DA15A2CF679}">
    <sortState xmlns:xlrd2="http://schemas.microsoft.com/office/spreadsheetml/2017/richdata2" ref="A2:Y941">
      <sortCondition ref="C1:C94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9075E-A688-450D-83C6-A529119B8DA7}">
  <dimension ref="A1:T78"/>
  <sheetViews>
    <sheetView topLeftCell="B1" zoomScale="93" workbookViewId="0">
      <selection sqref="A1:T78"/>
    </sheetView>
  </sheetViews>
  <sheetFormatPr defaultRowHeight="14.5" x14ac:dyDescent="0.35"/>
  <sheetData>
    <row r="1" spans="1:20" x14ac:dyDescent="0.35">
      <c r="A1" t="s">
        <v>0</v>
      </c>
      <c r="B1" t="s">
        <v>69</v>
      </c>
      <c r="C1" t="s">
        <v>3</v>
      </c>
      <c r="D1" t="s">
        <v>4</v>
      </c>
      <c r="E1" t="s">
        <v>5</v>
      </c>
      <c r="F1" t="s">
        <v>70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66</v>
      </c>
      <c r="T1" t="s">
        <v>67</v>
      </c>
    </row>
    <row r="2" spans="1:20" x14ac:dyDescent="0.35">
      <c r="A2">
        <v>1503960366</v>
      </c>
      <c r="B2" t="s">
        <v>82</v>
      </c>
      <c r="C2">
        <v>38</v>
      </c>
      <c r="D2" t="s">
        <v>35</v>
      </c>
      <c r="E2" t="s">
        <v>36</v>
      </c>
      <c r="F2" t="s">
        <v>72</v>
      </c>
      <c r="G2">
        <v>42709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1440</v>
      </c>
      <c r="S2">
        <v>0</v>
      </c>
      <c r="T2">
        <v>0</v>
      </c>
    </row>
    <row r="3" spans="1:20" x14ac:dyDescent="0.35">
      <c r="A3">
        <v>6290855005</v>
      </c>
      <c r="B3" t="s">
        <v>80</v>
      </c>
      <c r="C3">
        <v>30</v>
      </c>
      <c r="D3" t="s">
        <v>29</v>
      </c>
      <c r="E3" t="s">
        <v>30</v>
      </c>
      <c r="F3" t="s">
        <v>72</v>
      </c>
      <c r="G3">
        <v>42483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33</v>
      </c>
      <c r="P3">
        <v>0</v>
      </c>
      <c r="Q3">
        <v>0</v>
      </c>
      <c r="R3">
        <v>1407</v>
      </c>
      <c r="S3">
        <v>0</v>
      </c>
      <c r="T3">
        <v>2664</v>
      </c>
    </row>
    <row r="4" spans="1:20" x14ac:dyDescent="0.35">
      <c r="A4">
        <v>6117666160</v>
      </c>
      <c r="B4" t="s">
        <v>73</v>
      </c>
      <c r="C4">
        <v>53</v>
      </c>
      <c r="D4" t="s">
        <v>8</v>
      </c>
      <c r="E4" t="s">
        <v>9</v>
      </c>
      <c r="F4" t="s">
        <v>71</v>
      </c>
      <c r="G4">
        <v>42473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1440</v>
      </c>
      <c r="S4">
        <v>0</v>
      </c>
      <c r="T4">
        <v>1496</v>
      </c>
    </row>
    <row r="5" spans="1:20" x14ac:dyDescent="0.35">
      <c r="A5">
        <v>6117666160</v>
      </c>
      <c r="B5" t="s">
        <v>73</v>
      </c>
      <c r="C5">
        <v>53</v>
      </c>
      <c r="D5" t="s">
        <v>8</v>
      </c>
      <c r="E5" t="s">
        <v>9</v>
      </c>
      <c r="F5" t="s">
        <v>71</v>
      </c>
      <c r="G5">
        <v>42474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1440</v>
      </c>
      <c r="S5">
        <v>0</v>
      </c>
      <c r="T5">
        <v>1496</v>
      </c>
    </row>
    <row r="6" spans="1:20" x14ac:dyDescent="0.35">
      <c r="A6">
        <v>4020332650</v>
      </c>
      <c r="B6" t="s">
        <v>88</v>
      </c>
      <c r="C6">
        <v>54</v>
      </c>
      <c r="D6" t="s">
        <v>15</v>
      </c>
      <c r="E6" t="s">
        <v>16</v>
      </c>
      <c r="F6" t="s">
        <v>71</v>
      </c>
      <c r="G6">
        <v>42481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1440</v>
      </c>
      <c r="S6">
        <v>0</v>
      </c>
      <c r="T6">
        <v>1980</v>
      </c>
    </row>
    <row r="7" spans="1:20" x14ac:dyDescent="0.35">
      <c r="A7">
        <v>1844505072</v>
      </c>
      <c r="B7" t="s">
        <v>93</v>
      </c>
      <c r="C7">
        <v>53</v>
      </c>
      <c r="D7" t="s">
        <v>19</v>
      </c>
      <c r="E7" t="s">
        <v>20</v>
      </c>
      <c r="F7" t="s">
        <v>72</v>
      </c>
      <c r="G7">
        <v>42648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1440</v>
      </c>
      <c r="S7">
        <v>0</v>
      </c>
      <c r="T7">
        <v>1347</v>
      </c>
    </row>
    <row r="8" spans="1:20" x14ac:dyDescent="0.35">
      <c r="A8">
        <v>1927972279</v>
      </c>
      <c r="B8" t="s">
        <v>75</v>
      </c>
      <c r="C8">
        <v>29</v>
      </c>
      <c r="D8" t="s">
        <v>15</v>
      </c>
      <c r="E8" t="s">
        <v>16</v>
      </c>
      <c r="F8" t="s">
        <v>71</v>
      </c>
      <c r="G8">
        <v>42490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1440</v>
      </c>
      <c r="S8">
        <v>0</v>
      </c>
      <c r="T8">
        <v>2064</v>
      </c>
    </row>
    <row r="9" spans="1:20" x14ac:dyDescent="0.35">
      <c r="A9">
        <v>4020332650</v>
      </c>
      <c r="B9" t="s">
        <v>88</v>
      </c>
      <c r="C9">
        <v>54</v>
      </c>
      <c r="D9" t="s">
        <v>15</v>
      </c>
      <c r="E9" t="s">
        <v>16</v>
      </c>
      <c r="F9" t="s">
        <v>71</v>
      </c>
      <c r="G9">
        <v>42489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1440</v>
      </c>
      <c r="S9">
        <v>0</v>
      </c>
      <c r="T9">
        <v>1980</v>
      </c>
    </row>
    <row r="10" spans="1:20" x14ac:dyDescent="0.35">
      <c r="A10">
        <v>4020332650</v>
      </c>
      <c r="B10" t="s">
        <v>88</v>
      </c>
      <c r="C10">
        <v>54</v>
      </c>
      <c r="D10" t="s">
        <v>15</v>
      </c>
      <c r="E10" t="s">
        <v>16</v>
      </c>
      <c r="F10" t="s">
        <v>71</v>
      </c>
      <c r="G10">
        <v>42483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1440</v>
      </c>
      <c r="S10">
        <v>0</v>
      </c>
      <c r="T10">
        <v>1980</v>
      </c>
    </row>
    <row r="11" spans="1:20" x14ac:dyDescent="0.35">
      <c r="A11">
        <v>6775888955</v>
      </c>
      <c r="B11" t="s">
        <v>76</v>
      </c>
      <c r="C11">
        <v>45</v>
      </c>
      <c r="D11" t="s">
        <v>19</v>
      </c>
      <c r="E11" t="s">
        <v>20</v>
      </c>
      <c r="F11" t="s">
        <v>72</v>
      </c>
      <c r="G11">
        <v>42495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1440</v>
      </c>
      <c r="S11">
        <v>0</v>
      </c>
      <c r="T11">
        <v>1841</v>
      </c>
    </row>
    <row r="12" spans="1:20" x14ac:dyDescent="0.35">
      <c r="A12">
        <v>4020332650</v>
      </c>
      <c r="B12" t="s">
        <v>88</v>
      </c>
      <c r="C12">
        <v>54</v>
      </c>
      <c r="D12" t="s">
        <v>15</v>
      </c>
      <c r="E12" t="s">
        <v>16</v>
      </c>
      <c r="F12" t="s">
        <v>71</v>
      </c>
      <c r="G12">
        <v>42487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1440</v>
      </c>
      <c r="S12">
        <v>0</v>
      </c>
      <c r="T12">
        <v>1980</v>
      </c>
    </row>
    <row r="13" spans="1:20" x14ac:dyDescent="0.35">
      <c r="A13">
        <v>1844505072</v>
      </c>
      <c r="B13" t="s">
        <v>93</v>
      </c>
      <c r="C13">
        <v>53</v>
      </c>
      <c r="D13" t="s">
        <v>19</v>
      </c>
      <c r="E13" t="s">
        <v>20</v>
      </c>
      <c r="F13" t="s">
        <v>72</v>
      </c>
      <c r="G13">
        <v>42587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1440</v>
      </c>
      <c r="S13">
        <v>0</v>
      </c>
      <c r="T13">
        <v>1347</v>
      </c>
    </row>
    <row r="14" spans="1:20" x14ac:dyDescent="0.35">
      <c r="A14">
        <v>8792009665</v>
      </c>
      <c r="B14" t="s">
        <v>73</v>
      </c>
      <c r="C14">
        <v>59</v>
      </c>
      <c r="D14" t="s">
        <v>23</v>
      </c>
      <c r="E14" t="s">
        <v>24</v>
      </c>
      <c r="F14" t="s">
        <v>72</v>
      </c>
      <c r="G14">
        <v>42526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1440</v>
      </c>
      <c r="S14">
        <v>0</v>
      </c>
      <c r="T14">
        <v>1688</v>
      </c>
    </row>
    <row r="15" spans="1:20" x14ac:dyDescent="0.35">
      <c r="A15">
        <v>8583815059</v>
      </c>
      <c r="B15" t="s">
        <v>92</v>
      </c>
      <c r="C15">
        <v>38</v>
      </c>
      <c r="D15" t="s">
        <v>29</v>
      </c>
      <c r="E15" t="s">
        <v>30</v>
      </c>
      <c r="F15" t="s">
        <v>72</v>
      </c>
      <c r="G15">
        <v>42709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1440</v>
      </c>
      <c r="S15">
        <v>0</v>
      </c>
      <c r="T15">
        <v>0</v>
      </c>
    </row>
    <row r="16" spans="1:20" x14ac:dyDescent="0.35">
      <c r="A16">
        <v>4020332650</v>
      </c>
      <c r="B16" t="s">
        <v>88</v>
      </c>
      <c r="C16">
        <v>54</v>
      </c>
      <c r="D16" t="s">
        <v>15</v>
      </c>
      <c r="E16" t="s">
        <v>16</v>
      </c>
      <c r="F16" t="s">
        <v>71</v>
      </c>
      <c r="G16">
        <v>42485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1440</v>
      </c>
      <c r="S16">
        <v>0</v>
      </c>
      <c r="T16">
        <v>1980</v>
      </c>
    </row>
    <row r="17" spans="1:20" x14ac:dyDescent="0.35">
      <c r="A17">
        <v>6290855005</v>
      </c>
      <c r="B17" t="s">
        <v>80</v>
      </c>
      <c r="C17">
        <v>30</v>
      </c>
      <c r="D17" t="s">
        <v>29</v>
      </c>
      <c r="E17" t="s">
        <v>30</v>
      </c>
      <c r="F17" t="s">
        <v>72</v>
      </c>
      <c r="G17">
        <v>42648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1440</v>
      </c>
      <c r="S17">
        <v>0</v>
      </c>
      <c r="T17">
        <v>0</v>
      </c>
    </row>
    <row r="18" spans="1:20" x14ac:dyDescent="0.35">
      <c r="A18">
        <v>4020332650</v>
      </c>
      <c r="B18" t="s">
        <v>88</v>
      </c>
      <c r="C18">
        <v>54</v>
      </c>
      <c r="D18" t="s">
        <v>15</v>
      </c>
      <c r="E18" t="s">
        <v>16</v>
      </c>
      <c r="F18" t="s">
        <v>71</v>
      </c>
      <c r="G18">
        <v>42488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1440</v>
      </c>
      <c r="S18">
        <v>0</v>
      </c>
      <c r="T18">
        <v>1980</v>
      </c>
    </row>
    <row r="19" spans="1:20" x14ac:dyDescent="0.35">
      <c r="A19">
        <v>1927972279</v>
      </c>
      <c r="B19" t="s">
        <v>75</v>
      </c>
      <c r="C19">
        <v>29</v>
      </c>
      <c r="D19" t="s">
        <v>15</v>
      </c>
      <c r="E19" t="s">
        <v>16</v>
      </c>
      <c r="F19" t="s">
        <v>71</v>
      </c>
      <c r="G19">
        <v>42480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1440</v>
      </c>
      <c r="S19">
        <v>0</v>
      </c>
      <c r="T19">
        <v>2063</v>
      </c>
    </row>
    <row r="20" spans="1:20" x14ac:dyDescent="0.35">
      <c r="A20">
        <v>4020332650</v>
      </c>
      <c r="B20" t="s">
        <v>88</v>
      </c>
      <c r="C20">
        <v>54</v>
      </c>
      <c r="D20" t="s">
        <v>15</v>
      </c>
      <c r="E20" t="s">
        <v>16</v>
      </c>
      <c r="F20" t="s">
        <v>71</v>
      </c>
      <c r="G20">
        <v>42374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1440</v>
      </c>
      <c r="S20">
        <v>0</v>
      </c>
      <c r="T20">
        <v>1980</v>
      </c>
    </row>
    <row r="21" spans="1:20" x14ac:dyDescent="0.35">
      <c r="A21">
        <v>6117666160</v>
      </c>
      <c r="B21" t="s">
        <v>73</v>
      </c>
      <c r="C21">
        <v>53</v>
      </c>
      <c r="D21" t="s">
        <v>8</v>
      </c>
      <c r="E21" t="s">
        <v>9</v>
      </c>
      <c r="F21" t="s">
        <v>71</v>
      </c>
      <c r="G21">
        <v>42434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1440</v>
      </c>
      <c r="S21">
        <v>0</v>
      </c>
      <c r="T21">
        <v>1496</v>
      </c>
    </row>
    <row r="22" spans="1:20" x14ac:dyDescent="0.35">
      <c r="A22">
        <v>6117666160</v>
      </c>
      <c r="B22" t="s">
        <v>73</v>
      </c>
      <c r="C22">
        <v>53</v>
      </c>
      <c r="D22" t="s">
        <v>8</v>
      </c>
      <c r="E22" t="s">
        <v>9</v>
      </c>
      <c r="F22" t="s">
        <v>71</v>
      </c>
      <c r="G22">
        <v>42708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1440</v>
      </c>
      <c r="S22">
        <v>0</v>
      </c>
      <c r="T22">
        <v>1496</v>
      </c>
    </row>
    <row r="23" spans="1:20" x14ac:dyDescent="0.35">
      <c r="A23">
        <v>1927972279</v>
      </c>
      <c r="B23" t="s">
        <v>75</v>
      </c>
      <c r="C23">
        <v>29</v>
      </c>
      <c r="D23" t="s">
        <v>15</v>
      </c>
      <c r="E23" t="s">
        <v>16</v>
      </c>
      <c r="F23" t="s">
        <v>71</v>
      </c>
      <c r="G23">
        <v>42489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1440</v>
      </c>
      <c r="S23">
        <v>0</v>
      </c>
      <c r="T23">
        <v>2063</v>
      </c>
    </row>
    <row r="24" spans="1:20" x14ac:dyDescent="0.35">
      <c r="A24">
        <v>1927972279</v>
      </c>
      <c r="B24" t="s">
        <v>75</v>
      </c>
      <c r="C24">
        <v>29</v>
      </c>
      <c r="D24" t="s">
        <v>15</v>
      </c>
      <c r="E24" t="s">
        <v>16</v>
      </c>
      <c r="F24" t="s">
        <v>71</v>
      </c>
      <c r="G24">
        <v>42481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1440</v>
      </c>
      <c r="S24">
        <v>0</v>
      </c>
      <c r="T24">
        <v>2064</v>
      </c>
    </row>
    <row r="25" spans="1:20" x14ac:dyDescent="0.35">
      <c r="A25">
        <v>8253242879</v>
      </c>
      <c r="B25" t="s">
        <v>84</v>
      </c>
      <c r="C25">
        <v>22</v>
      </c>
      <c r="D25" t="s">
        <v>39</v>
      </c>
      <c r="E25" t="s">
        <v>40</v>
      </c>
      <c r="F25" t="s">
        <v>72</v>
      </c>
      <c r="G25">
        <v>42490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1440</v>
      </c>
      <c r="S25">
        <v>0</v>
      </c>
      <c r="T25">
        <v>0</v>
      </c>
    </row>
    <row r="26" spans="1:20" x14ac:dyDescent="0.35">
      <c r="A26">
        <v>5577150313</v>
      </c>
      <c r="B26" t="s">
        <v>91</v>
      </c>
      <c r="C26">
        <v>33</v>
      </c>
      <c r="D26" t="s">
        <v>19</v>
      </c>
      <c r="E26" t="s">
        <v>20</v>
      </c>
      <c r="F26" t="s">
        <v>72</v>
      </c>
      <c r="G26">
        <v>42587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1440</v>
      </c>
      <c r="S26">
        <v>0</v>
      </c>
      <c r="T26">
        <v>1819</v>
      </c>
    </row>
    <row r="27" spans="1:20" x14ac:dyDescent="0.35">
      <c r="A27">
        <v>4020332650</v>
      </c>
      <c r="B27" t="s">
        <v>88</v>
      </c>
      <c r="C27">
        <v>54</v>
      </c>
      <c r="D27" t="s">
        <v>15</v>
      </c>
      <c r="E27" t="s">
        <v>16</v>
      </c>
      <c r="F27" t="s">
        <v>71</v>
      </c>
      <c r="G27">
        <v>42486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1440</v>
      </c>
      <c r="S27">
        <v>0</v>
      </c>
      <c r="T27">
        <v>1980</v>
      </c>
    </row>
    <row r="28" spans="1:20" x14ac:dyDescent="0.35">
      <c r="A28">
        <v>4020332650</v>
      </c>
      <c r="B28" t="s">
        <v>88</v>
      </c>
      <c r="C28">
        <v>54</v>
      </c>
      <c r="D28" t="s">
        <v>15</v>
      </c>
      <c r="E28" t="s">
        <v>16</v>
      </c>
      <c r="F28" t="s">
        <v>71</v>
      </c>
      <c r="G28">
        <v>42480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1440</v>
      </c>
      <c r="S28">
        <v>0</v>
      </c>
      <c r="T28">
        <v>1980</v>
      </c>
    </row>
    <row r="29" spans="1:20" x14ac:dyDescent="0.35">
      <c r="A29">
        <v>1844505072</v>
      </c>
      <c r="B29" t="s">
        <v>93</v>
      </c>
      <c r="C29">
        <v>53</v>
      </c>
      <c r="D29" t="s">
        <v>19</v>
      </c>
      <c r="E29" t="s">
        <v>20</v>
      </c>
      <c r="F29" t="s">
        <v>72</v>
      </c>
      <c r="G29">
        <v>42484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1440</v>
      </c>
      <c r="S29">
        <v>0</v>
      </c>
      <c r="T29">
        <v>1347</v>
      </c>
    </row>
    <row r="30" spans="1:20" x14ac:dyDescent="0.35">
      <c r="A30">
        <v>6290855005</v>
      </c>
      <c r="B30" t="s">
        <v>80</v>
      </c>
      <c r="C30">
        <v>30</v>
      </c>
      <c r="D30" t="s">
        <v>29</v>
      </c>
      <c r="E30" t="s">
        <v>30</v>
      </c>
      <c r="F30" t="s">
        <v>72</v>
      </c>
      <c r="G30">
        <v>42481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1440</v>
      </c>
      <c r="S30">
        <v>0</v>
      </c>
      <c r="T30">
        <v>2060</v>
      </c>
    </row>
    <row r="31" spans="1:20" x14ac:dyDescent="0.35">
      <c r="A31">
        <v>8792009665</v>
      </c>
      <c r="B31" t="s">
        <v>73</v>
      </c>
      <c r="C31">
        <v>59</v>
      </c>
      <c r="D31" t="s">
        <v>23</v>
      </c>
      <c r="E31" t="s">
        <v>24</v>
      </c>
      <c r="F31" t="s">
        <v>72</v>
      </c>
      <c r="G31">
        <v>42479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1440</v>
      </c>
      <c r="S31">
        <v>0</v>
      </c>
      <c r="T31">
        <v>1688</v>
      </c>
    </row>
    <row r="32" spans="1:20" x14ac:dyDescent="0.35">
      <c r="A32">
        <v>6775888955</v>
      </c>
      <c r="B32" t="s">
        <v>76</v>
      </c>
      <c r="C32">
        <v>45</v>
      </c>
      <c r="D32" t="s">
        <v>19</v>
      </c>
      <c r="E32" t="s">
        <v>20</v>
      </c>
      <c r="F32" t="s">
        <v>72</v>
      </c>
      <c r="G32">
        <v>42487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1440</v>
      </c>
      <c r="S32">
        <v>0</v>
      </c>
      <c r="T32">
        <v>1841</v>
      </c>
    </row>
    <row r="33" spans="1:20" x14ac:dyDescent="0.35">
      <c r="A33">
        <v>4020332650</v>
      </c>
      <c r="B33" t="s">
        <v>88</v>
      </c>
      <c r="C33">
        <v>54</v>
      </c>
      <c r="D33" t="s">
        <v>15</v>
      </c>
      <c r="E33" t="s">
        <v>16</v>
      </c>
      <c r="F33" t="s">
        <v>71</v>
      </c>
      <c r="G33">
        <v>42482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1440</v>
      </c>
      <c r="S33">
        <v>0</v>
      </c>
      <c r="T33">
        <v>1980</v>
      </c>
    </row>
    <row r="34" spans="1:20" x14ac:dyDescent="0.35">
      <c r="A34">
        <v>1927972279</v>
      </c>
      <c r="B34" t="s">
        <v>75</v>
      </c>
      <c r="C34">
        <v>29</v>
      </c>
      <c r="D34" t="s">
        <v>15</v>
      </c>
      <c r="E34" t="s">
        <v>16</v>
      </c>
      <c r="F34" t="s">
        <v>71</v>
      </c>
      <c r="G34">
        <v>42709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966</v>
      </c>
      <c r="S34">
        <v>0</v>
      </c>
      <c r="T34">
        <v>1383</v>
      </c>
    </row>
    <row r="35" spans="1:20" x14ac:dyDescent="0.35">
      <c r="A35">
        <v>8792009665</v>
      </c>
      <c r="B35" t="s">
        <v>73</v>
      </c>
      <c r="C35">
        <v>59</v>
      </c>
      <c r="D35" t="s">
        <v>23</v>
      </c>
      <c r="E35" t="s">
        <v>24</v>
      </c>
      <c r="F35" t="s">
        <v>72</v>
      </c>
      <c r="G35">
        <v>42485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1440</v>
      </c>
      <c r="S35">
        <v>0</v>
      </c>
      <c r="T35">
        <v>1688</v>
      </c>
    </row>
    <row r="36" spans="1:20" x14ac:dyDescent="0.35">
      <c r="A36">
        <v>1844505072</v>
      </c>
      <c r="B36" t="s">
        <v>93</v>
      </c>
      <c r="C36">
        <v>53</v>
      </c>
      <c r="D36" t="s">
        <v>19</v>
      </c>
      <c r="E36" t="s">
        <v>20</v>
      </c>
      <c r="F36" t="s">
        <v>72</v>
      </c>
      <c r="G36">
        <v>42556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1440</v>
      </c>
      <c r="S36">
        <v>0</v>
      </c>
      <c r="T36">
        <v>1347</v>
      </c>
    </row>
    <row r="37" spans="1:20" x14ac:dyDescent="0.35">
      <c r="A37">
        <v>8792009665</v>
      </c>
      <c r="B37" t="s">
        <v>73</v>
      </c>
      <c r="C37">
        <v>59</v>
      </c>
      <c r="D37" t="s">
        <v>23</v>
      </c>
      <c r="E37" t="s">
        <v>24</v>
      </c>
      <c r="F37" t="s">
        <v>72</v>
      </c>
      <c r="G37">
        <v>42618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1440</v>
      </c>
      <c r="S37">
        <v>0</v>
      </c>
      <c r="T37">
        <v>1688</v>
      </c>
    </row>
    <row r="38" spans="1:20" x14ac:dyDescent="0.35">
      <c r="A38">
        <v>1927972279</v>
      </c>
      <c r="B38" t="s">
        <v>75</v>
      </c>
      <c r="C38">
        <v>29</v>
      </c>
      <c r="D38" t="s">
        <v>15</v>
      </c>
      <c r="E38" t="s">
        <v>16</v>
      </c>
      <c r="F38" t="s">
        <v>71</v>
      </c>
      <c r="G38">
        <v>42587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1440</v>
      </c>
      <c r="S38">
        <v>0</v>
      </c>
      <c r="T38">
        <v>2063</v>
      </c>
    </row>
    <row r="39" spans="1:20" x14ac:dyDescent="0.35">
      <c r="A39">
        <v>4020332650</v>
      </c>
      <c r="B39" t="s">
        <v>88</v>
      </c>
      <c r="C39">
        <v>54</v>
      </c>
      <c r="D39" t="s">
        <v>15</v>
      </c>
      <c r="E39" t="s">
        <v>16</v>
      </c>
      <c r="F39" t="s">
        <v>71</v>
      </c>
      <c r="G39">
        <v>42479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1440</v>
      </c>
      <c r="S39">
        <v>0</v>
      </c>
      <c r="T39">
        <v>1980</v>
      </c>
    </row>
    <row r="40" spans="1:20" x14ac:dyDescent="0.35">
      <c r="A40">
        <v>1927972279</v>
      </c>
      <c r="B40" t="s">
        <v>75</v>
      </c>
      <c r="C40">
        <v>29</v>
      </c>
      <c r="D40" t="s">
        <v>15</v>
      </c>
      <c r="E40" t="s">
        <v>16</v>
      </c>
      <c r="F40" t="s">
        <v>71</v>
      </c>
      <c r="G40">
        <v>42476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1440</v>
      </c>
      <c r="S40">
        <v>0</v>
      </c>
      <c r="T40">
        <v>2064</v>
      </c>
    </row>
    <row r="41" spans="1:20" x14ac:dyDescent="0.35">
      <c r="A41">
        <v>8792009665</v>
      </c>
      <c r="B41" t="s">
        <v>73</v>
      </c>
      <c r="C41">
        <v>59</v>
      </c>
      <c r="D41" t="s">
        <v>23</v>
      </c>
      <c r="E41" t="s">
        <v>24</v>
      </c>
      <c r="F41" t="s">
        <v>72</v>
      </c>
      <c r="G41">
        <v>42556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1440</v>
      </c>
      <c r="S41">
        <v>0</v>
      </c>
      <c r="T41">
        <v>1688</v>
      </c>
    </row>
    <row r="42" spans="1:20" x14ac:dyDescent="0.35">
      <c r="A42">
        <v>4020332650</v>
      </c>
      <c r="B42" t="s">
        <v>88</v>
      </c>
      <c r="C42">
        <v>54</v>
      </c>
      <c r="D42" t="s">
        <v>15</v>
      </c>
      <c r="E42" t="s">
        <v>16</v>
      </c>
      <c r="F42" t="s">
        <v>71</v>
      </c>
      <c r="G42">
        <v>42490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1440</v>
      </c>
      <c r="S42">
        <v>0</v>
      </c>
      <c r="T42">
        <v>1980</v>
      </c>
    </row>
    <row r="43" spans="1:20" x14ac:dyDescent="0.35">
      <c r="A43">
        <v>8792009665</v>
      </c>
      <c r="B43" t="s">
        <v>73</v>
      </c>
      <c r="C43">
        <v>59</v>
      </c>
      <c r="D43" t="s">
        <v>23</v>
      </c>
      <c r="E43" t="s">
        <v>24</v>
      </c>
      <c r="F43" t="s">
        <v>72</v>
      </c>
      <c r="G43">
        <v>42587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1440</v>
      </c>
      <c r="S43">
        <v>0</v>
      </c>
      <c r="T43">
        <v>1688</v>
      </c>
    </row>
    <row r="44" spans="1:20" x14ac:dyDescent="0.35">
      <c r="A44">
        <v>8792009665</v>
      </c>
      <c r="B44" t="s">
        <v>73</v>
      </c>
      <c r="C44">
        <v>59</v>
      </c>
      <c r="D44" t="s">
        <v>23</v>
      </c>
      <c r="E44" t="s">
        <v>24</v>
      </c>
      <c r="F44" t="s">
        <v>72</v>
      </c>
      <c r="G44">
        <v>42648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48</v>
      </c>
      <c r="S44">
        <v>0</v>
      </c>
      <c r="T44">
        <v>57</v>
      </c>
    </row>
    <row r="45" spans="1:20" x14ac:dyDescent="0.35">
      <c r="A45">
        <v>1927972279</v>
      </c>
      <c r="B45" t="s">
        <v>75</v>
      </c>
      <c r="C45">
        <v>29</v>
      </c>
      <c r="D45" t="s">
        <v>15</v>
      </c>
      <c r="E45" t="s">
        <v>16</v>
      </c>
      <c r="F45" t="s">
        <v>71</v>
      </c>
      <c r="G45">
        <v>42679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1440</v>
      </c>
      <c r="S45">
        <v>0</v>
      </c>
      <c r="T45">
        <v>2063</v>
      </c>
    </row>
    <row r="46" spans="1:20" x14ac:dyDescent="0.35">
      <c r="A46">
        <v>1844505072</v>
      </c>
      <c r="B46" t="s">
        <v>93</v>
      </c>
      <c r="C46">
        <v>53</v>
      </c>
      <c r="D46" t="s">
        <v>19</v>
      </c>
      <c r="E46" t="s">
        <v>20</v>
      </c>
      <c r="F46" t="s">
        <v>72</v>
      </c>
      <c r="G46">
        <v>42618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1440</v>
      </c>
      <c r="S46">
        <v>0</v>
      </c>
      <c r="T46">
        <v>1347</v>
      </c>
    </row>
    <row r="47" spans="1:20" x14ac:dyDescent="0.35">
      <c r="A47">
        <v>1927972279</v>
      </c>
      <c r="B47" t="s">
        <v>75</v>
      </c>
      <c r="C47">
        <v>29</v>
      </c>
      <c r="D47" t="s">
        <v>15</v>
      </c>
      <c r="E47" t="s">
        <v>16</v>
      </c>
      <c r="F47" t="s">
        <v>71</v>
      </c>
      <c r="G47">
        <v>42648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1440</v>
      </c>
      <c r="S47">
        <v>0</v>
      </c>
      <c r="T47">
        <v>2063</v>
      </c>
    </row>
    <row r="48" spans="1:20" x14ac:dyDescent="0.35">
      <c r="A48">
        <v>8792009665</v>
      </c>
      <c r="B48" t="s">
        <v>73</v>
      </c>
      <c r="C48">
        <v>59</v>
      </c>
      <c r="D48" t="s">
        <v>23</v>
      </c>
      <c r="E48" t="s">
        <v>24</v>
      </c>
      <c r="F48" t="s">
        <v>72</v>
      </c>
      <c r="G48">
        <v>42478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1440</v>
      </c>
      <c r="S48">
        <v>0</v>
      </c>
      <c r="T48">
        <v>1688</v>
      </c>
    </row>
    <row r="49" spans="1:20" x14ac:dyDescent="0.35">
      <c r="A49">
        <v>6775888955</v>
      </c>
      <c r="B49" t="s">
        <v>76</v>
      </c>
      <c r="C49">
        <v>45</v>
      </c>
      <c r="D49" t="s">
        <v>19</v>
      </c>
      <c r="E49" t="s">
        <v>20</v>
      </c>
      <c r="F49" t="s">
        <v>72</v>
      </c>
      <c r="G49">
        <v>42483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1440</v>
      </c>
      <c r="S49">
        <v>0</v>
      </c>
      <c r="T49">
        <v>1841</v>
      </c>
    </row>
    <row r="50" spans="1:20" x14ac:dyDescent="0.35">
      <c r="A50">
        <v>6117666160</v>
      </c>
      <c r="B50" t="s">
        <v>73</v>
      </c>
      <c r="C50">
        <v>53</v>
      </c>
      <c r="D50" t="s">
        <v>8</v>
      </c>
      <c r="E50" t="s">
        <v>9</v>
      </c>
      <c r="F50" t="s">
        <v>71</v>
      </c>
      <c r="G50">
        <v>42485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1440</v>
      </c>
      <c r="S50">
        <v>0</v>
      </c>
      <c r="T50">
        <v>1497</v>
      </c>
    </row>
    <row r="51" spans="1:20" x14ac:dyDescent="0.35">
      <c r="A51">
        <v>1927972279</v>
      </c>
      <c r="B51" t="s">
        <v>75</v>
      </c>
      <c r="C51">
        <v>29</v>
      </c>
      <c r="D51" t="s">
        <v>15</v>
      </c>
      <c r="E51" t="s">
        <v>16</v>
      </c>
      <c r="F51" t="s">
        <v>71</v>
      </c>
      <c r="G51">
        <v>42618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1440</v>
      </c>
      <c r="S51">
        <v>0</v>
      </c>
      <c r="T51">
        <v>2063</v>
      </c>
    </row>
    <row r="52" spans="1:20" x14ac:dyDescent="0.35">
      <c r="A52">
        <v>1927972279</v>
      </c>
      <c r="B52" t="s">
        <v>75</v>
      </c>
      <c r="C52">
        <v>29</v>
      </c>
      <c r="D52" t="s">
        <v>15</v>
      </c>
      <c r="E52" t="s">
        <v>16</v>
      </c>
      <c r="F52" t="s">
        <v>71</v>
      </c>
      <c r="G52">
        <v>42495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1440</v>
      </c>
      <c r="S52">
        <v>0</v>
      </c>
      <c r="T52">
        <v>2063</v>
      </c>
    </row>
    <row r="53" spans="1:20" x14ac:dyDescent="0.35">
      <c r="A53">
        <v>1844505072</v>
      </c>
      <c r="B53" t="s">
        <v>93</v>
      </c>
      <c r="C53">
        <v>53</v>
      </c>
      <c r="D53" t="s">
        <v>19</v>
      </c>
      <c r="E53" t="s">
        <v>20</v>
      </c>
      <c r="F53" t="s">
        <v>72</v>
      </c>
      <c r="G53">
        <v>42709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711</v>
      </c>
      <c r="S53">
        <v>0</v>
      </c>
      <c r="T53">
        <v>665</v>
      </c>
    </row>
    <row r="54" spans="1:20" x14ac:dyDescent="0.35">
      <c r="A54">
        <v>7007744171</v>
      </c>
      <c r="B54" t="s">
        <v>95</v>
      </c>
      <c r="C54">
        <v>33</v>
      </c>
      <c r="D54" t="s">
        <v>25</v>
      </c>
      <c r="E54" t="s">
        <v>26</v>
      </c>
      <c r="F54" t="s">
        <v>71</v>
      </c>
      <c r="G54">
        <v>42556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111</v>
      </c>
      <c r="S54">
        <v>0</v>
      </c>
      <c r="T54">
        <v>120</v>
      </c>
    </row>
    <row r="55" spans="1:20" x14ac:dyDescent="0.35">
      <c r="A55">
        <v>8792009665</v>
      </c>
      <c r="B55" t="s">
        <v>73</v>
      </c>
      <c r="C55">
        <v>59</v>
      </c>
      <c r="D55" t="s">
        <v>23</v>
      </c>
      <c r="E55" t="s">
        <v>24</v>
      </c>
      <c r="F55" t="s">
        <v>72</v>
      </c>
      <c r="G55">
        <v>42495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1440</v>
      </c>
      <c r="S55">
        <v>0</v>
      </c>
      <c r="T55">
        <v>1688</v>
      </c>
    </row>
    <row r="56" spans="1:20" x14ac:dyDescent="0.35">
      <c r="A56">
        <v>1844505072</v>
      </c>
      <c r="B56" t="s">
        <v>93</v>
      </c>
      <c r="C56">
        <v>53</v>
      </c>
      <c r="D56" t="s">
        <v>19</v>
      </c>
      <c r="E56" t="s">
        <v>20</v>
      </c>
      <c r="F56" t="s">
        <v>72</v>
      </c>
      <c r="G56">
        <v>42405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1440</v>
      </c>
      <c r="S56">
        <v>0</v>
      </c>
      <c r="T56">
        <v>1348</v>
      </c>
    </row>
    <row r="57" spans="1:20" x14ac:dyDescent="0.35">
      <c r="A57">
        <v>6775888955</v>
      </c>
      <c r="B57" t="s">
        <v>76</v>
      </c>
      <c r="C57">
        <v>45</v>
      </c>
      <c r="D57" t="s">
        <v>19</v>
      </c>
      <c r="E57" t="s">
        <v>20</v>
      </c>
      <c r="F57" t="s">
        <v>72</v>
      </c>
      <c r="G57">
        <v>42489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1440</v>
      </c>
      <c r="S57">
        <v>0</v>
      </c>
      <c r="T57">
        <v>1841</v>
      </c>
    </row>
    <row r="58" spans="1:20" x14ac:dyDescent="0.35">
      <c r="A58">
        <v>6775888955</v>
      </c>
      <c r="B58" t="s">
        <v>76</v>
      </c>
      <c r="C58">
        <v>45</v>
      </c>
      <c r="D58" t="s">
        <v>19</v>
      </c>
      <c r="E58" t="s">
        <v>20</v>
      </c>
      <c r="F58" t="s">
        <v>72</v>
      </c>
      <c r="G58">
        <v>42465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1440</v>
      </c>
      <c r="S58">
        <v>0</v>
      </c>
      <c r="T58">
        <v>1841</v>
      </c>
    </row>
    <row r="59" spans="1:20" x14ac:dyDescent="0.35">
      <c r="A59">
        <v>4020332650</v>
      </c>
      <c r="B59" t="s">
        <v>88</v>
      </c>
      <c r="C59">
        <v>54</v>
      </c>
      <c r="D59" t="s">
        <v>15</v>
      </c>
      <c r="E59" t="s">
        <v>16</v>
      </c>
      <c r="F59" t="s">
        <v>71</v>
      </c>
      <c r="G59">
        <v>42484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1440</v>
      </c>
      <c r="S59">
        <v>0</v>
      </c>
      <c r="T59">
        <v>1980</v>
      </c>
    </row>
    <row r="60" spans="1:20" x14ac:dyDescent="0.35">
      <c r="A60">
        <v>4020332650</v>
      </c>
      <c r="B60" t="s">
        <v>88</v>
      </c>
      <c r="C60">
        <v>54</v>
      </c>
      <c r="D60" t="s">
        <v>15</v>
      </c>
      <c r="E60" t="s">
        <v>16</v>
      </c>
      <c r="F60" t="s">
        <v>71</v>
      </c>
      <c r="G60">
        <v>42473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1440</v>
      </c>
      <c r="S60">
        <v>0</v>
      </c>
      <c r="T60">
        <v>1981</v>
      </c>
    </row>
    <row r="61" spans="1:20" x14ac:dyDescent="0.35">
      <c r="A61">
        <v>6290855005</v>
      </c>
      <c r="B61" t="s">
        <v>80</v>
      </c>
      <c r="C61">
        <v>30</v>
      </c>
      <c r="D61" t="s">
        <v>29</v>
      </c>
      <c r="E61" t="s">
        <v>30</v>
      </c>
      <c r="F61" t="s">
        <v>72</v>
      </c>
      <c r="G61">
        <v>42486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1440</v>
      </c>
      <c r="S61">
        <v>0</v>
      </c>
      <c r="T61">
        <v>2060</v>
      </c>
    </row>
    <row r="62" spans="1:20" x14ac:dyDescent="0.35">
      <c r="A62">
        <v>4702921684</v>
      </c>
      <c r="B62" t="s">
        <v>94</v>
      </c>
      <c r="C62">
        <v>41</v>
      </c>
      <c r="D62" t="s">
        <v>35</v>
      </c>
      <c r="E62" t="s">
        <v>36</v>
      </c>
      <c r="F62" t="s">
        <v>72</v>
      </c>
      <c r="G62">
        <v>42374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1440</v>
      </c>
      <c r="S62">
        <v>0</v>
      </c>
      <c r="T62">
        <v>2017</v>
      </c>
    </row>
    <row r="63" spans="1:20" x14ac:dyDescent="0.35">
      <c r="A63">
        <v>6775888955</v>
      </c>
      <c r="B63" t="s">
        <v>76</v>
      </c>
      <c r="C63">
        <v>45</v>
      </c>
      <c r="D63" t="s">
        <v>19</v>
      </c>
      <c r="E63" t="s">
        <v>20</v>
      </c>
      <c r="F63" t="s">
        <v>72</v>
      </c>
      <c r="G63">
        <v>42708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1440</v>
      </c>
      <c r="S63">
        <v>0</v>
      </c>
      <c r="T63">
        <v>1841</v>
      </c>
    </row>
    <row r="64" spans="1:20" x14ac:dyDescent="0.35">
      <c r="A64">
        <v>8792009665</v>
      </c>
      <c r="B64" t="s">
        <v>73</v>
      </c>
      <c r="C64">
        <v>59</v>
      </c>
      <c r="D64" t="s">
        <v>23</v>
      </c>
      <c r="E64" t="s">
        <v>24</v>
      </c>
      <c r="F64" t="s">
        <v>72</v>
      </c>
      <c r="G64">
        <v>42477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1440</v>
      </c>
      <c r="S64">
        <v>0</v>
      </c>
      <c r="T64">
        <v>1688</v>
      </c>
    </row>
    <row r="65" spans="1:20" x14ac:dyDescent="0.35">
      <c r="A65">
        <v>7007744171</v>
      </c>
      <c r="B65" t="s">
        <v>95</v>
      </c>
      <c r="C65">
        <v>33</v>
      </c>
      <c r="D65" t="s">
        <v>25</v>
      </c>
      <c r="E65" t="s">
        <v>26</v>
      </c>
      <c r="F65" t="s">
        <v>71</v>
      </c>
      <c r="G65">
        <v>42465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1440</v>
      </c>
      <c r="S65">
        <v>0</v>
      </c>
      <c r="T65">
        <v>1557</v>
      </c>
    </row>
    <row r="66" spans="1:20" x14ac:dyDescent="0.35">
      <c r="A66">
        <v>7086361926</v>
      </c>
      <c r="B66" t="s">
        <v>96</v>
      </c>
      <c r="C66">
        <v>31</v>
      </c>
      <c r="D66" t="s">
        <v>29</v>
      </c>
      <c r="E66" t="s">
        <v>30</v>
      </c>
      <c r="F66" t="s">
        <v>72</v>
      </c>
      <c r="G66">
        <v>42477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1440</v>
      </c>
      <c r="S66">
        <v>0</v>
      </c>
      <c r="T66">
        <v>1629</v>
      </c>
    </row>
    <row r="67" spans="1:20" x14ac:dyDescent="0.35">
      <c r="A67">
        <v>6290855005</v>
      </c>
      <c r="B67" t="s">
        <v>80</v>
      </c>
      <c r="C67">
        <v>30</v>
      </c>
      <c r="D67" t="s">
        <v>29</v>
      </c>
      <c r="E67" t="s">
        <v>30</v>
      </c>
      <c r="F67" t="s">
        <v>72</v>
      </c>
      <c r="G67">
        <v>42489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1440</v>
      </c>
      <c r="S67">
        <v>0</v>
      </c>
      <c r="T67">
        <v>2060</v>
      </c>
    </row>
    <row r="68" spans="1:20" x14ac:dyDescent="0.35">
      <c r="A68">
        <v>6775888955</v>
      </c>
      <c r="B68" t="s">
        <v>76</v>
      </c>
      <c r="C68">
        <v>45</v>
      </c>
      <c r="D68" t="s">
        <v>19</v>
      </c>
      <c r="E68" t="s">
        <v>20</v>
      </c>
      <c r="F68" t="s">
        <v>72</v>
      </c>
      <c r="G68">
        <v>42405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1440</v>
      </c>
      <c r="S68">
        <v>0</v>
      </c>
      <c r="T68">
        <v>1841</v>
      </c>
    </row>
    <row r="69" spans="1:20" x14ac:dyDescent="0.35">
      <c r="A69">
        <v>5577150313</v>
      </c>
      <c r="B69" t="s">
        <v>91</v>
      </c>
      <c r="C69">
        <v>33</v>
      </c>
      <c r="D69" t="s">
        <v>19</v>
      </c>
      <c r="E69" t="s">
        <v>20</v>
      </c>
      <c r="F69" t="s">
        <v>72</v>
      </c>
      <c r="G69">
        <v>42556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1440</v>
      </c>
      <c r="S69">
        <v>0</v>
      </c>
      <c r="T69">
        <v>1819</v>
      </c>
    </row>
    <row r="70" spans="1:20" x14ac:dyDescent="0.35">
      <c r="A70">
        <v>1927972279</v>
      </c>
      <c r="B70" t="s">
        <v>75</v>
      </c>
      <c r="C70">
        <v>29</v>
      </c>
      <c r="D70" t="s">
        <v>15</v>
      </c>
      <c r="E70" t="s">
        <v>16</v>
      </c>
      <c r="F70" t="s">
        <v>71</v>
      </c>
      <c r="G70">
        <v>42487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1440</v>
      </c>
      <c r="S70">
        <v>0</v>
      </c>
      <c r="T70">
        <v>2063</v>
      </c>
    </row>
    <row r="71" spans="1:20" x14ac:dyDescent="0.35">
      <c r="A71">
        <v>1927972279</v>
      </c>
      <c r="B71" t="s">
        <v>75</v>
      </c>
      <c r="C71">
        <v>29</v>
      </c>
      <c r="D71" t="s">
        <v>15</v>
      </c>
      <c r="E71" t="s">
        <v>16</v>
      </c>
      <c r="F71" t="s">
        <v>71</v>
      </c>
      <c r="G71">
        <v>42477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1440</v>
      </c>
      <c r="S71">
        <v>0</v>
      </c>
      <c r="T71">
        <v>2063</v>
      </c>
    </row>
    <row r="72" spans="1:20" x14ac:dyDescent="0.35">
      <c r="A72">
        <v>4057192912</v>
      </c>
      <c r="B72" t="s">
        <v>99</v>
      </c>
      <c r="C72">
        <v>53</v>
      </c>
      <c r="D72" t="s">
        <v>19</v>
      </c>
      <c r="E72" t="s">
        <v>20</v>
      </c>
      <c r="F72" t="s">
        <v>72</v>
      </c>
      <c r="G72">
        <v>42474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1440</v>
      </c>
      <c r="S72">
        <v>0</v>
      </c>
      <c r="T72">
        <v>1776</v>
      </c>
    </row>
    <row r="73" spans="1:20" x14ac:dyDescent="0.35">
      <c r="A73">
        <v>1844505072</v>
      </c>
      <c r="B73" t="s">
        <v>93</v>
      </c>
      <c r="C73">
        <v>53</v>
      </c>
      <c r="D73" t="s">
        <v>19</v>
      </c>
      <c r="E73" t="s">
        <v>20</v>
      </c>
      <c r="F73" t="s">
        <v>72</v>
      </c>
      <c r="G73">
        <v>42485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1440</v>
      </c>
      <c r="S73">
        <v>0</v>
      </c>
      <c r="T73">
        <v>1347</v>
      </c>
    </row>
    <row r="74" spans="1:20" x14ac:dyDescent="0.35">
      <c r="A74">
        <v>6775888955</v>
      </c>
      <c r="B74" t="s">
        <v>76</v>
      </c>
      <c r="C74">
        <v>45</v>
      </c>
      <c r="D74" t="s">
        <v>19</v>
      </c>
      <c r="E74" t="s">
        <v>20</v>
      </c>
      <c r="F74" t="s">
        <v>72</v>
      </c>
      <c r="G74">
        <v>42479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1440</v>
      </c>
      <c r="S74">
        <v>0</v>
      </c>
      <c r="T74">
        <v>1841</v>
      </c>
    </row>
    <row r="75" spans="1:20" x14ac:dyDescent="0.35">
      <c r="A75">
        <v>1927972279</v>
      </c>
      <c r="B75" t="s">
        <v>75</v>
      </c>
      <c r="C75">
        <v>29</v>
      </c>
      <c r="D75" t="s">
        <v>15</v>
      </c>
      <c r="E75" t="s">
        <v>16</v>
      </c>
      <c r="F75" t="s">
        <v>71</v>
      </c>
      <c r="G75">
        <v>42479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1440</v>
      </c>
      <c r="S75">
        <v>0</v>
      </c>
      <c r="T75">
        <v>2063</v>
      </c>
    </row>
    <row r="76" spans="1:20" x14ac:dyDescent="0.35">
      <c r="A76">
        <v>6775888955</v>
      </c>
      <c r="B76" t="s">
        <v>76</v>
      </c>
      <c r="C76">
        <v>45</v>
      </c>
      <c r="D76" t="s">
        <v>19</v>
      </c>
      <c r="E76" t="s">
        <v>20</v>
      </c>
      <c r="F76" t="s">
        <v>72</v>
      </c>
      <c r="G76">
        <v>42481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1440</v>
      </c>
      <c r="S76">
        <v>0</v>
      </c>
      <c r="T76">
        <v>1841</v>
      </c>
    </row>
    <row r="77" spans="1:20" x14ac:dyDescent="0.35">
      <c r="A77">
        <v>1844505072</v>
      </c>
      <c r="B77" t="s">
        <v>93</v>
      </c>
      <c r="C77">
        <v>53</v>
      </c>
      <c r="D77" t="s">
        <v>19</v>
      </c>
      <c r="E77" t="s">
        <v>20</v>
      </c>
      <c r="F77" t="s">
        <v>72</v>
      </c>
      <c r="G77">
        <v>42679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1440</v>
      </c>
      <c r="S77">
        <v>0</v>
      </c>
      <c r="T77">
        <v>1347</v>
      </c>
    </row>
    <row r="78" spans="1:20" x14ac:dyDescent="0.35">
      <c r="A78">
        <v>1844505072</v>
      </c>
      <c r="B78" t="s">
        <v>93</v>
      </c>
      <c r="C78">
        <v>53</v>
      </c>
      <c r="D78" t="s">
        <v>19</v>
      </c>
      <c r="E78" t="s">
        <v>20</v>
      </c>
      <c r="F78" t="s">
        <v>72</v>
      </c>
      <c r="G78">
        <v>42486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1440</v>
      </c>
      <c r="S78">
        <v>0</v>
      </c>
      <c r="T78">
        <v>1347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users_details</vt:lpstr>
      <vt:lpstr>activity</vt:lpstr>
      <vt:lpstr>user_activity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 Chakraborty</dc:creator>
  <cp:lastModifiedBy>Anik Chakraborty</cp:lastModifiedBy>
  <dcterms:created xsi:type="dcterms:W3CDTF">2025-10-09T09:10:16Z</dcterms:created>
  <dcterms:modified xsi:type="dcterms:W3CDTF">2025-10-29T16:45:55Z</dcterms:modified>
</cp:coreProperties>
</file>